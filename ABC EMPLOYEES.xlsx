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180" activeTab="1"/>
  </bookViews>
  <sheets>
    <sheet name="Original data data" sheetId="18" r:id="rId1"/>
    <sheet name="abc_inc_employees_master" sheetId="1" r:id="rId2"/>
    <sheet name="Requirements" sheetId="2" r:id="rId3"/>
    <sheet name="List" sheetId="3" r:id="rId4"/>
    <sheet name="distribution " sheetId="5" r:id="rId5"/>
    <sheet name="Sheet5" sheetId="6" r:id="rId6"/>
    <sheet name="Sheet6" sheetId="7" r:id="rId7"/>
    <sheet name="Sheet8" sheetId="9" r:id="rId8"/>
    <sheet name="Sheet11" sheetId="12" r:id="rId9"/>
    <sheet name="Sheet13" sheetId="14" r:id="rId10"/>
    <sheet name="Sheet14" sheetId="15" r:id="rId11"/>
    <sheet name="Sheet15" sheetId="16" r:id="rId12"/>
  </sheets>
  <externalReferences>
    <externalReference r:id="rId20"/>
  </externalReferences>
  <definedNames>
    <definedName name="_xlnm._FilterDatabase" localSheetId="1" hidden="1">abc_inc_employees_master!$A$1:$L$1001</definedName>
    <definedName name="Employmenttype">List!$A$1</definedName>
    <definedName name="Employment">List!$A$1:$A$3</definedName>
    <definedName name="jobtitle">List!$E:$E</definedName>
    <definedName name="gender">List!$D:$D</definedName>
    <definedName name="department">List!$C:$C</definedName>
    <definedName name="location">List!$B:$B</definedName>
  </definedNames>
  <calcPr calcId="191029"/>
  <pivotCaches>
    <pivotCache cacheId="0" r:id="rId13"/>
    <pivotCache cacheId="1" r:id="rId14"/>
    <pivotCache cacheId="2" r:id="rId15"/>
    <pivotCache cacheId="3" r:id="rId16"/>
    <pivotCache cacheId="4" r:id="rId17"/>
    <pivotCache cacheId="5" r:id="rId18"/>
    <pivotCache cacheId="6"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<sst xmlns="http://schemas.openxmlformats.org/spreadsheetml/2006/main" count="16012" uniqueCount="1688">
  <si>
    <t>employee_id</t>
  </si>
  <si>
    <t>full_name</t>
  </si>
  <si>
    <t>gender</t>
  </si>
  <si>
    <t>department</t>
  </si>
  <si>
    <t>job_title</t>
  </si>
  <si>
    <t>employment_type</t>
  </si>
  <si>
    <t>location</t>
  </si>
  <si>
    <t>hire_date</t>
  </si>
  <si>
    <t>monthly_salary_bdt</t>
  </si>
  <si>
    <t>manager_id</t>
  </si>
  <si>
    <t>E0001</t>
  </si>
  <si>
    <t>Lamia Talukder</t>
  </si>
  <si>
    <t>Female</t>
  </si>
  <si>
    <t>Sales</t>
  </si>
  <si>
    <t>Sales Associate</t>
  </si>
  <si>
    <t>Full-time</t>
  </si>
  <si>
    <t>Khulna</t>
  </si>
  <si>
    <t>E0002</t>
  </si>
  <si>
    <t>Ayesha Hasan</t>
  </si>
  <si>
    <t>Male</t>
  </si>
  <si>
    <t>Customer Success</t>
  </si>
  <si>
    <t>Support Specialist</t>
  </si>
  <si>
    <t>Intern</t>
  </si>
  <si>
    <t>E0890</t>
  </si>
  <si>
    <t>E0003</t>
  </si>
  <si>
    <t>Sajid Rasheed</t>
  </si>
  <si>
    <t>Finance</t>
  </si>
  <si>
    <t>Finance Manager</t>
  </si>
  <si>
    <t>Remote</t>
  </si>
  <si>
    <t>E0990</t>
  </si>
  <si>
    <t>E0004</t>
  </si>
  <si>
    <t>Shawon Rana</t>
  </si>
  <si>
    <t>HR</t>
  </si>
  <si>
    <t>HR Business Partner</t>
  </si>
  <si>
    <t>Sylhet</t>
  </si>
  <si>
    <t>E0982</t>
  </si>
  <si>
    <t>E0005</t>
  </si>
  <si>
    <t>Zahid Morshed</t>
  </si>
  <si>
    <t>Engineering</t>
  </si>
  <si>
    <t>DevOps Engineer</t>
  </si>
  <si>
    <t>Dhaka</t>
  </si>
  <si>
    <t>E0741</t>
  </si>
  <si>
    <t>E0006</t>
  </si>
  <si>
    <t>Rashed Uddin</t>
  </si>
  <si>
    <t>QA Engineer</t>
  </si>
  <si>
    <t>E0775</t>
  </si>
  <si>
    <t>E0007</t>
  </si>
  <si>
    <t>Karim Islam</t>
  </si>
  <si>
    <t>Contract</t>
  </si>
  <si>
    <t>E0102</t>
  </si>
  <si>
    <t>E0008</t>
  </si>
  <si>
    <t>Imran Ferdous</t>
  </si>
  <si>
    <t>Operations</t>
  </si>
  <si>
    <t>Operations Manager</t>
  </si>
  <si>
    <t>E0646</t>
  </si>
  <si>
    <t>E0009</t>
  </si>
  <si>
    <t>Ayesha Biswas</t>
  </si>
  <si>
    <t>HR Associate</t>
  </si>
  <si>
    <t>E0314</t>
  </si>
  <si>
    <t>E0010</t>
  </si>
  <si>
    <t>Mitu Haider</t>
  </si>
  <si>
    <t>Financial Analyst</t>
  </si>
  <si>
    <t>Chattogram</t>
  </si>
  <si>
    <t>E0380</t>
  </si>
  <si>
    <t>E0011</t>
  </si>
  <si>
    <t>Lamia Ferdous</t>
  </si>
  <si>
    <t>Software Engineer</t>
  </si>
  <si>
    <t>E0648</t>
  </si>
  <si>
    <t>E0012</t>
  </si>
  <si>
    <t>Sumaiya Parvin</t>
  </si>
  <si>
    <t>Customer Success Manager</t>
  </si>
  <si>
    <t>E0816</t>
  </si>
  <si>
    <t>E0013</t>
  </si>
  <si>
    <t>Priya Mahmud</t>
  </si>
  <si>
    <t>E0396</t>
  </si>
  <si>
    <t>E0014</t>
  </si>
  <si>
    <t>Sumaiya Sultana</t>
  </si>
  <si>
    <t>Junior Software Engineer</t>
  </si>
  <si>
    <t>E0270</t>
  </si>
  <si>
    <t>E0015</t>
  </si>
  <si>
    <t>Tania Anjum</t>
  </si>
  <si>
    <t>E0123</t>
  </si>
  <si>
    <t>E0016</t>
  </si>
  <si>
    <t>Rashed Sadiq</t>
  </si>
  <si>
    <t>Engineering Manager</t>
  </si>
  <si>
    <t>E0017</t>
  </si>
  <si>
    <t>Tasnim Sharmin</t>
  </si>
  <si>
    <t>Product</t>
  </si>
  <si>
    <t>Product Analyst</t>
  </si>
  <si>
    <t>E0783</t>
  </si>
  <si>
    <t>E0018</t>
  </si>
  <si>
    <t>Noman Biswas</t>
  </si>
  <si>
    <t>Marketing</t>
  </si>
  <si>
    <t>Growth Marketer</t>
  </si>
  <si>
    <t>Rajshahi</t>
  </si>
  <si>
    <t>E0893</t>
  </si>
  <si>
    <t>E0019</t>
  </si>
  <si>
    <t>Nabila Rahman</t>
  </si>
  <si>
    <t>Sales Manager</t>
  </si>
  <si>
    <t>E0917</t>
  </si>
  <si>
    <t>E0020</t>
  </si>
  <si>
    <t>Imran Kabir</t>
  </si>
  <si>
    <t>E0777</t>
  </si>
  <si>
    <t>E0021</t>
  </si>
  <si>
    <t>Karim Banu</t>
  </si>
  <si>
    <t>E0665</t>
  </si>
  <si>
    <t>E0022</t>
  </si>
  <si>
    <t>Tamanna Sarker</t>
  </si>
  <si>
    <t>E0190</t>
  </si>
  <si>
    <t>E0023</t>
  </si>
  <si>
    <t>Arif Akter</t>
  </si>
  <si>
    <t>Senior Product Manager</t>
  </si>
  <si>
    <t>E0024</t>
  </si>
  <si>
    <t>Esha Miah</t>
  </si>
  <si>
    <t>E0989</t>
  </si>
  <si>
    <t>E0025</t>
  </si>
  <si>
    <t>Fahim Amin</t>
  </si>
  <si>
    <t>E0756</t>
  </si>
  <si>
    <t>E0026</t>
  </si>
  <si>
    <t>Tasnim Chowdhury</t>
  </si>
  <si>
    <t>Supply Chain Analyst</t>
  </si>
  <si>
    <t>E0161</t>
  </si>
  <si>
    <t>E0027</t>
  </si>
  <si>
    <t>Tania Uddin</t>
  </si>
  <si>
    <t>E0028</t>
  </si>
  <si>
    <t>Rashed Rahman</t>
  </si>
  <si>
    <t>SEO Specialist</t>
  </si>
  <si>
    <t>E0755</t>
  </si>
  <si>
    <t>E0029</t>
  </si>
  <si>
    <t>Sadia Hasan</t>
  </si>
  <si>
    <t>Recruiter</t>
  </si>
  <si>
    <t>E0356</t>
  </si>
  <si>
    <t>E0030</t>
  </si>
  <si>
    <t>Zahid Hossain</t>
  </si>
  <si>
    <t>E0630</t>
  </si>
  <si>
    <t>E0031</t>
  </si>
  <si>
    <t>Rafi Amin</t>
  </si>
  <si>
    <t>E0699</t>
  </si>
  <si>
    <t>E0032</t>
  </si>
  <si>
    <t>Ayesha Rana</t>
  </si>
  <si>
    <t>Senior Software Engineer</t>
  </si>
  <si>
    <t>E0709</t>
  </si>
  <si>
    <t>E0033</t>
  </si>
  <si>
    <t>Jannat Morshed</t>
  </si>
  <si>
    <t>E0034</t>
  </si>
  <si>
    <t>Mahin Islam</t>
  </si>
  <si>
    <t>Non-binary</t>
  </si>
  <si>
    <t>Support Associate</t>
  </si>
  <si>
    <t>E0938</t>
  </si>
  <si>
    <t>E0035</t>
  </si>
  <si>
    <t>Fahim Biswas</t>
  </si>
  <si>
    <t>E0865</t>
  </si>
  <si>
    <t>E0036</t>
  </si>
  <si>
    <t>Zahid Banu</t>
  </si>
  <si>
    <t>E0037</t>
  </si>
  <si>
    <t>Shawon Anjum</t>
  </si>
  <si>
    <t>Associate Product Manager</t>
  </si>
  <si>
    <t>E0038</t>
  </si>
  <si>
    <t>Mahin Miah</t>
  </si>
  <si>
    <t>E0701</t>
  </si>
  <si>
    <t>E0039</t>
  </si>
  <si>
    <t>Sadia Biswas</t>
  </si>
  <si>
    <t>Accounts Executive</t>
  </si>
  <si>
    <t>E0040</t>
  </si>
  <si>
    <t>Shafiq Sadiq</t>
  </si>
  <si>
    <t>Account Executive</t>
  </si>
  <si>
    <t>E0849</t>
  </si>
  <si>
    <t>E0041</t>
  </si>
  <si>
    <t>Noman Khan</t>
  </si>
  <si>
    <t>E0251</t>
  </si>
  <si>
    <t>E0042</t>
  </si>
  <si>
    <t>Esha Amin</t>
  </si>
  <si>
    <t>E0141</t>
  </si>
  <si>
    <t>E0043</t>
  </si>
  <si>
    <t>Ovi Islam</t>
  </si>
  <si>
    <t>E0736</t>
  </si>
  <si>
    <t>E0044</t>
  </si>
  <si>
    <t>Fahim Jahan</t>
  </si>
  <si>
    <t>E0186</t>
  </si>
  <si>
    <t>E0045</t>
  </si>
  <si>
    <t>Rahim Akter</t>
  </si>
  <si>
    <t>E0046</t>
  </si>
  <si>
    <t>Mitu Sharmin</t>
  </si>
  <si>
    <t>E0456</t>
  </si>
  <si>
    <t>E0047</t>
  </si>
  <si>
    <t>Noman Amin</t>
  </si>
  <si>
    <t>E0927</t>
  </si>
  <si>
    <t>E0048</t>
  </si>
  <si>
    <t>Tania Ahmed</t>
  </si>
  <si>
    <t>Marketing Associate</t>
  </si>
  <si>
    <t>E0592</t>
  </si>
  <si>
    <t>E0049</t>
  </si>
  <si>
    <t>Tasnim Shah</t>
  </si>
  <si>
    <t>Marketing Manager</t>
  </si>
  <si>
    <t>E0050</t>
  </si>
  <si>
    <t>Rahim Rasheed</t>
  </si>
  <si>
    <t>E0383</t>
  </si>
  <si>
    <t>E0051</t>
  </si>
  <si>
    <t>Noman Sultana</t>
  </si>
  <si>
    <t>E0052</t>
  </si>
  <si>
    <t>Noman Hossain</t>
  </si>
  <si>
    <t>E0742</t>
  </si>
  <si>
    <t>E0053</t>
  </si>
  <si>
    <t>Shawon Akter</t>
  </si>
  <si>
    <t>E0054</t>
  </si>
  <si>
    <t>Tamanna Rahman</t>
  </si>
  <si>
    <t>E0055</t>
  </si>
  <si>
    <t>Tania Amin</t>
  </si>
  <si>
    <t>HR Manager</t>
  </si>
  <si>
    <t>E0425</t>
  </si>
  <si>
    <t>E0056</t>
  </si>
  <si>
    <t>Sadia Rasheed</t>
  </si>
  <si>
    <t>E0728</t>
  </si>
  <si>
    <t>E0057</t>
  </si>
  <si>
    <t>Shawon Miah</t>
  </si>
  <si>
    <t>E0580</t>
  </si>
  <si>
    <t>E0058</t>
  </si>
  <si>
    <t>Ayesha Parvin</t>
  </si>
  <si>
    <t>E0059</t>
  </si>
  <si>
    <t>Sadia Miah</t>
  </si>
  <si>
    <t>E0184</t>
  </si>
  <si>
    <t>E0060</t>
  </si>
  <si>
    <t>Nafiz Morshed</t>
  </si>
  <si>
    <t>Senior Account Executive</t>
  </si>
  <si>
    <t>E0839</t>
  </si>
  <si>
    <t>E0061</t>
  </si>
  <si>
    <t>E0453</t>
  </si>
  <si>
    <t>E0062</t>
  </si>
  <si>
    <t>Fahim Hasan</t>
  </si>
  <si>
    <t>E0980</t>
  </si>
  <si>
    <t>E0063</t>
  </si>
  <si>
    <t>Tasnim Alam</t>
  </si>
  <si>
    <t>E0064</t>
  </si>
  <si>
    <t>Lamia Biswas</t>
  </si>
  <si>
    <t>E0797</t>
  </si>
  <si>
    <t>E0065</t>
  </si>
  <si>
    <t>Sadia Akter</t>
  </si>
  <si>
    <t>E0782</t>
  </si>
  <si>
    <t>E0066</t>
  </si>
  <si>
    <t>Ovi Khan</t>
  </si>
  <si>
    <t>E0831</t>
  </si>
  <si>
    <t>E0067</t>
  </si>
  <si>
    <t>Imran Islam</t>
  </si>
  <si>
    <t>E0179</t>
  </si>
  <si>
    <t>E0068</t>
  </si>
  <si>
    <t>Sumaiya Alam</t>
  </si>
  <si>
    <t>Operations Associate</t>
  </si>
  <si>
    <t>E0069</t>
  </si>
  <si>
    <t>E0070</t>
  </si>
  <si>
    <t>Priya Talukder</t>
  </si>
  <si>
    <t>E0159</t>
  </si>
  <si>
    <t>E0071</t>
  </si>
  <si>
    <t>Mahin Khan</t>
  </si>
  <si>
    <t>E0109</t>
  </si>
  <si>
    <t>E0072</t>
  </si>
  <si>
    <t>Fahim Talukder</t>
  </si>
  <si>
    <t>E0428</t>
  </si>
  <si>
    <t>E0073</t>
  </si>
  <si>
    <t>Arif Talukder</t>
  </si>
  <si>
    <t>E0239</t>
  </si>
  <si>
    <t>E0074</t>
  </si>
  <si>
    <t>Shawon Alam</t>
  </si>
  <si>
    <t>E0075</t>
  </si>
  <si>
    <t>Shafiq Sharmin</t>
  </si>
  <si>
    <t>E0076</t>
  </si>
  <si>
    <t>Rashed Miah</t>
  </si>
  <si>
    <t>E0077</t>
  </si>
  <si>
    <t>Sajid Sarker</t>
  </si>
  <si>
    <t>E0078</t>
  </si>
  <si>
    <t>Sumaiya Hossain</t>
  </si>
  <si>
    <t>E0079</t>
  </si>
  <si>
    <t>Tasnim Sultana</t>
  </si>
  <si>
    <t>E0080</t>
  </si>
  <si>
    <t>Tamanna Biswas</t>
  </si>
  <si>
    <t>E0657</t>
  </si>
  <si>
    <t>E0081</t>
  </si>
  <si>
    <t>Lamia Akter</t>
  </si>
  <si>
    <t>E0278</t>
  </si>
  <si>
    <t>E0082</t>
  </si>
  <si>
    <t>Rahim Islam</t>
  </si>
  <si>
    <t>E0617</t>
  </si>
  <si>
    <t>E0083</t>
  </si>
  <si>
    <t>Ayesha Banu</t>
  </si>
  <si>
    <t>E0084</t>
  </si>
  <si>
    <t>Tamanna Rasheed</t>
  </si>
  <si>
    <t>E0310</t>
  </si>
  <si>
    <t>E0085</t>
  </si>
  <si>
    <t>Rahim Khan</t>
  </si>
  <si>
    <t>E0172</t>
  </si>
  <si>
    <t>E0086</t>
  </si>
  <si>
    <t>Mitu Rahman</t>
  </si>
  <si>
    <t>E0087</t>
  </si>
  <si>
    <t>Karim Kabir</t>
  </si>
  <si>
    <t>Prefer not to say</t>
  </si>
  <si>
    <t>Senior Financial Analyst</t>
  </si>
  <si>
    <t>E0420</t>
  </si>
  <si>
    <t>E0088</t>
  </si>
  <si>
    <t>Mitu Chowdhury</t>
  </si>
  <si>
    <t>E0404</t>
  </si>
  <si>
    <t>E0089</t>
  </si>
  <si>
    <t>Nabila Sultana</t>
  </si>
  <si>
    <t>E0090</t>
  </si>
  <si>
    <t>Tamanna Parvin</t>
  </si>
  <si>
    <t>E0196</t>
  </si>
  <si>
    <t>E0091</t>
  </si>
  <si>
    <t>Nafiz Ferdous</t>
  </si>
  <si>
    <t>E0330</t>
  </si>
  <si>
    <t>E0092</t>
  </si>
  <si>
    <t>Nabila Sharmin</t>
  </si>
  <si>
    <t>E0197</t>
  </si>
  <si>
    <t>E0093</t>
  </si>
  <si>
    <t>Rafi Sultana</t>
  </si>
  <si>
    <t>E0094</t>
  </si>
  <si>
    <t>Arif Miah</t>
  </si>
  <si>
    <t>E0095</t>
  </si>
  <si>
    <t>Shawon Ferdous</t>
  </si>
  <si>
    <t>E0684</t>
  </si>
  <si>
    <t>E0096</t>
  </si>
  <si>
    <t>Fahim Sharmin</t>
  </si>
  <si>
    <t>E0097</t>
  </si>
  <si>
    <t>E0098</t>
  </si>
  <si>
    <t>Rashed Talukder</t>
  </si>
  <si>
    <t>E0672</t>
  </si>
  <si>
    <t>E0099</t>
  </si>
  <si>
    <t>Karim Shah</t>
  </si>
  <si>
    <t>E0663</t>
  </si>
  <si>
    <t>E0100</t>
  </si>
  <si>
    <t>Sadia Sadiq</t>
  </si>
  <si>
    <t>E0101</t>
  </si>
  <si>
    <t>Rafi Parvin</t>
  </si>
  <si>
    <t>Shafiq Hossain</t>
  </si>
  <si>
    <t>E0855</t>
  </si>
  <si>
    <t>E0103</t>
  </si>
  <si>
    <t>Esha Rana</t>
  </si>
  <si>
    <t>E0104</t>
  </si>
  <si>
    <t>Zahid Sharmin</t>
  </si>
  <si>
    <t>E0774</t>
  </si>
  <si>
    <t>E0105</t>
  </si>
  <si>
    <t>Rafi Khan</t>
  </si>
  <si>
    <t>E0106</t>
  </si>
  <si>
    <t>Rafi Miah</t>
  </si>
  <si>
    <t>E0828</t>
  </si>
  <si>
    <t>E0107</t>
  </si>
  <si>
    <t>Ovi Haider</t>
  </si>
  <si>
    <t>E0861</t>
  </si>
  <si>
    <t>E0108</t>
  </si>
  <si>
    <t>Nabila Sadiq</t>
  </si>
  <si>
    <t>E0500</t>
  </si>
  <si>
    <t>Rafi Banu</t>
  </si>
  <si>
    <t>Product Manager</t>
  </si>
  <si>
    <t>E0110</t>
  </si>
  <si>
    <t>Nadia Sarker</t>
  </si>
  <si>
    <t>E0111</t>
  </si>
  <si>
    <t>Shafiq Anjum</t>
  </si>
  <si>
    <t>E0112</t>
  </si>
  <si>
    <t>Tamanna Sultana</t>
  </si>
  <si>
    <t>E0156</t>
  </si>
  <si>
    <t>E0113</t>
  </si>
  <si>
    <t>Imran Shah</t>
  </si>
  <si>
    <t>E0114</t>
  </si>
  <si>
    <t>Arif Mahmud</t>
  </si>
  <si>
    <t>E0115</t>
  </si>
  <si>
    <t>Sumaiya Sharmin</t>
  </si>
  <si>
    <t>E0116</t>
  </si>
  <si>
    <t>Zahid Rasheed</t>
  </si>
  <si>
    <t>E0117</t>
  </si>
  <si>
    <t>E0118</t>
  </si>
  <si>
    <t>Noman Morshed</t>
  </si>
  <si>
    <t>E0119</t>
  </si>
  <si>
    <t>E0881</t>
  </si>
  <si>
    <t>E0120</t>
  </si>
  <si>
    <t>Jannat Ahmed</t>
  </si>
  <si>
    <t>E0780</t>
  </si>
  <si>
    <t>E0121</t>
  </si>
  <si>
    <t>E0122</t>
  </si>
  <si>
    <t>Jannat Akter</t>
  </si>
  <si>
    <t>E0150</t>
  </si>
  <si>
    <t>E0124</t>
  </si>
  <si>
    <t>Noman Chowdhury</t>
  </si>
  <si>
    <t>E0125</t>
  </si>
  <si>
    <t>Tasnim Sadiq</t>
  </si>
  <si>
    <t>E0126</t>
  </si>
  <si>
    <t>Arif Sultana</t>
  </si>
  <si>
    <t>E0127</t>
  </si>
  <si>
    <t>Sajid Islam</t>
  </si>
  <si>
    <t>E0128</t>
  </si>
  <si>
    <t>E0585</t>
  </si>
  <si>
    <t>E0129</t>
  </si>
  <si>
    <t>Mitu Ferdous</t>
  </si>
  <si>
    <t>E0130</t>
  </si>
  <si>
    <t>Nabila Rana</t>
  </si>
  <si>
    <t>Content Specialist</t>
  </si>
  <si>
    <t>E0979</t>
  </si>
  <si>
    <t>E0131</t>
  </si>
  <si>
    <t>Tania Biswas</t>
  </si>
  <si>
    <t>E0132</t>
  </si>
  <si>
    <t>Lamia Haider</t>
  </si>
  <si>
    <t>E0407</t>
  </si>
  <si>
    <t>E0133</t>
  </si>
  <si>
    <t>Karim Rana</t>
  </si>
  <si>
    <t>E0134</t>
  </si>
  <si>
    <t>Tasnim Talukder</t>
  </si>
  <si>
    <t>E0135</t>
  </si>
  <si>
    <t>Rafi Mahmud</t>
  </si>
  <si>
    <t>E0136</t>
  </si>
  <si>
    <t>Sajid Kabir</t>
  </si>
  <si>
    <t>E0137</t>
  </si>
  <si>
    <t>Nadia Sultana</t>
  </si>
  <si>
    <t>E0138</t>
  </si>
  <si>
    <t>Nadia Talukder</t>
  </si>
  <si>
    <t>E0139</t>
  </si>
  <si>
    <t>Sumaiya Banu</t>
  </si>
  <si>
    <t>E0357</t>
  </si>
  <si>
    <t>E0140</t>
  </si>
  <si>
    <t>Mitu Hossain</t>
  </si>
  <si>
    <t>Shawon Hasan</t>
  </si>
  <si>
    <t>E0142</t>
  </si>
  <si>
    <t>Esha Sharmin</t>
  </si>
  <si>
    <t>E0143</t>
  </si>
  <si>
    <t>E0144</t>
  </si>
  <si>
    <t>Rashed Kabir</t>
  </si>
  <si>
    <t>E0145</t>
  </si>
  <si>
    <t>Sajid Rana</t>
  </si>
  <si>
    <t>E0146</t>
  </si>
  <si>
    <t>Shawon Talukder</t>
  </si>
  <si>
    <t>E0554</t>
  </si>
  <si>
    <t>E0147</t>
  </si>
  <si>
    <t>Nabila Sarker</t>
  </si>
  <si>
    <t>E0148</t>
  </si>
  <si>
    <t>Sumaiya Rasheed</t>
  </si>
  <si>
    <t>E0149</t>
  </si>
  <si>
    <t>Ovi Hossain</t>
  </si>
  <si>
    <t>Shawon Shah</t>
  </si>
  <si>
    <t>E0151</t>
  </si>
  <si>
    <t>Nabila Parvin</t>
  </si>
  <si>
    <t>E0956</t>
  </si>
  <si>
    <t>E0152</t>
  </si>
  <si>
    <t>Esha Banu</t>
  </si>
  <si>
    <t>E0153</t>
  </si>
  <si>
    <t>Tania Parvin</t>
  </si>
  <si>
    <t>E0682</t>
  </si>
  <si>
    <t>E0154</t>
  </si>
  <si>
    <t>Priya Akter</t>
  </si>
  <si>
    <t>E0155</t>
  </si>
  <si>
    <t>Tania Ferdous</t>
  </si>
  <si>
    <t>E0157</t>
  </si>
  <si>
    <t>Rafi Chowdhury</t>
  </si>
  <si>
    <t>E0158</t>
  </si>
  <si>
    <t>Tasnim Mahmud</t>
  </si>
  <si>
    <t>E0560</t>
  </si>
  <si>
    <t>Karim Sultana</t>
  </si>
  <si>
    <t>E0160</t>
  </si>
  <si>
    <t>Tania Rasheed</t>
  </si>
  <si>
    <t>Esha Sultana</t>
  </si>
  <si>
    <t>E0162</t>
  </si>
  <si>
    <t>Sadia Ferdous</t>
  </si>
  <si>
    <t>E0416</t>
  </si>
  <si>
    <t>E0163</t>
  </si>
  <si>
    <t>Mitu Biswas</t>
  </si>
  <si>
    <t>E0907</t>
  </si>
  <si>
    <t>E0164</t>
  </si>
  <si>
    <t>Jannat Haider</t>
  </si>
  <si>
    <t>E0165</t>
  </si>
  <si>
    <t>Ovi Rahman</t>
  </si>
  <si>
    <t>E0656</t>
  </si>
  <si>
    <t>E0166</t>
  </si>
  <si>
    <t>Karim Hasan</t>
  </si>
  <si>
    <t>E0181</t>
  </si>
  <si>
    <t>E0167</t>
  </si>
  <si>
    <t>Esha Islam</t>
  </si>
  <si>
    <t>E0168</t>
  </si>
  <si>
    <t>E0909</t>
  </si>
  <si>
    <t>E0169</t>
  </si>
  <si>
    <t>Tamanna Sadiq</t>
  </si>
  <si>
    <t>E0170</t>
  </si>
  <si>
    <t>Nafiz Rana</t>
  </si>
  <si>
    <t>E0574</t>
  </si>
  <si>
    <t>E0171</t>
  </si>
  <si>
    <t>Ayesha Sadiq</t>
  </si>
  <si>
    <t>Shafiq Rasheed</t>
  </si>
  <si>
    <t>E0173</t>
  </si>
  <si>
    <t>Shafiq Akter</t>
  </si>
  <si>
    <t>E0229</t>
  </si>
  <si>
    <t>E0174</t>
  </si>
  <si>
    <t>Lamia Miah</t>
  </si>
  <si>
    <t>E0175</t>
  </si>
  <si>
    <t>Mitu Sultana</t>
  </si>
  <si>
    <t>E0176</t>
  </si>
  <si>
    <t>Sajid Akter</t>
  </si>
  <si>
    <t>E0177</t>
  </si>
  <si>
    <t>E0686</t>
  </si>
  <si>
    <t>E0178</t>
  </si>
  <si>
    <t>Ovi Morshed</t>
  </si>
  <si>
    <t>E0249</t>
  </si>
  <si>
    <t>E0972</t>
  </si>
  <si>
    <t>E0180</t>
  </si>
  <si>
    <t>E0182</t>
  </si>
  <si>
    <t>E0183</t>
  </si>
  <si>
    <t>Zahid Kabir</t>
  </si>
  <si>
    <t>E0595</t>
  </si>
  <si>
    <t>Nabila Shah</t>
  </si>
  <si>
    <t>E0866</t>
  </si>
  <si>
    <t>E0185</t>
  </si>
  <si>
    <t>Arif Hossain</t>
  </si>
  <si>
    <t>Sajid Ahmed</t>
  </si>
  <si>
    <t>E0187</t>
  </si>
  <si>
    <t>Priya Amin</t>
  </si>
  <si>
    <t>E0198</t>
  </si>
  <si>
    <t>E0188</t>
  </si>
  <si>
    <t>Mitu Anjum</t>
  </si>
  <si>
    <t>E0189</t>
  </si>
  <si>
    <t>Tasnim Rahman</t>
  </si>
  <si>
    <t>E0719</t>
  </si>
  <si>
    <t>E0191</t>
  </si>
  <si>
    <t>Arif Morshed</t>
  </si>
  <si>
    <t>E0192</t>
  </si>
  <si>
    <t>Lamia Rahman</t>
  </si>
  <si>
    <t>E0193</t>
  </si>
  <si>
    <t>Ayesha Sharmin</t>
  </si>
  <si>
    <t>E0194</t>
  </si>
  <si>
    <t>E0195</t>
  </si>
  <si>
    <t>Arif Khan</t>
  </si>
  <si>
    <t>Noman Miah</t>
  </si>
  <si>
    <t>Noman Ahmed</t>
  </si>
  <si>
    <t>Nadia Kabir</t>
  </si>
  <si>
    <t>E0199</t>
  </si>
  <si>
    <t>E0200</t>
  </si>
  <si>
    <t>E0201</t>
  </si>
  <si>
    <t>Shawon Sharmin</t>
  </si>
  <si>
    <t>E0963</t>
  </si>
  <si>
    <t>E0202</t>
  </si>
  <si>
    <t>Mitu Mahmud</t>
  </si>
  <si>
    <t>E0203</t>
  </si>
  <si>
    <t>Mitu Kabir</t>
  </si>
  <si>
    <t>E0204</t>
  </si>
  <si>
    <t>Lamia Hasan</t>
  </si>
  <si>
    <t>E0624</t>
  </si>
  <si>
    <t>E0205</t>
  </si>
  <si>
    <t>Ovi Chowdhury</t>
  </si>
  <si>
    <t>E0639</t>
  </si>
  <si>
    <t>E0206</t>
  </si>
  <si>
    <t>Jannat Islam</t>
  </si>
  <si>
    <t>E0207</t>
  </si>
  <si>
    <t>E0565</t>
  </si>
  <si>
    <t>E0208</t>
  </si>
  <si>
    <t>E0209</t>
  </si>
  <si>
    <t>Zahid Uddin</t>
  </si>
  <si>
    <t>E0210</t>
  </si>
  <si>
    <t>Esha Kabir</t>
  </si>
  <si>
    <t>E0389</t>
  </si>
  <si>
    <t>E0211</t>
  </si>
  <si>
    <t>Shafiq Miah</t>
  </si>
  <si>
    <t>E0212</t>
  </si>
  <si>
    <t>Noman Rasheed</t>
  </si>
  <si>
    <t>E0912</t>
  </si>
  <si>
    <t>E0213</t>
  </si>
  <si>
    <t>Shafiq Islam</t>
  </si>
  <si>
    <t>E0469</t>
  </si>
  <si>
    <t>E0214</t>
  </si>
  <si>
    <t>Ayesha Hossain</t>
  </si>
  <si>
    <t>E0215</t>
  </si>
  <si>
    <t>Nafiz Ahmed</t>
  </si>
  <si>
    <t>E0520</t>
  </si>
  <si>
    <t>E0216</t>
  </si>
  <si>
    <t>Shafiq Jahan</t>
  </si>
  <si>
    <t>E0217</t>
  </si>
  <si>
    <t>Tamanna Banu</t>
  </si>
  <si>
    <t>E0218</t>
  </si>
  <si>
    <t>Ovi Kabir</t>
  </si>
  <si>
    <t>E0219</t>
  </si>
  <si>
    <t>E0533</t>
  </si>
  <si>
    <t>E0220</t>
  </si>
  <si>
    <t>Shafiq Haider</t>
  </si>
  <si>
    <t>E0221</t>
  </si>
  <si>
    <t>E0602</t>
  </si>
  <si>
    <t>E0222</t>
  </si>
  <si>
    <t>Noman Akter</t>
  </si>
  <si>
    <t>E0223</t>
  </si>
  <si>
    <t>Tamanna Rana</t>
  </si>
  <si>
    <t>E0488</t>
  </si>
  <si>
    <t>E0224</t>
  </si>
  <si>
    <t>E0225</t>
  </si>
  <si>
    <t>E0511</t>
  </si>
  <si>
    <t>E0226</t>
  </si>
  <si>
    <t>Priya Chowdhury</t>
  </si>
  <si>
    <t>E0241</t>
  </si>
  <si>
    <t>E0227</t>
  </si>
  <si>
    <t>E0228</t>
  </si>
  <si>
    <t>Farhan Talukder</t>
  </si>
  <si>
    <t>E0538</t>
  </si>
  <si>
    <t>Esha Akter</t>
  </si>
  <si>
    <t>E0365</t>
  </si>
  <si>
    <t>E0230</t>
  </si>
  <si>
    <t>Mitu Uddin</t>
  </si>
  <si>
    <t>E0231</t>
  </si>
  <si>
    <t>Nadia Chowdhury</t>
  </si>
  <si>
    <t>E0232</t>
  </si>
  <si>
    <t>Farhan Sultana</t>
  </si>
  <si>
    <t>E0233</t>
  </si>
  <si>
    <t>E0234</t>
  </si>
  <si>
    <t>Jannat Anjum</t>
  </si>
  <si>
    <t>E0543</t>
  </si>
  <si>
    <t>E0235</t>
  </si>
  <si>
    <t>Shawon Sarker</t>
  </si>
  <si>
    <t>E0243</t>
  </si>
  <si>
    <t>E0236</t>
  </si>
  <si>
    <t>Nabila Amin</t>
  </si>
  <si>
    <t>E0237</t>
  </si>
  <si>
    <t>E0238</t>
  </si>
  <si>
    <t>Zahid Talukder</t>
  </si>
  <si>
    <t>Sajid Uddin</t>
  </si>
  <si>
    <t>E0240</t>
  </si>
  <si>
    <t>Rahim Rahman</t>
  </si>
  <si>
    <t>E0882</t>
  </si>
  <si>
    <t>Sajid Banu</t>
  </si>
  <si>
    <t>E0242</t>
  </si>
  <si>
    <t>Nabila Uddin</t>
  </si>
  <si>
    <t>E0244</t>
  </si>
  <si>
    <t>Jannat Sharmin</t>
  </si>
  <si>
    <t>E0936</t>
  </si>
  <si>
    <t>E0245</t>
  </si>
  <si>
    <t>E0852</t>
  </si>
  <si>
    <t>E0246</t>
  </si>
  <si>
    <t>Shawon Jahan</t>
  </si>
  <si>
    <t>E0247</t>
  </si>
  <si>
    <t>Mahin Anjum</t>
  </si>
  <si>
    <t>E0248</t>
  </si>
  <si>
    <t>E0448</t>
  </si>
  <si>
    <t>Imran Akter</t>
  </si>
  <si>
    <t>E0250</t>
  </si>
  <si>
    <t>Mahin Hossain</t>
  </si>
  <si>
    <t>Mahin Morshed</t>
  </si>
  <si>
    <t>E0252</t>
  </si>
  <si>
    <t>Priya Hossain</t>
  </si>
  <si>
    <t>E0253</t>
  </si>
  <si>
    <t>Nadia Banu</t>
  </si>
  <si>
    <t>E0254</t>
  </si>
  <si>
    <t>Nafiz Jahan</t>
  </si>
  <si>
    <t>E0255</t>
  </si>
  <si>
    <t>Ovi Rasheed</t>
  </si>
  <si>
    <t>E0762</t>
  </si>
  <si>
    <t>E0256</t>
  </si>
  <si>
    <t>Karim Rasheed</t>
  </si>
  <si>
    <t>E0257</t>
  </si>
  <si>
    <t>Nafiz Talukder</t>
  </si>
  <si>
    <t>E0258</t>
  </si>
  <si>
    <t>Rashed Parvin</t>
  </si>
  <si>
    <t>E0259</t>
  </si>
  <si>
    <t>E0260</t>
  </si>
  <si>
    <t>Rahim Morshed</t>
  </si>
  <si>
    <t>E0261</t>
  </si>
  <si>
    <t>E0262</t>
  </si>
  <si>
    <t>Sadia Ahmed</t>
  </si>
  <si>
    <t>E0263</t>
  </si>
  <si>
    <t>E0264</t>
  </si>
  <si>
    <t>E0265</t>
  </si>
  <si>
    <t>Jannat Parvin</t>
  </si>
  <si>
    <t>E0266</t>
  </si>
  <si>
    <t>Shawon Biswas</t>
  </si>
  <si>
    <t>E0267</t>
  </si>
  <si>
    <t>Farhan Uddin</t>
  </si>
  <si>
    <t>E0268</t>
  </si>
  <si>
    <t>E0269</t>
  </si>
  <si>
    <t>E0688</t>
  </si>
  <si>
    <t>Rahim Sharmin</t>
  </si>
  <si>
    <t>E0271</t>
  </si>
  <si>
    <t>Zahid Sultana</t>
  </si>
  <si>
    <t>E0272</t>
  </si>
  <si>
    <t>E0273</t>
  </si>
  <si>
    <t>E0274</t>
  </si>
  <si>
    <t>Sajid Alam</t>
  </si>
  <si>
    <t>E0642</t>
  </si>
  <si>
    <t>E0275</t>
  </si>
  <si>
    <t>Rahim Haider</t>
  </si>
  <si>
    <t>E0276</t>
  </si>
  <si>
    <t>E0277</t>
  </si>
  <si>
    <t>E0528</t>
  </si>
  <si>
    <t>E0279</t>
  </si>
  <si>
    <t>Tasnim Rana</t>
  </si>
  <si>
    <t>E0280</t>
  </si>
  <si>
    <t>Shawon Sultana</t>
  </si>
  <si>
    <t>E0281</t>
  </si>
  <si>
    <t>Ayesha Miah</t>
  </si>
  <si>
    <t>E0282</t>
  </si>
  <si>
    <t>Jannat Hossain</t>
  </si>
  <si>
    <t>E0283</t>
  </si>
  <si>
    <t>Shafiq Amin</t>
  </si>
  <si>
    <t>E0284</t>
  </si>
  <si>
    <t>Karim Anjum</t>
  </si>
  <si>
    <t>E0976</t>
  </si>
  <si>
    <t>E0285</t>
  </si>
  <si>
    <t>Rashed Alam</t>
  </si>
  <si>
    <t>E0286</t>
  </si>
  <si>
    <t>E0287</t>
  </si>
  <si>
    <t>Priya Alam</t>
  </si>
  <si>
    <t>E0288</t>
  </si>
  <si>
    <t>Imran Anjum</t>
  </si>
  <si>
    <t>E0289</t>
  </si>
  <si>
    <t>Imran Ahmed</t>
  </si>
  <si>
    <t>E0290</t>
  </si>
  <si>
    <t>Shawon Khan</t>
  </si>
  <si>
    <t>E0291</t>
  </si>
  <si>
    <t>E0292</t>
  </si>
  <si>
    <t>Zahid Parvin</t>
  </si>
  <si>
    <t>E0293</t>
  </si>
  <si>
    <t>Shawon Islam</t>
  </si>
  <si>
    <t>E0294</t>
  </si>
  <si>
    <t>Ovi Akter</t>
  </si>
  <si>
    <t>E0965</t>
  </si>
  <si>
    <t>E0295</t>
  </si>
  <si>
    <t>Arif Rana</t>
  </si>
  <si>
    <t>E0716</t>
  </si>
  <si>
    <t>E0296</t>
  </si>
  <si>
    <t>E0297</t>
  </si>
  <si>
    <t>Rashed Sharmin</t>
  </si>
  <si>
    <t>E0298</t>
  </si>
  <si>
    <t>E0299</t>
  </si>
  <si>
    <t>Sumaiya Rana</t>
  </si>
  <si>
    <t>E0300</t>
  </si>
  <si>
    <t>E0301</t>
  </si>
  <si>
    <t>Rahim Biswas</t>
  </si>
  <si>
    <t>E0376</t>
  </si>
  <si>
    <t>E0302</t>
  </si>
  <si>
    <t>E0303</t>
  </si>
  <si>
    <t>Priya Shah</t>
  </si>
  <si>
    <t>E0801</t>
  </si>
  <si>
    <t>E0304</t>
  </si>
  <si>
    <t>E0618</t>
  </si>
  <si>
    <t>E0305</t>
  </si>
  <si>
    <t>E0306</t>
  </si>
  <si>
    <t>Sadia Kabir</t>
  </si>
  <si>
    <t>E0307</t>
  </si>
  <si>
    <t>Sadia Mahmud</t>
  </si>
  <si>
    <t>E0308</t>
  </si>
  <si>
    <t>Nadia Rasheed</t>
  </si>
  <si>
    <t>E0309</t>
  </si>
  <si>
    <t>Rafi Jahan</t>
  </si>
  <si>
    <t>Nafiz Chowdhury</t>
  </si>
  <si>
    <t>E0311</t>
  </si>
  <si>
    <t>Fahim Parvin</t>
  </si>
  <si>
    <t>E0312</t>
  </si>
  <si>
    <t>E0313</t>
  </si>
  <si>
    <t>Arif Rahman</t>
  </si>
  <si>
    <t>Nafiz Alam</t>
  </si>
  <si>
    <t>E0315</t>
  </si>
  <si>
    <t>E0316</t>
  </si>
  <si>
    <t>Tania Rahman</t>
  </si>
  <si>
    <t>E0317</t>
  </si>
  <si>
    <t>Sumaiya Akter</t>
  </si>
  <si>
    <t>E0318</t>
  </si>
  <si>
    <t>Mitu Banu</t>
  </si>
  <si>
    <t>E0319</t>
  </si>
  <si>
    <t>Tasnim Banu</t>
  </si>
  <si>
    <t>E0320</t>
  </si>
  <si>
    <t>Shawon Sadiq</t>
  </si>
  <si>
    <t>E0321</t>
  </si>
  <si>
    <t>E0322</t>
  </si>
  <si>
    <t>Nadia Mahmud</t>
  </si>
  <si>
    <t>E0323</t>
  </si>
  <si>
    <t>Ovi Sharmin</t>
  </si>
  <si>
    <t>E0324</t>
  </si>
  <si>
    <t>E0325</t>
  </si>
  <si>
    <t>E0368</t>
  </si>
  <si>
    <t>E0326</t>
  </si>
  <si>
    <t>E0327</t>
  </si>
  <si>
    <t>Farhan Ahmed</t>
  </si>
  <si>
    <t>E0328</t>
  </si>
  <si>
    <t>E0329</t>
  </si>
  <si>
    <t>Rashed Akter</t>
  </si>
  <si>
    <t>Mitu Rasheed</t>
  </si>
  <si>
    <t>E0331</t>
  </si>
  <si>
    <t>Shawon Amin</t>
  </si>
  <si>
    <t>E0332</t>
  </si>
  <si>
    <t>E0845</t>
  </si>
  <si>
    <t>E0333</t>
  </si>
  <si>
    <t>Tania Shah</t>
  </si>
  <si>
    <t>E0334</t>
  </si>
  <si>
    <t>E0335</t>
  </si>
  <si>
    <t>Arif Anjum</t>
  </si>
  <si>
    <t>E0336</t>
  </si>
  <si>
    <t>E0337</t>
  </si>
  <si>
    <t>Zahid Haider</t>
  </si>
  <si>
    <t>E0749</t>
  </si>
  <si>
    <t>E0338</t>
  </si>
  <si>
    <t>Noman Alam</t>
  </si>
  <si>
    <t>E0339</t>
  </si>
  <si>
    <t>E0668</t>
  </si>
  <si>
    <t>E0340</t>
  </si>
  <si>
    <t>Imran Rana</t>
  </si>
  <si>
    <t>E0341</t>
  </si>
  <si>
    <t>Tania Alam</t>
  </si>
  <si>
    <t>E0342</t>
  </si>
  <si>
    <t>Nafiz Parvin</t>
  </si>
  <si>
    <t>E0343</t>
  </si>
  <si>
    <t>Mitu Akter</t>
  </si>
  <si>
    <t>E0344</t>
  </si>
  <si>
    <t>E0345</t>
  </si>
  <si>
    <t>E0346</t>
  </si>
  <si>
    <t>Shawon Rasheed</t>
  </si>
  <si>
    <t>E0772</t>
  </si>
  <si>
    <t>E0347</t>
  </si>
  <si>
    <t>Sajid Sadiq</t>
  </si>
  <si>
    <t>E0348</t>
  </si>
  <si>
    <t>E0349</t>
  </si>
  <si>
    <t>E0350</t>
  </si>
  <si>
    <t>Nabila Chowdhury</t>
  </si>
  <si>
    <t>E0351</t>
  </si>
  <si>
    <t>E0352</t>
  </si>
  <si>
    <t>Ayesha Rasheed</t>
  </si>
  <si>
    <t>E0353</t>
  </si>
  <si>
    <t>Ayesha Ferdous</t>
  </si>
  <si>
    <t>E0354</t>
  </si>
  <si>
    <t>Karim Ahmed</t>
  </si>
  <si>
    <t>E0991</t>
  </si>
  <si>
    <t>E0355</t>
  </si>
  <si>
    <t>Farhan Khan</t>
  </si>
  <si>
    <t>E0358</t>
  </si>
  <si>
    <t>Arif Sarker</t>
  </si>
  <si>
    <t>E0359</t>
  </si>
  <si>
    <t>E0360</t>
  </si>
  <si>
    <t>Imran Hasan</t>
  </si>
  <si>
    <t>E0361</t>
  </si>
  <si>
    <t>Rahim Ahmed</t>
  </si>
  <si>
    <t>E0362</t>
  </si>
  <si>
    <t>E0363</t>
  </si>
  <si>
    <t>Rahim Sultana</t>
  </si>
  <si>
    <t>E0364</t>
  </si>
  <si>
    <t>Esha Hasan</t>
  </si>
  <si>
    <t>E0366</t>
  </si>
  <si>
    <t>Priya Haider</t>
  </si>
  <si>
    <t>E0367</t>
  </si>
  <si>
    <t>Tania Sharmin</t>
  </si>
  <si>
    <t>Tania Hossain</t>
  </si>
  <si>
    <t>E0369</t>
  </si>
  <si>
    <t>E0370</t>
  </si>
  <si>
    <t>Shafiq Mahmud</t>
  </si>
  <si>
    <t>E0371</t>
  </si>
  <si>
    <t>Ovi Sadiq</t>
  </si>
  <si>
    <t>E0871</t>
  </si>
  <si>
    <t>E0372</t>
  </si>
  <si>
    <t>Tamanna Haider</t>
  </si>
  <si>
    <t>E0373</t>
  </si>
  <si>
    <t>E0465</t>
  </si>
  <si>
    <t>E0374</t>
  </si>
  <si>
    <t>Sumaiya Morshed</t>
  </si>
  <si>
    <t>E0375</t>
  </si>
  <si>
    <t>E0377</t>
  </si>
  <si>
    <t>Tasnim Akter</t>
  </si>
  <si>
    <t>E0378</t>
  </si>
  <si>
    <t>Ovi Shah</t>
  </si>
  <si>
    <t>E0379</t>
  </si>
  <si>
    <t>Karim Haider</t>
  </si>
  <si>
    <t>Rafi Shah</t>
  </si>
  <si>
    <t>E0381</t>
  </si>
  <si>
    <t>Imran Sadiq</t>
  </si>
  <si>
    <t>E0870</t>
  </si>
  <si>
    <t>E0382</t>
  </si>
  <si>
    <t>Farhan Sharmin</t>
  </si>
  <si>
    <t>E0384</t>
  </si>
  <si>
    <t>E0385</t>
  </si>
  <si>
    <t>E0386</t>
  </si>
  <si>
    <t>Sumaiya Sadiq</t>
  </si>
  <si>
    <t>E0467</t>
  </si>
  <si>
    <t>E0387</t>
  </si>
  <si>
    <t>Karim Alam</t>
  </si>
  <si>
    <t>E0968</t>
  </si>
  <si>
    <t>E0388</t>
  </si>
  <si>
    <t>Sadia Rahman</t>
  </si>
  <si>
    <t>E0390</t>
  </si>
  <si>
    <t>Shawon Rahman</t>
  </si>
  <si>
    <t>E0391</t>
  </si>
  <si>
    <t>E0392</t>
  </si>
  <si>
    <t>Imran Chowdhury</t>
  </si>
  <si>
    <t>E0393</t>
  </si>
  <si>
    <t>Rafi Hossain</t>
  </si>
  <si>
    <t>E0394</t>
  </si>
  <si>
    <t>Jannat Shah</t>
  </si>
  <si>
    <t>E0395</t>
  </si>
  <si>
    <t>Fahim Sultana</t>
  </si>
  <si>
    <t>E0745</t>
  </si>
  <si>
    <t>E0397</t>
  </si>
  <si>
    <t>Nafiz Banu</t>
  </si>
  <si>
    <t>E0398</t>
  </si>
  <si>
    <t>Tania Islam</t>
  </si>
  <si>
    <t>E0874</t>
  </si>
  <si>
    <t>E0399</t>
  </si>
  <si>
    <t>Lamia Sadiq</t>
  </si>
  <si>
    <t>E0400</t>
  </si>
  <si>
    <t>Farhan Hasan</t>
  </si>
  <si>
    <t>E0479</t>
  </si>
  <si>
    <t>E0401</t>
  </si>
  <si>
    <t>E0402</t>
  </si>
  <si>
    <t>E0403</t>
  </si>
  <si>
    <t>Rafi Sharmin</t>
  </si>
  <si>
    <t>Imran Khan</t>
  </si>
  <si>
    <t>E0405</t>
  </si>
  <si>
    <t>Rahim Hossain</t>
  </si>
  <si>
    <t>E0406</t>
  </si>
  <si>
    <t>Karim Parvin</t>
  </si>
  <si>
    <t>E0408</t>
  </si>
  <si>
    <t>E0409</t>
  </si>
  <si>
    <t>Ayesha Morshed</t>
  </si>
  <si>
    <t>E0410</t>
  </si>
  <si>
    <t>E0411</t>
  </si>
  <si>
    <t>Nafiz Haider</t>
  </si>
  <si>
    <t>E0412</t>
  </si>
  <si>
    <t>Ayesha Shah</t>
  </si>
  <si>
    <t>E0413</t>
  </si>
  <si>
    <t>E0513</t>
  </si>
  <si>
    <t>E0414</t>
  </si>
  <si>
    <t>Mitu Alam</t>
  </si>
  <si>
    <t>E0812</t>
  </si>
  <si>
    <t>E0415</t>
  </si>
  <si>
    <t>Shawon Morshed</t>
  </si>
  <si>
    <t>E0417</t>
  </si>
  <si>
    <t>Mitu Parvin</t>
  </si>
  <si>
    <t>E0418</t>
  </si>
  <si>
    <t>Ayesha Amin</t>
  </si>
  <si>
    <t>E0954</t>
  </si>
  <si>
    <t>E0419</t>
  </si>
  <si>
    <t>Jannat Banu</t>
  </si>
  <si>
    <t>E0421</t>
  </si>
  <si>
    <t>Farhan Mahmud</t>
  </si>
  <si>
    <t>E0422</t>
  </si>
  <si>
    <t>Noman Jahan</t>
  </si>
  <si>
    <t>E0423</t>
  </si>
  <si>
    <t>Sadia Rana</t>
  </si>
  <si>
    <t>E0424</t>
  </si>
  <si>
    <t>Rashed Hossain</t>
  </si>
  <si>
    <t>E0545</t>
  </si>
  <si>
    <t>Lamia Sarker</t>
  </si>
  <si>
    <t>E0426</t>
  </si>
  <si>
    <t>Ayesha Mahmud</t>
  </si>
  <si>
    <t>E0427</t>
  </si>
  <si>
    <t>Nabila Ferdous</t>
  </si>
  <si>
    <t>Sadia Banu</t>
  </si>
  <si>
    <t>E0429</t>
  </si>
  <si>
    <t>E0430</t>
  </si>
  <si>
    <t>Lamia Shah</t>
  </si>
  <si>
    <t>E0431</t>
  </si>
  <si>
    <t>Arif Biswas</t>
  </si>
  <si>
    <t>E0432</t>
  </si>
  <si>
    <t>Ovi Miah</t>
  </si>
  <si>
    <t>E0433</t>
  </si>
  <si>
    <t>E0434</t>
  </si>
  <si>
    <t>E0435</t>
  </si>
  <si>
    <t>Karim Uddin</t>
  </si>
  <si>
    <t>E0436</t>
  </si>
  <si>
    <t>Lamia Anjum</t>
  </si>
  <si>
    <t>E0437</t>
  </si>
  <si>
    <t>Shawon Hossain</t>
  </si>
  <si>
    <t>E0472</t>
  </si>
  <si>
    <t>E0438</t>
  </si>
  <si>
    <t>E0439</t>
  </si>
  <si>
    <t>E0518</t>
  </si>
  <si>
    <t>E0440</t>
  </si>
  <si>
    <t>Tasnim Haider</t>
  </si>
  <si>
    <t>E0441</t>
  </si>
  <si>
    <t>Fahim Chowdhury</t>
  </si>
  <si>
    <t>E0442</t>
  </si>
  <si>
    <t>E0443</t>
  </si>
  <si>
    <t>E0444</t>
  </si>
  <si>
    <t>Fahim Miah</t>
  </si>
  <si>
    <t>E0445</t>
  </si>
  <si>
    <t>Nabila Mahmud</t>
  </si>
  <si>
    <t>E0446</t>
  </si>
  <si>
    <t>Tamanna Khan</t>
  </si>
  <si>
    <t>E0447</t>
  </si>
  <si>
    <t>Nafiz Sharmin</t>
  </si>
  <si>
    <t>Arif Banu</t>
  </si>
  <si>
    <t>E0913</t>
  </si>
  <si>
    <t>E0449</t>
  </si>
  <si>
    <t>Karim Morshed</t>
  </si>
  <si>
    <t>E0450</t>
  </si>
  <si>
    <t>Nafiz Akter</t>
  </si>
  <si>
    <t>E0451</t>
  </si>
  <si>
    <t>E0452</t>
  </si>
  <si>
    <t>Shafiq Rahman</t>
  </si>
  <si>
    <t>Fahim Ahmed</t>
  </si>
  <si>
    <t>E0454</t>
  </si>
  <si>
    <t>Shawon Parvin</t>
  </si>
  <si>
    <t>E0455</t>
  </si>
  <si>
    <t>E0457</t>
  </si>
  <si>
    <t>E0458</t>
  </si>
  <si>
    <t>Nafiz Miah</t>
  </si>
  <si>
    <t>E0459</t>
  </si>
  <si>
    <t>Jannat Talukder</t>
  </si>
  <si>
    <t>E0460</t>
  </si>
  <si>
    <t>E0461</t>
  </si>
  <si>
    <t>Rafi Ahmed</t>
  </si>
  <si>
    <t>E0462</t>
  </si>
  <si>
    <t>E0463</t>
  </si>
  <si>
    <t>E0464</t>
  </si>
  <si>
    <t>Rashed Jahan</t>
  </si>
  <si>
    <t>Rahim Mahmud</t>
  </si>
  <si>
    <t>E0466</t>
  </si>
  <si>
    <t>Tania Hasan</t>
  </si>
  <si>
    <t>Rashed Haider</t>
  </si>
  <si>
    <t>E0468</t>
  </si>
  <si>
    <t>Ovi Amin</t>
  </si>
  <si>
    <t>Rafi Rasheed</t>
  </si>
  <si>
    <t>E0470</t>
  </si>
  <si>
    <t>Noman Anjum</t>
  </si>
  <si>
    <t>E0649</t>
  </si>
  <si>
    <t>E0471</t>
  </si>
  <si>
    <t>Lamia Islam</t>
  </si>
  <si>
    <t>E0473</t>
  </si>
  <si>
    <t>Nadia Shah</t>
  </si>
  <si>
    <t>E0474</t>
  </si>
  <si>
    <t>Karim Rahman</t>
  </si>
  <si>
    <t>E0475</t>
  </si>
  <si>
    <t>E0476</t>
  </si>
  <si>
    <t>E0477</t>
  </si>
  <si>
    <t>E0478</t>
  </si>
  <si>
    <t>Zahid Shah</t>
  </si>
  <si>
    <t>Priya Rahman</t>
  </si>
  <si>
    <t>E0480</t>
  </si>
  <si>
    <t>Nadia Sharmin</t>
  </si>
  <si>
    <t>E0670</t>
  </si>
  <si>
    <t>E0481</t>
  </si>
  <si>
    <t>Nafiz Islam</t>
  </si>
  <si>
    <t>E0482</t>
  </si>
  <si>
    <t>Ayesha Chowdhury</t>
  </si>
  <si>
    <t>E0483</t>
  </si>
  <si>
    <t>Nafiz Rahman</t>
  </si>
  <si>
    <t>E0484</t>
  </si>
  <si>
    <t>Tamanna Miah</t>
  </si>
  <si>
    <t>E0485</t>
  </si>
  <si>
    <t>E0486</t>
  </si>
  <si>
    <t>Tania Akter</t>
  </si>
  <si>
    <t>E0487</t>
  </si>
  <si>
    <t>Esha Parvin</t>
  </si>
  <si>
    <t>E0489</t>
  </si>
  <si>
    <t>Karim Ferdous</t>
  </si>
  <si>
    <t>E0490</t>
  </si>
  <si>
    <t>Esha Khan</t>
  </si>
  <si>
    <t>E0997</t>
  </si>
  <si>
    <t>E0491</t>
  </si>
  <si>
    <t>Tania Banu</t>
  </si>
  <si>
    <t>E0635</t>
  </si>
  <si>
    <t>E0492</t>
  </si>
  <si>
    <t>Priya Rana</t>
  </si>
  <si>
    <t>E0493</t>
  </si>
  <si>
    <t>Priya Sarker</t>
  </si>
  <si>
    <t>E0494</t>
  </si>
  <si>
    <t>E0495</t>
  </si>
  <si>
    <t>Fahim Kabir</t>
  </si>
  <si>
    <t>E0496</t>
  </si>
  <si>
    <t>E0497</t>
  </si>
  <si>
    <t>Esha Jahan</t>
  </si>
  <si>
    <t>E0498</t>
  </si>
  <si>
    <t>Ovi Mahmud</t>
  </si>
  <si>
    <t>E0499</t>
  </si>
  <si>
    <t>Ovi Parvin</t>
  </si>
  <si>
    <t>E0501</t>
  </si>
  <si>
    <t>E0502</t>
  </si>
  <si>
    <t>E0503</t>
  </si>
  <si>
    <t>Rashed Hasan</t>
  </si>
  <si>
    <t>E0504</t>
  </si>
  <si>
    <t>E0505</t>
  </si>
  <si>
    <t>Sajid Chowdhury</t>
  </si>
  <si>
    <t>E0506</t>
  </si>
  <si>
    <t>E0507</t>
  </si>
  <si>
    <t>E0508</t>
  </si>
  <si>
    <t>E0509</t>
  </si>
  <si>
    <t>Farhan Chowdhury</t>
  </si>
  <si>
    <t>E0510</t>
  </si>
  <si>
    <t>Lamia Chowdhury</t>
  </si>
  <si>
    <t>E0512</t>
  </si>
  <si>
    <t>Rafi Sarker</t>
  </si>
  <si>
    <t>E0514</t>
  </si>
  <si>
    <t>E0515</t>
  </si>
  <si>
    <t>Tania Rana</t>
  </si>
  <si>
    <t>E0516</t>
  </si>
  <si>
    <t>Noman Haider</t>
  </si>
  <si>
    <t>E0517</t>
  </si>
  <si>
    <t>Sadia Chowdhury</t>
  </si>
  <si>
    <t>E0640</t>
  </si>
  <si>
    <t>E0519</t>
  </si>
  <si>
    <t>E0521</t>
  </si>
  <si>
    <t>Ayesha Ahmed</t>
  </si>
  <si>
    <t>E0522</t>
  </si>
  <si>
    <t>Sumaiya Shah</t>
  </si>
  <si>
    <t>E0559</t>
  </si>
  <si>
    <t>E0523</t>
  </si>
  <si>
    <t>Karim Sharmin</t>
  </si>
  <si>
    <t>E0524</t>
  </si>
  <si>
    <t>E0525</t>
  </si>
  <si>
    <t>E0526</t>
  </si>
  <si>
    <t>E0527</t>
  </si>
  <si>
    <t>Rashed Rana</t>
  </si>
  <si>
    <t>E0529</t>
  </si>
  <si>
    <t>Nabila Islam</t>
  </si>
  <si>
    <t>E0530</t>
  </si>
  <si>
    <t>Fahim Islam</t>
  </si>
  <si>
    <t>E0531</t>
  </si>
  <si>
    <t>E0532</t>
  </si>
  <si>
    <t>Mahin Akter</t>
  </si>
  <si>
    <t>Farhan Sarker</t>
  </si>
  <si>
    <t>E0534</t>
  </si>
  <si>
    <t>E0535</t>
  </si>
  <si>
    <t>E0536</t>
  </si>
  <si>
    <t>E0537</t>
  </si>
  <si>
    <t>Nabila Banu</t>
  </si>
  <si>
    <t>E0539</t>
  </si>
  <si>
    <t>E0540</t>
  </si>
  <si>
    <t>E0541</t>
  </si>
  <si>
    <t>Arif Kabir</t>
  </si>
  <si>
    <t>E0542</t>
  </si>
  <si>
    <t>Ayesha Talukder</t>
  </si>
  <si>
    <t>Nadia Hasan</t>
  </si>
  <si>
    <t>E0544</t>
  </si>
  <si>
    <t>Tania Sultana</t>
  </si>
  <si>
    <t>E0546</t>
  </si>
  <si>
    <t>E0547</t>
  </si>
  <si>
    <t>Sadia Talukder</t>
  </si>
  <si>
    <t>E0548</t>
  </si>
  <si>
    <t>Mahin Sarker</t>
  </si>
  <si>
    <t>E0549</t>
  </si>
  <si>
    <t>Rafi Sadiq</t>
  </si>
  <si>
    <t>E0550</t>
  </si>
  <si>
    <t>Nafiz Rasheed</t>
  </si>
  <si>
    <t>E0551</t>
  </si>
  <si>
    <t>Fahim Alam</t>
  </si>
  <si>
    <t>E0552</t>
  </si>
  <si>
    <t>Rahim Hasan</t>
  </si>
  <si>
    <t>E0553</t>
  </si>
  <si>
    <t>E0555</t>
  </si>
  <si>
    <t>Noman Shah</t>
  </si>
  <si>
    <t>E0556</t>
  </si>
  <si>
    <t>E0557</t>
  </si>
  <si>
    <t>Sumaiya Chowdhury</t>
  </si>
  <si>
    <t>E0558</t>
  </si>
  <si>
    <t>Nafiz Uddin</t>
  </si>
  <si>
    <t>E0561</t>
  </si>
  <si>
    <t>Tasnim Hasan</t>
  </si>
  <si>
    <t>E0562</t>
  </si>
  <si>
    <t>Farhan Alam</t>
  </si>
  <si>
    <t>E0563</t>
  </si>
  <si>
    <t>E0564</t>
  </si>
  <si>
    <t>Rashed Morshed</t>
  </si>
  <si>
    <t>E0566</t>
  </si>
  <si>
    <t>E0567</t>
  </si>
  <si>
    <t>E0568</t>
  </si>
  <si>
    <t>E0569</t>
  </si>
  <si>
    <t>E0570</t>
  </si>
  <si>
    <t>Rashed Ahmed</t>
  </si>
  <si>
    <t>E0571</t>
  </si>
  <si>
    <t>Jannat Amin</t>
  </si>
  <si>
    <t>E0572</t>
  </si>
  <si>
    <t>E0573</t>
  </si>
  <si>
    <t>E0897</t>
  </si>
  <si>
    <t>E0575</t>
  </si>
  <si>
    <t>Sajid Parvin</t>
  </si>
  <si>
    <t>E0576</t>
  </si>
  <si>
    <t>Shawon Kabir</t>
  </si>
  <si>
    <t>E0577</t>
  </si>
  <si>
    <t>E0578</t>
  </si>
  <si>
    <t>E0579</t>
  </si>
  <si>
    <t>Sadia Khan</t>
  </si>
  <si>
    <t>E0581</t>
  </si>
  <si>
    <t>E0582</t>
  </si>
  <si>
    <t>Tania Sarker</t>
  </si>
  <si>
    <t>E0583</t>
  </si>
  <si>
    <t>E0584</t>
  </si>
  <si>
    <t>Noman Hasan</t>
  </si>
  <si>
    <t>Mitu Morshed</t>
  </si>
  <si>
    <t>E0586</t>
  </si>
  <si>
    <t>Nadia Hossain</t>
  </si>
  <si>
    <t>E0587</t>
  </si>
  <si>
    <t>E0588</t>
  </si>
  <si>
    <t>Jannat Rahman</t>
  </si>
  <si>
    <t>E0589</t>
  </si>
  <si>
    <t>Tamanna Kabir</t>
  </si>
  <si>
    <t>E0590</t>
  </si>
  <si>
    <t>Shafiq Hasan</t>
  </si>
  <si>
    <t>E0591</t>
  </si>
  <si>
    <t>E0593</t>
  </si>
  <si>
    <t>E0594</t>
  </si>
  <si>
    <t>E0596</t>
  </si>
  <si>
    <t>E0597</t>
  </si>
  <si>
    <t>E0598</t>
  </si>
  <si>
    <t>E0599</t>
  </si>
  <si>
    <t>E0600</t>
  </si>
  <si>
    <t>Sajid Rahman</t>
  </si>
  <si>
    <t>E0601</t>
  </si>
  <si>
    <t>E0603</t>
  </si>
  <si>
    <t>Rafi Akter</t>
  </si>
  <si>
    <t>E0604</t>
  </si>
  <si>
    <t>E0605</t>
  </si>
  <si>
    <t>E0606</t>
  </si>
  <si>
    <t>Nadia Morshed</t>
  </si>
  <si>
    <t>E0607</t>
  </si>
  <si>
    <t>E0608</t>
  </si>
  <si>
    <t>E0609</t>
  </si>
  <si>
    <t>E0610</t>
  </si>
  <si>
    <t>Priya Morshed</t>
  </si>
  <si>
    <t>E0611</t>
  </si>
  <si>
    <t>E0612</t>
  </si>
  <si>
    <t>E0613</t>
  </si>
  <si>
    <t>E0614</t>
  </si>
  <si>
    <t>Farhan Anjum</t>
  </si>
  <si>
    <t>E0615</t>
  </si>
  <si>
    <t>Mahin Banu</t>
  </si>
  <si>
    <t>E0616</t>
  </si>
  <si>
    <t>E0619</t>
  </si>
  <si>
    <t>E0620</t>
  </si>
  <si>
    <t>E0621</t>
  </si>
  <si>
    <t>E0622</t>
  </si>
  <si>
    <t>E0623</t>
  </si>
  <si>
    <t>E0625</t>
  </si>
  <si>
    <t>Tamanna Shah</t>
  </si>
  <si>
    <t>E0626</t>
  </si>
  <si>
    <t>E0627</t>
  </si>
  <si>
    <t>E0628</t>
  </si>
  <si>
    <t>Tamanna Ahmed</t>
  </si>
  <si>
    <t>E0629</t>
  </si>
  <si>
    <t>Farhan Rahman</t>
  </si>
  <si>
    <t>Rahim Banu</t>
  </si>
  <si>
    <t>E0631</t>
  </si>
  <si>
    <t>E0955</t>
  </si>
  <si>
    <t>E0632</t>
  </si>
  <si>
    <t>Mahin Rahman</t>
  </si>
  <si>
    <t>E0633</t>
  </si>
  <si>
    <t>Farhan Amin</t>
  </si>
  <si>
    <t>E0634</t>
  </si>
  <si>
    <t>E0636</t>
  </si>
  <si>
    <t>E0637</t>
  </si>
  <si>
    <t>E0638</t>
  </si>
  <si>
    <t>Jannat Sarker</t>
  </si>
  <si>
    <t>Karim Talukder</t>
  </si>
  <si>
    <t>E0641</t>
  </si>
  <si>
    <t>Nabila Jahan</t>
  </si>
  <si>
    <t>E0643</t>
  </si>
  <si>
    <t>Shafiq Uddin</t>
  </si>
  <si>
    <t>E0644</t>
  </si>
  <si>
    <t>Tasnim Sarker</t>
  </si>
  <si>
    <t>E0645</t>
  </si>
  <si>
    <t>Nafiz Hossain</t>
  </si>
  <si>
    <t>E0647</t>
  </si>
  <si>
    <t>Rafi Anjum</t>
  </si>
  <si>
    <t>E0650</t>
  </si>
  <si>
    <t>Sajid Jahan</t>
  </si>
  <si>
    <t>E0651</t>
  </si>
  <si>
    <t>E0652</t>
  </si>
  <si>
    <t>E0653</t>
  </si>
  <si>
    <t>Sadia Islam</t>
  </si>
  <si>
    <t>E0654</t>
  </si>
  <si>
    <t>Noman Sharmin</t>
  </si>
  <si>
    <t>E0655</t>
  </si>
  <si>
    <t>Rashed Anjum</t>
  </si>
  <si>
    <t>Arif Haider</t>
  </si>
  <si>
    <t>E0658</t>
  </si>
  <si>
    <t>E0659</t>
  </si>
  <si>
    <t>E0660</t>
  </si>
  <si>
    <t>E0661</t>
  </si>
  <si>
    <t>Karim Mahmud</t>
  </si>
  <si>
    <t>E0662</t>
  </si>
  <si>
    <t>Tamanna Sharmin</t>
  </si>
  <si>
    <t>E0664</t>
  </si>
  <si>
    <t>Rahim Miah</t>
  </si>
  <si>
    <t>Farhan Sadiq</t>
  </si>
  <si>
    <t>E0666</t>
  </si>
  <si>
    <t>Imran Sharmin</t>
  </si>
  <si>
    <t>E0667</t>
  </si>
  <si>
    <t>E0669</t>
  </si>
  <si>
    <t>Fahim Rana</t>
  </si>
  <si>
    <t>E0671</t>
  </si>
  <si>
    <t>E0673</t>
  </si>
  <si>
    <t>Zahid Rahman</t>
  </si>
  <si>
    <t>E0674</t>
  </si>
  <si>
    <t>Mahin Shah</t>
  </si>
  <si>
    <t>E0675</t>
  </si>
  <si>
    <t>Ovi Uddin</t>
  </si>
  <si>
    <t>E0676</t>
  </si>
  <si>
    <t>E0677</t>
  </si>
  <si>
    <t>Tania Mahmud</t>
  </si>
  <si>
    <t>E0678</t>
  </si>
  <si>
    <t>E0679</t>
  </si>
  <si>
    <t>E0680</t>
  </si>
  <si>
    <t>Arif Uddin</t>
  </si>
  <si>
    <t>E0687</t>
  </si>
  <si>
    <t>E0681</t>
  </si>
  <si>
    <t>Sumaiya Haider</t>
  </si>
  <si>
    <t>Lamia Sharmin</t>
  </si>
  <si>
    <t>E0683</t>
  </si>
  <si>
    <t>E0685</t>
  </si>
  <si>
    <t>Lamia Khan</t>
  </si>
  <si>
    <t>E0689</t>
  </si>
  <si>
    <t>E0690</t>
  </si>
  <si>
    <t>Sajid Anjum</t>
  </si>
  <si>
    <t>E0691</t>
  </si>
  <si>
    <t>Nabila Hasan</t>
  </si>
  <si>
    <t>E0692</t>
  </si>
  <si>
    <t>Sadia Jahan</t>
  </si>
  <si>
    <t>E0693</t>
  </si>
  <si>
    <t>Sadia Sarker</t>
  </si>
  <si>
    <t>E0694</t>
  </si>
  <si>
    <t>Shawon Uddin</t>
  </si>
  <si>
    <t>E0695</t>
  </si>
  <si>
    <t>Tamanna Alam</t>
  </si>
  <si>
    <t>E0696</t>
  </si>
  <si>
    <t>Mahin Rasheed</t>
  </si>
  <si>
    <t>E0697</t>
  </si>
  <si>
    <t>E0698</t>
  </si>
  <si>
    <t>E0700</t>
  </si>
  <si>
    <t>Mahin Amin</t>
  </si>
  <si>
    <t>E0702</t>
  </si>
  <si>
    <t>E0703</t>
  </si>
  <si>
    <t>E0704</t>
  </si>
  <si>
    <t>Lamia Rasheed</t>
  </si>
  <si>
    <t>E0705</t>
  </si>
  <si>
    <t>Esha Talukder</t>
  </si>
  <si>
    <t>E0706</t>
  </si>
  <si>
    <t>E0707</t>
  </si>
  <si>
    <t>E0708</t>
  </si>
  <si>
    <t>E0710</t>
  </si>
  <si>
    <t>E0711</t>
  </si>
  <si>
    <t>E0712</t>
  </si>
  <si>
    <t>Tamanna Morshed</t>
  </si>
  <si>
    <t>E0713</t>
  </si>
  <si>
    <t>E0714</t>
  </si>
  <si>
    <t>E0715</t>
  </si>
  <si>
    <t>Tamanna Chowdhury</t>
  </si>
  <si>
    <t>Tasnim Hossain</t>
  </si>
  <si>
    <t>E0717</t>
  </si>
  <si>
    <t>Tania Chowdhury</t>
  </si>
  <si>
    <t>E0718</t>
  </si>
  <si>
    <t>E0720</t>
  </si>
  <si>
    <t>E0721</t>
  </si>
  <si>
    <t>E0722</t>
  </si>
  <si>
    <t>Mahin Haider</t>
  </si>
  <si>
    <t>E0723</t>
  </si>
  <si>
    <t>E0724</t>
  </si>
  <si>
    <t>Farhan Rasheed</t>
  </si>
  <si>
    <t>E0725</t>
  </si>
  <si>
    <t>E0726</t>
  </si>
  <si>
    <t>Shafiq Banu</t>
  </si>
  <si>
    <t>E0727</t>
  </si>
  <si>
    <t>E0729</t>
  </si>
  <si>
    <t>E0730</t>
  </si>
  <si>
    <t>E0731</t>
  </si>
  <si>
    <t>E0732</t>
  </si>
  <si>
    <t>Noman Rana</t>
  </si>
  <si>
    <t>E0733</t>
  </si>
  <si>
    <t>Nadia Ferdous</t>
  </si>
  <si>
    <t>E0734</t>
  </si>
  <si>
    <t>E0735</t>
  </si>
  <si>
    <t>E0786</t>
  </si>
  <si>
    <t>Sajid Biswas</t>
  </si>
  <si>
    <t>E0737</t>
  </si>
  <si>
    <t>E0738</t>
  </si>
  <si>
    <t>Rashed Biswas</t>
  </si>
  <si>
    <t>E0739</t>
  </si>
  <si>
    <t>E0740</t>
  </si>
  <si>
    <t>Mahin Ferdous</t>
  </si>
  <si>
    <t>E0743</t>
  </si>
  <si>
    <t>E0744</t>
  </si>
  <si>
    <t>E0746</t>
  </si>
  <si>
    <t>E0747</t>
  </si>
  <si>
    <t>E0748</t>
  </si>
  <si>
    <t>E0750</t>
  </si>
  <si>
    <t>Sadia Anjum</t>
  </si>
  <si>
    <t>E0751</t>
  </si>
  <si>
    <t>E0752</t>
  </si>
  <si>
    <t>E0753</t>
  </si>
  <si>
    <t>E0754</t>
  </si>
  <si>
    <t>E0757</t>
  </si>
  <si>
    <t>E0758</t>
  </si>
  <si>
    <t>E0759</t>
  </si>
  <si>
    <t>Nabila Morshed</t>
  </si>
  <si>
    <t>E0760</t>
  </si>
  <si>
    <t>Ovi Rana</t>
  </si>
  <si>
    <t>E0761</t>
  </si>
  <si>
    <t>Shafiq Chowdhury</t>
  </si>
  <si>
    <t>Nadia Khan</t>
  </si>
  <si>
    <t>E0763</t>
  </si>
  <si>
    <t>E0764</t>
  </si>
  <si>
    <t>E0765</t>
  </si>
  <si>
    <t>Rafi Alam</t>
  </si>
  <si>
    <t>E0766</t>
  </si>
  <si>
    <t>Arif Chowdhury</t>
  </si>
  <si>
    <t>E0767</t>
  </si>
  <si>
    <t>E0768</t>
  </si>
  <si>
    <t>E0769</t>
  </si>
  <si>
    <t>Ovi Biswas</t>
  </si>
  <si>
    <t>E0770</t>
  </si>
  <si>
    <t>Arif Islam</t>
  </si>
  <si>
    <t>E0771</t>
  </si>
  <si>
    <t>E0773</t>
  </si>
  <si>
    <t>E0776</t>
  </si>
  <si>
    <t>E0778</t>
  </si>
  <si>
    <t>E0779</t>
  </si>
  <si>
    <t>Ayesha Jahan</t>
  </si>
  <si>
    <t>E0781</t>
  </si>
  <si>
    <t>Lamia Amin</t>
  </si>
  <si>
    <t>Shawon Haider</t>
  </si>
  <si>
    <t>Nabila Miah</t>
  </si>
  <si>
    <t>E0784</t>
  </si>
  <si>
    <t>E0785</t>
  </si>
  <si>
    <t>E0787</t>
  </si>
  <si>
    <t>Shafiq Rana</t>
  </si>
  <si>
    <t>E0788</t>
  </si>
  <si>
    <t>E0789</t>
  </si>
  <si>
    <t>E0790</t>
  </si>
  <si>
    <t>Rafi Biswas</t>
  </si>
  <si>
    <t>E0791</t>
  </si>
  <si>
    <t>Nabila Khan</t>
  </si>
  <si>
    <t>E0792</t>
  </si>
  <si>
    <t>Shawon Banu</t>
  </si>
  <si>
    <t>E0793</t>
  </si>
  <si>
    <t>E0794</t>
  </si>
  <si>
    <t>E0795</t>
  </si>
  <si>
    <t>E0796</t>
  </si>
  <si>
    <t>Tasnim Ahmed</t>
  </si>
  <si>
    <t>E0798</t>
  </si>
  <si>
    <t>Esha Sarker</t>
  </si>
  <si>
    <t>E0799</t>
  </si>
  <si>
    <t>Rafi Uddin</t>
  </si>
  <si>
    <t>E0800</t>
  </si>
  <si>
    <t>Karim Biswas</t>
  </si>
  <si>
    <t>E0802</t>
  </si>
  <si>
    <t>Nafiz Hasan</t>
  </si>
  <si>
    <t>E0803</t>
  </si>
  <si>
    <t>Sajid Amin</t>
  </si>
  <si>
    <t>E0804</t>
  </si>
  <si>
    <t>Nadia Rana</t>
  </si>
  <si>
    <t>E0805</t>
  </si>
  <si>
    <t>Zahid Sadiq</t>
  </si>
  <si>
    <t>E0806</t>
  </si>
  <si>
    <t>E0807</t>
  </si>
  <si>
    <t>E0808</t>
  </si>
  <si>
    <t>E0809</t>
  </si>
  <si>
    <t>E0810</t>
  </si>
  <si>
    <t>E0811</t>
  </si>
  <si>
    <t>Mahin Mahmud</t>
  </si>
  <si>
    <t>Fahim Banu</t>
  </si>
  <si>
    <t>E0813</t>
  </si>
  <si>
    <t>E0814</t>
  </si>
  <si>
    <t>E0815</t>
  </si>
  <si>
    <t>Rahim Shah</t>
  </si>
  <si>
    <t>E0817</t>
  </si>
  <si>
    <t>Mitu Islam</t>
  </si>
  <si>
    <t>E0818</t>
  </si>
  <si>
    <t>Nabila Anjum</t>
  </si>
  <si>
    <t>E0819</t>
  </si>
  <si>
    <t>E0820</t>
  </si>
  <si>
    <t>E0821</t>
  </si>
  <si>
    <t>E0822</t>
  </si>
  <si>
    <t>E0823</t>
  </si>
  <si>
    <t>E0824</t>
  </si>
  <si>
    <t>Noman Talukder</t>
  </si>
  <si>
    <t>E0825</t>
  </si>
  <si>
    <t>E0826</t>
  </si>
  <si>
    <t>E0827</t>
  </si>
  <si>
    <t>Farhan Rana</t>
  </si>
  <si>
    <t>E0829</t>
  </si>
  <si>
    <t>E0830</t>
  </si>
  <si>
    <t>E0832</t>
  </si>
  <si>
    <t>Farhan Jahan</t>
  </si>
  <si>
    <t>E0833</t>
  </si>
  <si>
    <t>E0834</t>
  </si>
  <si>
    <t>Shafiq Ferdous</t>
  </si>
  <si>
    <t>E0835</t>
  </si>
  <si>
    <t>Sajid Sultana</t>
  </si>
  <si>
    <t>E0836</t>
  </si>
  <si>
    <t>E0837</t>
  </si>
  <si>
    <t>E0838</t>
  </si>
  <si>
    <t>Mahin Biswas</t>
  </si>
  <si>
    <t>E0840</t>
  </si>
  <si>
    <t>E0841</t>
  </si>
  <si>
    <t>E0842</t>
  </si>
  <si>
    <t>E0843</t>
  </si>
  <si>
    <t>Ayesha Kabir</t>
  </si>
  <si>
    <t>E0844</t>
  </si>
  <si>
    <t>Nafiz Shah</t>
  </si>
  <si>
    <t>E0846</t>
  </si>
  <si>
    <t>Sumaiya Talukder</t>
  </si>
  <si>
    <t>E0847</t>
  </si>
  <si>
    <t>E0848</t>
  </si>
  <si>
    <t>Zahid Islam</t>
  </si>
  <si>
    <t>E0850</t>
  </si>
  <si>
    <t>E0851</t>
  </si>
  <si>
    <t>Esha Mahmud</t>
  </si>
  <si>
    <t>E0853</t>
  </si>
  <si>
    <t>E0854</t>
  </si>
  <si>
    <t>Esha Ferdous</t>
  </si>
  <si>
    <t>Tasnim Ferdous</t>
  </si>
  <si>
    <t>E0856</t>
  </si>
  <si>
    <t>Sajid Miah</t>
  </si>
  <si>
    <t>E0857</t>
  </si>
  <si>
    <t>E0858</t>
  </si>
  <si>
    <t>E0859</t>
  </si>
  <si>
    <t>Nadia Ahmed</t>
  </si>
  <si>
    <t>E0860</t>
  </si>
  <si>
    <t>Shafiq Alam</t>
  </si>
  <si>
    <t>E0862</t>
  </si>
  <si>
    <t>E0863</t>
  </si>
  <si>
    <t>Esha Haider</t>
  </si>
  <si>
    <t>E0864</t>
  </si>
  <si>
    <t>Jannat Khan</t>
  </si>
  <si>
    <t>E0867</t>
  </si>
  <si>
    <t>E0868</t>
  </si>
  <si>
    <t>E0869</t>
  </si>
  <si>
    <t>Nabila Haider</t>
  </si>
  <si>
    <t>Tania Sadiq</t>
  </si>
  <si>
    <t>E0872</t>
  </si>
  <si>
    <t>Imran Banu</t>
  </si>
  <si>
    <t>E0873</t>
  </si>
  <si>
    <t>E0875</t>
  </si>
  <si>
    <t>E0876</t>
  </si>
  <si>
    <t>E0877</t>
  </si>
  <si>
    <t>E0878</t>
  </si>
  <si>
    <t>E0879</t>
  </si>
  <si>
    <t>E0880</t>
  </si>
  <si>
    <t>Arif Amin</t>
  </si>
  <si>
    <t>E0883</t>
  </si>
  <si>
    <t>Ayesha Anjum</t>
  </si>
  <si>
    <t>E0884</t>
  </si>
  <si>
    <t>E0885</t>
  </si>
  <si>
    <t>E0886</t>
  </si>
  <si>
    <t>Shafiq Biswas</t>
  </si>
  <si>
    <t>E0887</t>
  </si>
  <si>
    <t>Rafi Morshed</t>
  </si>
  <si>
    <t>E0888</t>
  </si>
  <si>
    <t>E0889</t>
  </si>
  <si>
    <t>Rahim Alam</t>
  </si>
  <si>
    <t>E0891</t>
  </si>
  <si>
    <t>E0892</t>
  </si>
  <si>
    <t>E0894</t>
  </si>
  <si>
    <t>Tasnim Miah</t>
  </si>
  <si>
    <t>E0895</t>
  </si>
  <si>
    <t>E0896</t>
  </si>
  <si>
    <t>Mahin Hasan</t>
  </si>
  <si>
    <t>E0898</t>
  </si>
  <si>
    <t>Sadia Haider</t>
  </si>
  <si>
    <t>E0899</t>
  </si>
  <si>
    <t>E0900</t>
  </si>
  <si>
    <t>E0901</t>
  </si>
  <si>
    <t>E0902</t>
  </si>
  <si>
    <t>E0903</t>
  </si>
  <si>
    <t>E0904</t>
  </si>
  <si>
    <t>Esha Anjum</t>
  </si>
  <si>
    <t>E0905</t>
  </si>
  <si>
    <t>E0906</t>
  </si>
  <si>
    <t>E0908</t>
  </si>
  <si>
    <t>Tania Talukder</t>
  </si>
  <si>
    <t>E0910</t>
  </si>
  <si>
    <t>E0911</t>
  </si>
  <si>
    <t>Ayesha Islam</t>
  </si>
  <si>
    <t>E0914</t>
  </si>
  <si>
    <t>Arif Sadiq</t>
  </si>
  <si>
    <t>E0915</t>
  </si>
  <si>
    <t>Jannat Kabir</t>
  </si>
  <si>
    <t>E0916</t>
  </si>
  <si>
    <t>Zahid Chowdhury</t>
  </si>
  <si>
    <t>E0918</t>
  </si>
  <si>
    <t>E0919</t>
  </si>
  <si>
    <t>E0920</t>
  </si>
  <si>
    <t>E0921</t>
  </si>
  <si>
    <t>E0922</t>
  </si>
  <si>
    <t>Tamanna Talukder</t>
  </si>
  <si>
    <t>E0923</t>
  </si>
  <si>
    <t>Priya Sharmin</t>
  </si>
  <si>
    <t>E0924</t>
  </si>
  <si>
    <t>E0925</t>
  </si>
  <si>
    <t>E0926</t>
  </si>
  <si>
    <t>Nabila Talukder</t>
  </si>
  <si>
    <t>E0928</t>
  </si>
  <si>
    <t>Rashed Khan</t>
  </si>
  <si>
    <t>E0929</t>
  </si>
  <si>
    <t>Farhan Akter</t>
  </si>
  <si>
    <t>E0930</t>
  </si>
  <si>
    <t>E0931</t>
  </si>
  <si>
    <t>E0932</t>
  </si>
  <si>
    <t>Shafiq Shah</t>
  </si>
  <si>
    <t>E0933</t>
  </si>
  <si>
    <t>E0934</t>
  </si>
  <si>
    <t>E0935</t>
  </si>
  <si>
    <t>E0937</t>
  </si>
  <si>
    <t>E0939</t>
  </si>
  <si>
    <t>E0940</t>
  </si>
  <si>
    <t>E0941</t>
  </si>
  <si>
    <t>E0942</t>
  </si>
  <si>
    <t>E0943</t>
  </si>
  <si>
    <t>E0944</t>
  </si>
  <si>
    <t>E0945</t>
  </si>
  <si>
    <t>E0946</t>
  </si>
  <si>
    <t>E0947</t>
  </si>
  <si>
    <t>Tasnim Islam</t>
  </si>
  <si>
    <t>E0948</t>
  </si>
  <si>
    <t>E0949</t>
  </si>
  <si>
    <t>E0950</t>
  </si>
  <si>
    <t>E0951</t>
  </si>
  <si>
    <t>E0952</t>
  </si>
  <si>
    <t>E0953</t>
  </si>
  <si>
    <t>E0957</t>
  </si>
  <si>
    <t>Rashed Rasheed</t>
  </si>
  <si>
    <t>E0958</t>
  </si>
  <si>
    <t>Mahin Parvin</t>
  </si>
  <si>
    <t>E0959</t>
  </si>
  <si>
    <t>E0960</t>
  </si>
  <si>
    <t>E0961</t>
  </si>
  <si>
    <t>Imran Rahman</t>
  </si>
  <si>
    <t>E0962</t>
  </si>
  <si>
    <t>Karim Miah</t>
  </si>
  <si>
    <t>Ovi Ahmed</t>
  </si>
  <si>
    <t>E0964</t>
  </si>
  <si>
    <t>E0966</t>
  </si>
  <si>
    <t>E0967</t>
  </si>
  <si>
    <t>Tamanna Hasan</t>
  </si>
  <si>
    <t>E0969</t>
  </si>
  <si>
    <t>E0970</t>
  </si>
  <si>
    <t>Arif Ahmed</t>
  </si>
  <si>
    <t>E0971</t>
  </si>
  <si>
    <t>E0973</t>
  </si>
  <si>
    <t>Imran Parvin</t>
  </si>
  <si>
    <t>E0974</t>
  </si>
  <si>
    <t>E0975</t>
  </si>
  <si>
    <t>Sumaiya Anjum</t>
  </si>
  <si>
    <t>Mahin Sadiq</t>
  </si>
  <si>
    <t>E0977</t>
  </si>
  <si>
    <t>E0978</t>
  </si>
  <si>
    <t>Nadia Amin</t>
  </si>
  <si>
    <t>Sajid Hossain</t>
  </si>
  <si>
    <t>E0981</t>
  </si>
  <si>
    <t>E0983</t>
  </si>
  <si>
    <t>E0984</t>
  </si>
  <si>
    <t>E0985</t>
  </si>
  <si>
    <t>E0986</t>
  </si>
  <si>
    <t>E0987</t>
  </si>
  <si>
    <t>E0988</t>
  </si>
  <si>
    <t>Fahim Shah</t>
  </si>
  <si>
    <t>E0992</t>
  </si>
  <si>
    <t>Arif Sharmin</t>
  </si>
  <si>
    <t>E0993</t>
  </si>
  <si>
    <t>E0994</t>
  </si>
  <si>
    <t>E0995</t>
  </si>
  <si>
    <t>E0996</t>
  </si>
  <si>
    <t>Esha Uddin</t>
  </si>
  <si>
    <t>E0998</t>
  </si>
  <si>
    <t>E0999</t>
  </si>
  <si>
    <t>E1000</t>
  </si>
  <si>
    <t>Temporary column</t>
  </si>
  <si>
    <t>Median</t>
  </si>
  <si>
    <t>Tenure</t>
  </si>
  <si>
    <t>Tenure groups</t>
  </si>
  <si>
    <t>Data Preparation and Validation</t>
  </si>
  <si>
    <r>
      <t>·</t>
    </r>
    <r>
      <rPr>
        <sz val="7"/>
        <color theme="1"/>
        <rFont val="Times New Roman"/>
        <charset val="134"/>
      </rPr>
      <t> </t>
    </r>
    <r>
      <rPr>
        <sz val="11"/>
        <color theme="1"/>
        <rFont val="Cambria"/>
        <charset val="134"/>
      </rPr>
      <t>Verify that employee identifiers are unique.</t>
    </r>
  </si>
  <si>
    <r>
      <t>·</t>
    </r>
    <r>
      <rPr>
        <sz val="7"/>
        <color theme="1"/>
        <rFont val="Times New Roman"/>
        <charset val="134"/>
      </rPr>
      <t> </t>
    </r>
    <r>
      <rPr>
        <sz val="11"/>
        <color theme="1"/>
        <rFont val="Cambria"/>
        <charset val="134"/>
      </rPr>
      <t>Ensure salary values are valid and greater than zero.</t>
    </r>
  </si>
  <si>
    <r>
      <t>·</t>
    </r>
    <r>
      <rPr>
        <sz val="7"/>
        <color theme="1"/>
        <rFont val="Times New Roman"/>
        <charset val="134"/>
      </rPr>
      <t> </t>
    </r>
    <r>
      <rPr>
        <sz val="11"/>
        <color theme="1"/>
        <rFont val="Cambria"/>
        <charset val="134"/>
      </rPr>
      <t>Identify and document missing reporting structure or location information.</t>
    </r>
  </si>
  <si>
    <r>
      <t>·</t>
    </r>
    <r>
      <rPr>
        <sz val="7"/>
        <color theme="1"/>
        <rFont val="Times New Roman"/>
        <charset val="134"/>
      </rPr>
      <t> </t>
    </r>
    <r>
      <rPr>
        <sz val="11"/>
        <color theme="1"/>
        <rFont val="Cambria"/>
        <charset val="134"/>
      </rPr>
      <t>Confirm that date fields are correctly formatted and logically consistent.</t>
    </r>
  </si>
  <si>
    <r>
      <t>·</t>
    </r>
    <r>
      <rPr>
        <sz val="7"/>
        <color theme="1"/>
        <rFont val="Times New Roman"/>
        <charset val="134"/>
      </rPr>
      <t> </t>
    </r>
    <r>
      <rPr>
        <sz val="11"/>
        <color theme="1"/>
        <rFont val="Cambria"/>
        <charset val="134"/>
      </rPr>
      <t>Standardize department and job title naming conventions.</t>
    </r>
  </si>
  <si>
    <t>Analytical Questions</t>
  </si>
  <si>
    <t>1. What is the distribution of employees across departments?</t>
  </si>
  <si>
    <r>
      <t>2. </t>
    </r>
    <r>
      <rPr>
        <sz val="11"/>
        <color theme="1"/>
        <rFont val="Cambria"/>
        <charset val="134"/>
      </rPr>
      <t>Which departments employ the largest number of staff members?</t>
    </r>
  </si>
  <si>
    <t>3. How is the workforce distributed across employment types?</t>
  </si>
  <si>
    <t>4. Which locations host the largest number of employees?</t>
  </si>
  <si>
    <r>
      <t>5. </t>
    </r>
    <r>
      <rPr>
        <sz val="11"/>
        <color theme="1"/>
        <rFont val="Cambria"/>
        <charset val="134"/>
      </rPr>
      <t>What is the average compensation level within each department?</t>
    </r>
  </si>
  <si>
    <r>
      <t>6. </t>
    </r>
    <r>
      <rPr>
        <sz val="11"/>
        <color theme="1"/>
        <rFont val="Cambria"/>
        <charset val="134"/>
      </rPr>
      <t>Which departments demonstrate the highest and lowest salary averages?</t>
    </r>
  </si>
  <si>
    <r>
      <t>8. </t>
    </r>
    <r>
      <rPr>
        <sz val="11"/>
        <color theme="1"/>
        <rFont val="Cambria"/>
        <charset val="134"/>
      </rPr>
      <t>Which managers supervise the largest number of employees?</t>
    </r>
  </si>
  <si>
    <t>9. Are there managers with unusually large reporting structures?</t>
  </si>
  <si>
    <r>
      <t>10. </t>
    </r>
    <r>
      <rPr>
        <sz val="11"/>
        <color theme="1"/>
        <rFont val="Cambria"/>
        <charset val="134"/>
      </rPr>
      <t>What is the average employee tenure across departments?</t>
    </r>
  </si>
  <si>
    <r>
      <t>11. </t>
    </r>
    <r>
      <rPr>
        <sz val="11"/>
        <color theme="1"/>
        <rFont val="Cambria"/>
        <charset val="134"/>
      </rPr>
      <t>Which departments retain employees for the longest periods?</t>
    </r>
  </si>
  <si>
    <r>
      <t>12. </t>
    </r>
    <r>
      <rPr>
        <sz val="11"/>
        <color theme="1"/>
        <rFont val="Cambria"/>
        <charset val="134"/>
      </rPr>
      <t>Are there patterns between department and employee tenure?</t>
    </r>
  </si>
  <si>
    <t>Required Visualizations</t>
  </si>
  <si>
    <r>
      <t>·</t>
    </r>
    <r>
      <rPr>
        <sz val="7"/>
        <color theme="1"/>
        <rFont val="Times New Roman"/>
        <charset val="134"/>
      </rPr>
      <t> </t>
    </r>
    <r>
      <rPr>
        <sz val="11"/>
        <color theme="1"/>
        <rFont val="Cambria"/>
        <charset val="134"/>
      </rPr>
      <t>Bar chart displaying employee distribution by department.</t>
    </r>
  </si>
  <si>
    <r>
      <t>·</t>
    </r>
    <r>
      <rPr>
        <sz val="7"/>
        <color theme="1"/>
        <rFont val="Times New Roman"/>
        <charset val="134"/>
      </rPr>
      <t> </t>
    </r>
    <r>
      <rPr>
        <sz val="11"/>
        <color theme="1"/>
        <rFont val="Cambria"/>
        <charset val="134"/>
      </rPr>
      <t>Bar chart comparing employment types.</t>
    </r>
  </si>
  <si>
    <r>
      <t>·</t>
    </r>
    <r>
      <rPr>
        <sz val="7"/>
        <color theme="1"/>
        <rFont val="Times New Roman"/>
        <charset val="134"/>
      </rPr>
      <t> </t>
    </r>
    <r>
      <rPr>
        <sz val="11"/>
        <color theme="1"/>
        <rFont val="Cambria"/>
        <charset val="134"/>
      </rPr>
      <t>Column chart comparing salary averages by department.</t>
    </r>
  </si>
  <si>
    <r>
      <t>·</t>
    </r>
    <r>
      <rPr>
        <sz val="7"/>
        <color theme="1"/>
        <rFont val="Times New Roman"/>
        <charset val="134"/>
      </rPr>
      <t> </t>
    </r>
    <r>
      <rPr>
        <sz val="11"/>
        <color theme="1"/>
        <rFont val="Cambria"/>
        <charset val="134"/>
      </rPr>
      <t>Bar chart illustrating manager reporting structures.</t>
    </r>
  </si>
  <si>
    <r>
      <t>·</t>
    </r>
    <r>
      <rPr>
        <sz val="7"/>
        <color theme="1"/>
        <rFont val="Times New Roman"/>
        <charset val="134"/>
      </rPr>
      <t> </t>
    </r>
    <r>
      <rPr>
        <sz val="11"/>
        <color theme="1"/>
        <rFont val="Cambria"/>
        <charset val="134"/>
      </rPr>
      <t>Column chart presenting average tenure across departments.</t>
    </r>
  </si>
  <si>
    <t>Count of job_title</t>
  </si>
  <si>
    <t>(blank)</t>
  </si>
  <si>
    <t>Grand Total</t>
  </si>
  <si>
    <t>Count of employment_type</t>
  </si>
  <si>
    <t>Count of location</t>
  </si>
  <si>
    <t>Average of monthly_salary_bdt</t>
  </si>
  <si>
    <t>Count of manager_id</t>
  </si>
  <si>
    <t>Average of Tenure</t>
  </si>
  <si>
    <t>Count of department</t>
  </si>
  <si>
    <t>Sum of Tenure</t>
  </si>
  <si>
    <t>Count of Tenure groups</t>
  </si>
  <si>
    <t>Experienced</t>
  </si>
  <si>
    <t>Mid level</t>
  </si>
  <si>
    <t>New</t>
  </si>
  <si>
    <t>In all departments, the majority of employees fall into the experienced category, followed by mid-level, and then new employees. This indicates that departments generally retain employees for longer periods, resulting in a workforce dominated by experienced members.”</t>
  </si>
  <si>
    <t>This distribution suggests that the organization may focus on retaining experienced staff to maintain knowledge continuity and ensure operational stability. Experienced employees likely provide mentorship to newer staff, which could explain the consistently higher numbers across departments</t>
  </si>
  <si>
    <t>In conclusion, the pattern between employee tenure and department is consistent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</si>
</sst>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 numFmtId="179" formatCode="[$KES]\ #,##0.00_);[Red]\([$KES]\ #,##0.00\)"/>
    <numFmt numFmtId="180" formatCode="0;[Red]0"/>
    <numFmt numFmtId="181" formatCode="m/d/yyyy;@"/>
    <numFmt numFmtId="182" formatCode="[$KES]\ #,##0.00_);[Red]\([$KES]\ #,##0.00\)"/>
    <numFmt numFmtId="183" formatCode="m/d/yyyy;@"/>
    <numFmt numFmtId="184" formatCode="[$KES]\ #,##0.00_);[Red]\([$KES]\ #,##0.00\)"/>
  </numFmts>
  <fonts count="25">
    <font>
      <sz val="11"/>
      <color theme="1"/>
      <name val="Calibri"/>
      <charset val="134"/>
      <scheme val="minor"/>
    </font>
    <font>
      <sz val="11"/>
      <color theme="0"/>
      <name val="Calibri"/>
      <charset val="0"/>
      <scheme val="minor"/>
    </font>
    <font>
      <sz val="11"/>
      <color theme="1"/>
      <name val="Cambria"/>
      <charset val="134"/>
    </font>
    <font>
      <b/>
      <sz val="13"/>
      <color rgb="FF4F81BD"/>
      <name val="Calibri"/>
      <charset val="134"/>
    </font>
    <font>
      <sz val="11"/>
      <color theme="1"/>
      <name val="Symbol"/>
      <charset val="134"/>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1"/>
      <name val="Calibri"/>
      <charset val="0"/>
      <scheme val="minor"/>
    </font>
    <font>
      <sz val="7"/>
      <color theme="1"/>
      <name val="Times New Roman"/>
      <charset val="134"/>
    </font>
  </fonts>
  <fills count="37">
    <fill>
      <patternFill patternType="none"/>
    </fill>
    <fill>
      <patternFill patternType="gray125"/>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9"/>
        <bgColor theme="9"/>
      </patternFill>
    </fill>
    <fill>
      <patternFill patternType="solid">
        <fgColor theme="9" tint="0.799981688894314"/>
        <bgColor theme="9" tint="0.799981688894314"/>
      </patternFill>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theme="9"/>
      </left>
      <right/>
      <top style="thin">
        <color theme="9"/>
      </top>
      <bottom style="thin">
        <color theme="9" tint="0.399975585192419"/>
      </bottom>
      <diagonal/>
    </border>
    <border>
      <left/>
      <right/>
      <top style="thin">
        <color theme="9"/>
      </top>
      <bottom style="thin">
        <color theme="9" tint="0.399975585192419"/>
      </bottom>
      <diagonal/>
    </border>
    <border>
      <left/>
      <right style="thin">
        <color theme="9"/>
      </right>
      <top style="thin">
        <color theme="9"/>
      </top>
      <bottom style="thin">
        <color theme="9" tint="0.399975585192419"/>
      </bottom>
      <diagonal/>
    </border>
    <border>
      <left style="thin">
        <color theme="9"/>
      </left>
      <right/>
      <top style="thin">
        <color theme="9" tint="0.399975585192419"/>
      </top>
      <bottom style="thin">
        <color theme="9" tint="0.399975585192419"/>
      </bottom>
      <diagonal/>
    </border>
    <border>
      <left/>
      <right/>
      <top style="thin">
        <color theme="9" tint="0.399975585192419"/>
      </top>
      <bottom style="thin">
        <color theme="9" tint="0.399975585192419"/>
      </bottom>
      <diagonal/>
    </border>
    <border>
      <left/>
      <right style="thin">
        <color theme="9"/>
      </right>
      <top style="thin">
        <color theme="9" tint="0.399975585192419"/>
      </top>
      <bottom style="thin">
        <color theme="9" tint="0.399975585192419"/>
      </bottom>
      <diagonal/>
    </border>
    <border>
      <left style="thin">
        <color theme="9"/>
      </left>
      <right/>
      <top style="thin">
        <color theme="9" tint="0.399975585192419"/>
      </top>
      <bottom style="thin">
        <color theme="9"/>
      </bottom>
      <diagonal/>
    </border>
    <border>
      <left/>
      <right/>
      <top style="thin">
        <color theme="9" tint="0.399975585192419"/>
      </top>
      <bottom style="thin">
        <color theme="9"/>
      </bottom>
      <diagonal/>
    </border>
    <border>
      <left/>
      <right style="thin">
        <color theme="9"/>
      </right>
      <top style="thin">
        <color theme="9" tint="0.399975585192419"/>
      </top>
      <bottom style="thin">
        <color theme="9"/>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9" borderId="1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0" applyNumberFormat="0" applyFill="0" applyAlignment="0" applyProtection="0">
      <alignment vertical="center"/>
    </xf>
    <xf numFmtId="0" fontId="12" fillId="0" borderId="20" applyNumberFormat="0" applyFill="0" applyAlignment="0" applyProtection="0">
      <alignment vertical="center"/>
    </xf>
    <xf numFmtId="0" fontId="13" fillId="0" borderId="21" applyNumberFormat="0" applyFill="0" applyAlignment="0" applyProtection="0">
      <alignment vertical="center"/>
    </xf>
    <xf numFmtId="0" fontId="13" fillId="0" borderId="0" applyNumberFormat="0" applyFill="0" applyBorder="0" applyAlignment="0" applyProtection="0">
      <alignment vertical="center"/>
    </xf>
    <xf numFmtId="0" fontId="14" fillId="10" borderId="22" applyNumberFormat="0" applyAlignment="0" applyProtection="0">
      <alignment vertical="center"/>
    </xf>
    <xf numFmtId="0" fontId="15" fillId="11" borderId="23" applyNumberFormat="0" applyAlignment="0" applyProtection="0">
      <alignment vertical="center"/>
    </xf>
    <xf numFmtId="0" fontId="16" fillId="11" borderId="22" applyNumberFormat="0" applyAlignment="0" applyProtection="0">
      <alignment vertical="center"/>
    </xf>
    <xf numFmtId="0" fontId="17" fillId="12" borderId="24" applyNumberFormat="0" applyAlignment="0" applyProtection="0">
      <alignment vertical="center"/>
    </xf>
    <xf numFmtId="0" fontId="18" fillId="0" borderId="25" applyNumberFormat="0" applyFill="0" applyAlignment="0" applyProtection="0">
      <alignment vertical="center"/>
    </xf>
    <xf numFmtId="0" fontId="19" fillId="0" borderId="26"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1"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1" fillId="19" borderId="0" applyNumberFormat="0" applyBorder="0" applyAlignment="0" applyProtection="0">
      <alignment vertical="center"/>
    </xf>
    <xf numFmtId="0" fontId="1" fillId="2"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1" fillId="22" borderId="0" applyNumberFormat="0" applyBorder="0" applyAlignment="0" applyProtection="0">
      <alignment vertical="center"/>
    </xf>
    <xf numFmtId="0" fontId="1" fillId="3"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1" fillId="25" borderId="0" applyNumberFormat="0" applyBorder="0" applyAlignment="0" applyProtection="0">
      <alignment vertical="center"/>
    </xf>
    <xf numFmtId="0" fontId="1" fillId="4"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1" fillId="36" borderId="0" applyNumberFormat="0" applyBorder="0" applyAlignment="0" applyProtection="0">
      <alignment vertical="center"/>
    </xf>
  </cellStyleXfs>
  <cellXfs count="38">
    <xf numFmtId="0" fontId="0" fillId="0" borderId="0" xfId="0">
      <alignment vertical="center"/>
    </xf>
    <xf numFmtId="0" fontId="0" fillId="0" borderId="0" xfId="0" applyAlignment="1">
      <alignment horizontal="left" vertical="center"/>
    </xf>
    <xf numFmtId="0" fontId="1" fillId="2" borderId="0" xfId="29">
      <alignment vertical="center"/>
    </xf>
    <xf numFmtId="0" fontId="2" fillId="0" borderId="0" xfId="0" applyFont="1">
      <alignment vertical="center"/>
    </xf>
    <xf numFmtId="0" fontId="1" fillId="3" borderId="0" xfId="33">
      <alignment vertical="center"/>
    </xf>
    <xf numFmtId="0" fontId="1" fillId="4" borderId="0" xfId="37">
      <alignment vertical="center"/>
    </xf>
    <xf numFmtId="0" fontId="0" fillId="0" borderId="0" xfId="0" applyAlignment="1">
      <alignment horizontal="center" vertical="center"/>
    </xf>
    <xf numFmtId="0" fontId="3" fillId="0" borderId="0" xfId="0" applyFont="1">
      <alignment vertical="center"/>
    </xf>
    <xf numFmtId="0" fontId="4" fillId="0" borderId="0" xfId="0" applyFont="1">
      <alignment vertical="center"/>
    </xf>
    <xf numFmtId="0" fontId="4" fillId="0" borderId="0" xfId="0" applyFont="1">
      <alignment vertical="center"/>
    </xf>
    <xf numFmtId="0" fontId="5" fillId="5" borderId="1" xfId="0" applyFont="1" applyFill="1" applyBorder="1">
      <alignment vertical="center"/>
    </xf>
    <xf numFmtId="0" fontId="5" fillId="5" borderId="2" xfId="0" applyFont="1" applyFill="1" applyBorder="1">
      <alignment vertical="center"/>
    </xf>
    <xf numFmtId="0" fontId="5" fillId="5" borderId="3" xfId="0" applyFont="1" applyFill="1" applyBorder="1">
      <alignment vertical="center"/>
    </xf>
    <xf numFmtId="0" fontId="0" fillId="6" borderId="4" xfId="0" applyFont="1" applyFill="1" applyBorder="1">
      <alignment vertical="center"/>
    </xf>
    <xf numFmtId="0" fontId="0" fillId="6" borderId="5" xfId="0" applyFont="1" applyFill="1" applyBorder="1">
      <alignment vertical="center"/>
    </xf>
    <xf numFmtId="0" fontId="0" fillId="6" borderId="6" xfId="0" applyFont="1" applyFill="1" applyBorder="1">
      <alignment vertical="center"/>
    </xf>
    <xf numFmtId="0" fontId="0" fillId="0" borderId="4" xfId="0" applyFont="1" applyFill="1" applyBorder="1">
      <alignment vertical="center"/>
    </xf>
    <xf numFmtId="0" fontId="0" fillId="0" borderId="5" xfId="0" applyFont="1" applyFill="1" applyBorder="1">
      <alignment vertical="center"/>
    </xf>
    <xf numFmtId="0" fontId="0" fillId="0" borderId="6" xfId="0" applyFont="1" applyFill="1" applyBorder="1">
      <alignment vertical="center"/>
    </xf>
    <xf numFmtId="0" fontId="0" fillId="0" borderId="7" xfId="0" applyFont="1" applyFill="1" applyBorder="1">
      <alignment vertical="center"/>
    </xf>
    <xf numFmtId="0" fontId="0" fillId="0" borderId="8" xfId="0" applyFont="1" applyFill="1" applyBorder="1">
      <alignment vertical="center"/>
    </xf>
    <xf numFmtId="0" fontId="0" fillId="0" borderId="9" xfId="0" applyFont="1" applyFill="1" applyBorder="1">
      <alignment vertical="center"/>
    </xf>
    <xf numFmtId="0" fontId="0" fillId="0" borderId="0" xfId="0" applyFill="1" applyAlignment="1">
      <alignment vertical="center"/>
    </xf>
    <xf numFmtId="0" fontId="5" fillId="7" borderId="10" xfId="0" applyFont="1" applyFill="1" applyBorder="1" applyAlignment="1">
      <alignment vertical="center"/>
    </xf>
    <xf numFmtId="0" fontId="5" fillId="7" borderId="11" xfId="0" applyFont="1" applyFill="1" applyBorder="1" applyAlignment="1">
      <alignment vertical="center"/>
    </xf>
    <xf numFmtId="0" fontId="5" fillId="7" borderId="12" xfId="0" applyFont="1" applyFill="1" applyBorder="1" applyAlignment="1">
      <alignment vertical="center"/>
    </xf>
    <xf numFmtId="0" fontId="0" fillId="8" borderId="13" xfId="0" applyFont="1" applyFill="1" applyBorder="1" applyAlignment="1">
      <alignment vertical="center"/>
    </xf>
    <xf numFmtId="0" fontId="0" fillId="8" borderId="14" xfId="0" applyFont="1" applyFill="1" applyBorder="1" applyAlignment="1">
      <alignment vertical="center"/>
    </xf>
    <xf numFmtId="58" fontId="0" fillId="8" borderId="14" xfId="0" applyNumberFormat="1" applyFont="1" applyFill="1" applyBorder="1" applyAlignment="1">
      <alignment vertical="center"/>
    </xf>
    <xf numFmtId="0" fontId="0" fillId="8" borderId="15" xfId="0" applyFont="1" applyFill="1" applyBorder="1" applyAlignment="1">
      <alignment vertical="center"/>
    </xf>
    <xf numFmtId="0" fontId="0" fillId="0" borderId="13" xfId="0" applyFont="1" applyFill="1" applyBorder="1" applyAlignment="1">
      <alignment vertical="center"/>
    </xf>
    <xf numFmtId="0" fontId="0" fillId="0" borderId="14" xfId="0" applyFont="1" applyFill="1" applyBorder="1" applyAlignment="1">
      <alignment vertical="center"/>
    </xf>
    <xf numFmtId="58" fontId="0" fillId="0" borderId="14" xfId="0" applyNumberFormat="1" applyFont="1" applyFill="1" applyBorder="1" applyAlignment="1">
      <alignment vertical="center"/>
    </xf>
    <xf numFmtId="0" fontId="0" fillId="0" borderId="15" xfId="0" applyFont="1" applyFill="1" applyBorder="1" applyAlignment="1">
      <alignment vertical="center"/>
    </xf>
    <xf numFmtId="0" fontId="0" fillId="0" borderId="16" xfId="0" applyFont="1" applyFill="1" applyBorder="1" applyAlignment="1">
      <alignment vertical="center"/>
    </xf>
    <xf numFmtId="0" fontId="0" fillId="0" borderId="17" xfId="0" applyFont="1" applyFill="1" applyBorder="1" applyAlignment="1">
      <alignment vertical="center"/>
    </xf>
    <xf numFmtId="58" fontId="0" fillId="0" borderId="17" xfId="0" applyNumberFormat="1" applyFont="1" applyFill="1" applyBorder="1" applyAlignment="1">
      <alignment vertical="center"/>
    </xf>
    <xf numFmtId="0" fontId="0" fillId="0" borderId="18" xfId="0"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eetMetadata" Target="metadata.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pivotCacheDefinition" Target="pivotCache/pivotCacheDefinition7.xml"/><Relationship Id="rId18" Type="http://schemas.openxmlformats.org/officeDocument/2006/relationships/pivotCacheDefinition" Target="pivotCache/pivotCacheDefinition6.xml"/><Relationship Id="rId17" Type="http://schemas.openxmlformats.org/officeDocument/2006/relationships/pivotCacheDefinition" Target="pivotCache/pivotCacheDefinition5.xml"/><Relationship Id="rId16" Type="http://schemas.openxmlformats.org/officeDocument/2006/relationships/pivotCacheDefinition" Target="pivotCache/pivotCacheDefinition4.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3" Type="http://schemas.openxmlformats.org/officeDocument/2006/relationships/pivotCacheDefinition" Target="pivotCache/pivotCacheDefinition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[ABC EMPLOYEES.xlsx]distribution !Distribution</c:name>
    <c:fmtId val="0"/>
  </c:pivotSource>
  <c:chart>
    <c:title>
      <c:tx>
        <c:rich>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barChart>
        <c:barDir val="col"/>
        <c:grouping val="clustered"/>
        <c:varyColors val="0"/>
        <c:ser>
          <c:idx val="0"/>
          <c:order val="0"/>
          <c:tx>
            <c:strRef>
              <c:f>'distribution '!$B$3</c:f>
              <c:strCache>
                <c:ptCount val="1"/>
                <c:pt idx="0">
                  <c:v>Total</c:v>
                </c:pt>
              </c:strCache>
            </c:strRef>
          </c:tx>
          <c:spPr>
            <a:gradFill>
              <a:gsLst>
                <a:gs pos="0">
                  <a:schemeClr val="accent1"/>
                </a:gs>
                <a:gs pos="100000">
                  <a:schemeClr val="accent2"/>
                </a:gs>
              </a:gsLst>
              <a:lin ang="5400000" scaled="0"/>
            </a:gradFill>
            <a:ln>
              <a:noFill/>
            </a:ln>
            <a:effectLst/>
          </c:spPr>
          <c:invertIfNegative val="0"/>
          <c:dLbls>
            <c:delete val="1"/>
          </c:dLbls>
          <c:cat>
            <c:strRef>
              <c:f>'distribution '!$A$4:$A$13</c:f>
              <c:strCache>
                <c:ptCount val="9"/>
                <c:pt idx="0">
                  <c:v>Customer Success</c:v>
                </c:pt>
                <c:pt idx="1">
                  <c:v>Engineering</c:v>
                </c:pt>
                <c:pt idx="2">
                  <c:v>Finance</c:v>
                </c:pt>
                <c:pt idx="3">
                  <c:v>HR</c:v>
                </c:pt>
                <c:pt idx="4">
                  <c:v>Marketing</c:v>
                </c:pt>
                <c:pt idx="5">
                  <c:v>Operations</c:v>
                </c:pt>
                <c:pt idx="6">
                  <c:v>Product</c:v>
                </c:pt>
                <c:pt idx="7">
                  <c:v>Sales</c:v>
                </c:pt>
                <c:pt idx="8">
                  <c:v>(blank)</c:v>
                </c:pt>
              </c:strCache>
            </c:strRef>
          </c:cat>
          <c:val>
            <c:numRef>
              <c:f>'distribution '!$B$4:$B$13</c:f>
              <c:numCache>
                <c:formatCode>General</c:formatCode>
                <c:ptCount val="9"/>
                <c:pt idx="0">
                  <c:v>100</c:v>
                </c:pt>
                <c:pt idx="1">
                  <c:v>238</c:v>
                </c:pt>
                <c:pt idx="2">
                  <c:v>86</c:v>
                </c:pt>
                <c:pt idx="3">
                  <c:v>90</c:v>
                </c:pt>
                <c:pt idx="4">
                  <c:v>119</c:v>
                </c:pt>
                <c:pt idx="5">
                  <c:v>126</c:v>
                </c:pt>
                <c:pt idx="6">
                  <c:v>94</c:v>
                </c:pt>
                <c:pt idx="7">
                  <c:v>147</c:v>
                </c:pt>
              </c:numCache>
            </c:numRef>
          </c:val>
        </c:ser>
        <c:dLbls>
          <c:showLegendKey val="0"/>
          <c:showVal val="0"/>
          <c:showCatName val="0"/>
          <c:showSerName val="0"/>
          <c:showPercent val="0"/>
          <c:showBubbleSize val="0"/>
        </c:dLbls>
        <c:gapWidth val="150"/>
        <c:axId val="39081031"/>
        <c:axId val="421509898"/>
      </c:barChart>
      <c:catAx>
        <c:axId val="39081031"/>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421509898"/>
        <c:crosses val="autoZero"/>
        <c:auto val="1"/>
        <c:lblAlgn val="ctr"/>
        <c:lblOffset val="100"/>
        <c:noMultiLvlLbl val="0"/>
      </c:catAx>
      <c:valAx>
        <c:axId val="42150989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081031"/>
        <c:crosses val="autoZero"/>
        <c:crossBetween val="between"/>
      </c:valAx>
      <c:spPr>
        <a:noFill/>
        <a:ln w="6350">
          <a:solidFill>
            <a:schemeClr val="tx1">
              <a:lumMod val="50000"/>
              <a:lumOff val="50000"/>
              <a:alpha val="25000"/>
            </a:schemeClr>
          </a:solid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a:outerShdw blurRad="63500" dist="37357" dir="2700000" sx="0" sy="0" rotWithShape="0">
        <a:scrgbClr r="0" g="0" b="0"/>
      </a:outerShdw>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[ABC EMPLOYEES.xlsx]Sheet5!PivotTable2</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pieChart>
        <c:varyColors val="1"/>
        <c:ser>
          <c:idx val="0"/>
          <c:order val="0"/>
          <c:tx>
            <c:strRef>
              <c:f>Sheet5!$B$3</c:f>
              <c:strCache>
                <c:ptCount val="1"/>
                <c:pt idx="0">
                  <c:v>Total</c:v>
                </c:pt>
              </c:strCache>
            </c:strRef>
          </c:tx>
          <c:spPr>
            <a:ln>
              <a:noFill/>
            </a:ln>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in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Contract</c:v>
                </c:pt>
                <c:pt idx="1">
                  <c:v>Full-time</c:v>
                </c:pt>
                <c:pt idx="2">
                  <c:v>Intern</c:v>
                </c:pt>
              </c:strCache>
            </c:strRef>
          </c:cat>
          <c:val>
            <c:numRef>
              <c:f>Sheet5!$B$4:$B$7</c:f>
              <c:numCache>
                <c:formatCode>General</c:formatCode>
                <c:ptCount val="3"/>
                <c:pt idx="0">
                  <c:v>120</c:v>
                </c:pt>
                <c:pt idx="1">
                  <c:v>832</c:v>
                </c:pt>
                <c:pt idx="2">
                  <c:v>48</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[ABC EMPLOYEES.xlsx]Sheet8!PivotTable4</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barChart>
        <c:barDir val="col"/>
        <c:grouping val="clustered"/>
        <c:varyColors val="0"/>
        <c:ser>
          <c:idx val="0"/>
          <c:order val="0"/>
          <c:tx>
            <c:strRef>
              <c:f>Sheet8!$B$3</c:f>
              <c:strCache>
                <c:ptCount val="1"/>
                <c:pt idx="0">
                  <c:v>Total</c:v>
                </c:pt>
              </c:strCache>
            </c:strRef>
          </c:tx>
          <c:spPr>
            <a:solidFill>
              <a:schemeClr val="accent6"/>
            </a:solidFill>
            <a:ln>
              <a:no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Sheet8!$A$4:$A$13</c:f>
              <c:strCache>
                <c:ptCount val="9"/>
                <c:pt idx="0">
                  <c:v>Customer Success</c:v>
                </c:pt>
                <c:pt idx="1">
                  <c:v>Engineering</c:v>
                </c:pt>
                <c:pt idx="2">
                  <c:v>Finance</c:v>
                </c:pt>
                <c:pt idx="3">
                  <c:v>HR</c:v>
                </c:pt>
                <c:pt idx="4">
                  <c:v>Marketing</c:v>
                </c:pt>
                <c:pt idx="5">
                  <c:v>Operations</c:v>
                </c:pt>
                <c:pt idx="6">
                  <c:v>Product</c:v>
                </c:pt>
                <c:pt idx="7">
                  <c:v>Sales</c:v>
                </c:pt>
                <c:pt idx="8">
                  <c:v>(blank)</c:v>
                </c:pt>
              </c:strCache>
            </c:strRef>
          </c:cat>
          <c:val>
            <c:numRef>
              <c:f>Sheet8!$B$4:$B$13</c:f>
              <c:numCache>
                <c:formatCode>General</c:formatCode>
                <c:ptCount val="9"/>
                <c:pt idx="0">
                  <c:v>99688.61</c:v>
                </c:pt>
                <c:pt idx="1">
                  <c:v>160669.970588235</c:v>
                </c:pt>
                <c:pt idx="2">
                  <c:v>162531.941860465</c:v>
                </c:pt>
                <c:pt idx="3">
                  <c:v>102747.155555556</c:v>
                </c:pt>
                <c:pt idx="4">
                  <c:v>126445.067226891</c:v>
                </c:pt>
                <c:pt idx="5">
                  <c:v>116932.30952381</c:v>
                </c:pt>
                <c:pt idx="6">
                  <c:v>210305.563829787</c:v>
                </c:pt>
                <c:pt idx="7">
                  <c:v>142930.265306122</c:v>
                </c:pt>
              </c:numCache>
            </c:numRef>
          </c:val>
        </c:ser>
        <c:dLbls>
          <c:showLegendKey val="0"/>
          <c:showVal val="1"/>
          <c:showCatName val="0"/>
          <c:showSerName val="0"/>
          <c:showPercent val="0"/>
          <c:showBubbleSize val="0"/>
        </c:dLbls>
        <c:gapWidth val="216"/>
        <c:overlap val="-32"/>
        <c:axId val="472655657"/>
        <c:axId val="874404312"/>
      </c:barChart>
      <c:catAx>
        <c:axId val="47265565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874404312"/>
        <c:crosses val="autoZero"/>
        <c:auto val="1"/>
        <c:lblAlgn val="ctr"/>
        <c:lblOffset val="100"/>
        <c:noMultiLvlLbl val="0"/>
      </c:catAx>
      <c:valAx>
        <c:axId val="874404312"/>
        <c:scaling>
          <c:orientation val="minMax"/>
        </c:scaling>
        <c:delete val="0"/>
        <c:axPos val="l"/>
        <c:majorGridlines>
          <c:spPr>
            <a:ln w="9525" cap="flat" cmpd="sng" algn="ctr">
              <a:solidFill>
                <a:schemeClr val="tx1">
                  <a:lumMod val="50000"/>
                  <a:lumOff val="50000"/>
                  <a:alpha val="35000"/>
                </a:schemeClr>
              </a:solidFill>
              <a:round/>
            </a:ln>
            <a:effectLst/>
          </c:spPr>
        </c:majorGridlines>
        <c:title>
          <c:layout/>
          <c:overlay val="0"/>
          <c:spPr>
            <a:noFill/>
            <a:ln>
              <a:noFill/>
            </a:ln>
            <a:effectLst/>
          </c:spPr>
          <c:txPr>
            <a:bodyPr rot="-54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title>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472655657"/>
        <c:crosses val="autoZero"/>
        <c:crossBetween val="between"/>
      </c:valAx>
      <c:dTable>
        <c:showHorzBorder val="1"/>
        <c:showVertBorder val="1"/>
        <c:showOutline val="1"/>
        <c:showKeys val="1"/>
        <c:spPr>
          <a:noFill/>
          <a:ln w="9525" cap="flat" cmpd="sng" algn="ctr">
            <a:solidFill>
              <a:schemeClr val="tx1">
                <a:lumMod val="50000"/>
                <a:lumOff val="50000"/>
                <a:alpha val="25000"/>
              </a:schemeClr>
            </a:solidFill>
            <a:round/>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Table>
      <c:spPr>
        <a:noFill/>
        <a:ln>
          <a:noFill/>
        </a:ln>
        <a:effectLst/>
      </c:spPr>
    </c:plotArea>
    <c:plotVisOnly val="1"/>
    <c:dispBlanksAs val="gap"/>
    <c:showDLblsOverMax val="0"/>
  </c:chart>
  <c:spPr>
    <a:solidFill>
      <a:schemeClr val="bg1"/>
    </a:solidFill>
    <a:ln w="9525" cap="flat" cmpd="sng" algn="ctr">
      <a:solidFill>
        <a:schemeClr val="tx1">
          <a:lumMod val="50000"/>
          <a:lumOff val="50000"/>
          <a:alpha val="25000"/>
        </a:schemeClr>
      </a:solidFill>
      <a:round/>
    </a:ln>
    <a:effectLst/>
  </c:spPr>
  <c:txPr>
    <a:bodyPr/>
    <a:lstStyle/>
    <a:p>
      <a:pPr>
        <a:defRPr lang="zh-CN"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[ABC EMPLOYEES.xlsx]Sheet11!PivotTable6</c:name>
    <c:fmtId val="0"/>
  </c:pivotSource>
  <c:chart>
    <c:title>
      <c:tx>
        <c:rich>
          <a:bodyPr rot="0" spcFirstLastPara="0" vertOverflow="ellipsis" vert="horz" wrap="square" anchor="ctr" anchorCtr="1"/>
          <a:lstStyle/>
          <a:p>
            <a:pPr defTabSz="914400">
              <a:defRPr lang="zh-CN" sz="1400" b="1" i="0" u="none" strike="noStrike" kern="1200" baseline="0">
                <a:solidFill>
                  <a:schemeClr val="dk1">
                    <a:lumMod val="75000"/>
                    <a:lumOff val="25000"/>
                  </a:schemeClr>
                </a:solidFill>
                <a:latin typeface="+mn-lt"/>
                <a:ea typeface="+mn-ea"/>
                <a:cs typeface="+mn-cs"/>
              </a:defRPr>
            </a:pPr>
            <a:r>
              <a:t>Total</a:t>
            </a:r>
          </a:p>
        </c:rich>
      </c:tx>
      <c:layout/>
      <c:overlay val="0"/>
      <c:spPr>
        <a:noFill/>
        <a:ln>
          <a:noFill/>
        </a:ln>
        <a:effectLst/>
      </c:spPr>
    </c:title>
    <c:autoTitleDeleted val="0"/>
    <c:plotArea>
      <c:layout/>
      <c:barChart>
        <c:barDir val="bar"/>
        <c:grouping val="clustered"/>
        <c:varyColors val="0"/>
        <c:ser>
          <c:idx val="0"/>
          <c:order val="0"/>
          <c:tx>
            <c:strRef>
              <c:f>Sheet11!$B$3</c:f>
              <c:strCache>
                <c:ptCount val="1"/>
                <c:pt idx="0">
                  <c:v>Total</c:v>
                </c:pt>
              </c:strCache>
            </c:strRef>
          </c:tx>
          <c:spPr>
            <a:gradFill>
              <a:gsLst>
                <a:gs pos="100000">
                  <a:schemeClr val="accent2"/>
                </a:gs>
                <a:gs pos="0">
                  <a:schemeClr val="accent2">
                    <a:hueOff val="-1670000"/>
                  </a:schemeClr>
                </a:gs>
              </a:gsLst>
              <a:lin ang="10800000" scaled="0"/>
            </a:gradFill>
            <a:ln>
              <a:gradFill>
                <a:gsLst>
                  <a:gs pos="95000">
                    <a:schemeClr val="accent2">
                      <a:lumMod val="75000"/>
                    </a:schemeClr>
                  </a:gs>
                  <a:gs pos="0">
                    <a:schemeClr val="accent2">
                      <a:lumMod val="75000"/>
                      <a:hueOff val="-1670000"/>
                    </a:schemeClr>
                  </a:gs>
                </a:gsLst>
                <a:lin ang="10800000" scaled="0"/>
              </a:gradFill>
            </a:ln>
            <a:effectLst/>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Sheet11!$A$4:$A$14</c:f>
              <c:strCache>
                <c:ptCount val="10"/>
                <c:pt idx="0">
                  <c:v>Associate Product Manager</c:v>
                </c:pt>
                <c:pt idx="1">
                  <c:v>Customer Success Manager</c:v>
                </c:pt>
                <c:pt idx="2">
                  <c:v>Engineering Manager</c:v>
                </c:pt>
                <c:pt idx="3">
                  <c:v>Finance Manager</c:v>
                </c:pt>
                <c:pt idx="4">
                  <c:v>HR Manager</c:v>
                </c:pt>
                <c:pt idx="5">
                  <c:v>Marketing Manager</c:v>
                </c:pt>
                <c:pt idx="6">
                  <c:v>Operations Manager</c:v>
                </c:pt>
                <c:pt idx="7">
                  <c:v>Product Manager</c:v>
                </c:pt>
                <c:pt idx="8">
                  <c:v>Sales Manager</c:v>
                </c:pt>
                <c:pt idx="9">
                  <c:v>Senior Product Manager</c:v>
                </c:pt>
              </c:strCache>
            </c:strRef>
          </c:cat>
          <c:val>
            <c:numRef>
              <c:f>Sheet11!$B$4:$B$14</c:f>
              <c:numCache>
                <c:formatCode>General</c:formatCode>
                <c:ptCount val="10"/>
                <c:pt idx="0">
                  <c:v>18</c:v>
                </c:pt>
                <c:pt idx="1">
                  <c:v>32</c:v>
                </c:pt>
                <c:pt idx="2">
                  <c:v>19</c:v>
                </c:pt>
                <c:pt idx="3">
                  <c:v>11</c:v>
                </c:pt>
                <c:pt idx="4">
                  <c:v>20</c:v>
                </c:pt>
                <c:pt idx="5">
                  <c:v>16</c:v>
                </c:pt>
                <c:pt idx="6">
                  <c:v>33</c:v>
                </c:pt>
                <c:pt idx="7">
                  <c:v>20</c:v>
                </c:pt>
                <c:pt idx="8">
                  <c:v>25</c:v>
                </c:pt>
                <c:pt idx="9">
                  <c:v>25</c:v>
                </c:pt>
              </c:numCache>
            </c:numRef>
          </c:val>
        </c:ser>
        <c:dLbls>
          <c:showLegendKey val="0"/>
          <c:showVal val="1"/>
          <c:showCatName val="0"/>
          <c:showSerName val="0"/>
          <c:showPercent val="0"/>
          <c:showBubbleSize val="0"/>
        </c:dLbls>
        <c:gapWidth val="140"/>
        <c:overlap val="-40"/>
        <c:axId val="790105494"/>
        <c:axId val="222383285"/>
      </c:barChart>
      <c:catAx>
        <c:axId val="79010549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222383285"/>
        <c:crosses val="autoZero"/>
        <c:auto val="1"/>
        <c:lblAlgn val="ctr"/>
        <c:lblOffset val="100"/>
        <c:noMultiLvlLbl val="0"/>
      </c:catAx>
      <c:valAx>
        <c:axId val="222383285"/>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crossAx val="79010549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2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95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419100</xdr:colOff>
      <xdr:row>0</xdr:row>
      <xdr:rowOff>139700</xdr:rowOff>
    </xdr:from>
    <xdr:to>
      <xdr:col>15</xdr:col>
      <xdr:colOff>587375</xdr:colOff>
      <xdr:row>35</xdr:row>
      <xdr:rowOff>82550</xdr:rowOff>
    </xdr:to>
    <xdr:graphicFrame>
      <xdr:nvGraphicFramePr>
        <xdr:cNvPr id="3" name="Chart 2" descr="7b0a202020202263686172745265734964223a20223230343732303435220a7d0a"/>
        <xdr:cNvGraphicFramePr/>
      </xdr:nvGraphicFramePr>
      <xdr:xfrm>
        <a:off x="4029075" y="139700"/>
        <a:ext cx="7483475" cy="66103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295275</xdr:colOff>
      <xdr:row>1</xdr:row>
      <xdr:rowOff>83185</xdr:rowOff>
    </xdr:from>
    <xdr:to>
      <xdr:col>11</xdr:col>
      <xdr:colOff>244475</xdr:colOff>
      <xdr:row>30</xdr:row>
      <xdr:rowOff>91440</xdr:rowOff>
    </xdr:to>
    <xdr:graphicFrame>
      <xdr:nvGraphicFramePr>
        <xdr:cNvPr id="2" name="Chart 1" descr="7b0a202020202263686172745265734964223a202234353338343236220a7d0a"/>
        <xdr:cNvGraphicFramePr/>
      </xdr:nvGraphicFramePr>
      <xdr:xfrm>
        <a:off x="4648200" y="273685"/>
        <a:ext cx="4826000" cy="55327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1333500</xdr:colOff>
      <xdr:row>4</xdr:row>
      <xdr:rowOff>73025</xdr:rowOff>
    </xdr:from>
    <xdr:to>
      <xdr:col>12</xdr:col>
      <xdr:colOff>281940</xdr:colOff>
      <xdr:row>32</xdr:row>
      <xdr:rowOff>34290</xdr:rowOff>
    </xdr:to>
    <xdr:graphicFrame>
      <xdr:nvGraphicFramePr>
        <xdr:cNvPr id="2" name="Chart 1" descr="7b0a202020202263686172745265734964223a20223230343736393536220a7d0a"/>
        <xdr:cNvGraphicFramePr/>
      </xdr:nvGraphicFramePr>
      <xdr:xfrm>
        <a:off x="4648200" y="835025"/>
        <a:ext cx="8035290" cy="52952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209550</xdr:colOff>
      <xdr:row>0</xdr:row>
      <xdr:rowOff>44450</xdr:rowOff>
    </xdr:from>
    <xdr:to>
      <xdr:col>11</xdr:col>
      <xdr:colOff>158750</xdr:colOff>
      <xdr:row>26</xdr:row>
      <xdr:rowOff>63500</xdr:rowOff>
    </xdr:to>
    <xdr:graphicFrame>
      <xdr:nvGraphicFramePr>
        <xdr:cNvPr id="2" name="Chart 1" descr="7b0a202020202263686172745265734964223a20223230333532363935220a7d0a"/>
        <xdr:cNvGraphicFramePr/>
      </xdr:nvGraphicFramePr>
      <xdr:xfrm>
        <a:off x="4648200" y="44450"/>
        <a:ext cx="4826000" cy="4972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obot\AppData\Local\Temp\fddf1805-159b-4d6b-b5ec-4162536a87ef_SQL+Case+data.zip.SQL+Case+data.zip\SQL%20Case%20data\abc_inc_employees_master.csv"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bc_inc_employees_master_EwEXBA"/>
      <sheetName val="Sheet1"/>
    </sheetNames>
    <sheetDataSet>
      <sheetData sheetId="0"/>
      <sheetData sheetId="1">
        <row r="5">
          <cell r="G5" t="str">
            <v>Sylhet</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98.2790856482" refreshedBy="HP" recordCount="1001">
  <cacheSource type="worksheet">
    <worksheetSource ref="D1:E1048576" sheet="abc_inc_employees_master"/>
  </cacheSource>
  <cacheFields count="2">
    <cacheField name="department" numFmtId="0">
      <sharedItems containsBlank="1" count="9">
        <s v="Sales"/>
        <s v="Customer Success"/>
        <s v="Finance"/>
        <s v="HR"/>
        <s v="Engineering"/>
        <s v="Operations"/>
        <s v="Product"/>
        <s v="Marketing"/>
        <m/>
      </sharedItems>
    </cacheField>
    <cacheField name="job_title" numFmtId="0">
      <sharedItems containsBlank="1" count="34">
        <s v="Sales Associate"/>
        <s v="Support Specialist"/>
        <s v="Finance Manager"/>
        <s v="HR Business Partner"/>
        <s v="DevOps Engineer"/>
        <s v="QA Engineer"/>
        <s v="Operations Manager"/>
        <s v="HR Associate"/>
        <s v="Financial Analyst"/>
        <s v="Software Engineer"/>
        <s v="Customer Success Manager"/>
        <s v="Junior Software Engineer"/>
        <s v="Engineering Manager"/>
        <s v="Product Analyst"/>
        <s v="Growth Marketer"/>
        <s v="Sales Manager"/>
        <s v="Senior Product Manager"/>
        <s v="Supply Chain Analyst"/>
        <s v="SEO Specialist"/>
        <s v="Recruiter"/>
        <s v="Senior Software Engineer"/>
        <s v="Support Associate"/>
        <s v="Associate Product Manager"/>
        <s v="Accounts Executive"/>
        <s v="Account Executive"/>
        <s v="Marketing Associate"/>
        <s v="Marketing Manager"/>
        <s v="HR Manager"/>
        <s v="Senior Account Executive"/>
        <s v="Operations Associate"/>
        <s v="Senior Financial Analyst"/>
        <s v="Product Manager"/>
        <s v="Content Specialist"/>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098.2894791667" refreshedBy="HP" recordCount="1000">
  <cacheSource type="worksheet">
    <worksheetSource ref="F1:F1001" sheet="abc_inc_employees_master"/>
  </cacheSource>
  <cacheFields count="1">
    <cacheField name="employment_type" numFmtId="0">
      <sharedItems count="3">
        <s v="Full-time"/>
        <s v="Intern"/>
        <s v="Contract"/>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098.2924421296" refreshedBy="HP" recordCount="1000">
  <cacheSource type="worksheet">
    <worksheetSource ref="G1:G1001" sheet="abc_inc_employees_master"/>
  </cacheSource>
  <cacheFields count="1">
    <cacheField name="location" numFmtId="0">
      <sharedItems count="6">
        <s v="Khulna"/>
        <s v="Remote"/>
        <s v="Sylhet"/>
        <s v="Dhaka"/>
        <s v="Chattogram"/>
        <s v="Rajshahi"/>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098.2959722222" refreshedBy="HP" recordCount="1001">
  <cacheSource type="worksheet">
    <worksheetSource ref="D1:I1048576" sheet="abc_inc_employees_master"/>
  </cacheSource>
  <cacheFields count="6">
    <cacheField name="department" numFmtId="0">
      <sharedItems containsBlank="1" count="9">
        <s v="Sales"/>
        <s v="Customer Success"/>
        <s v="Finance"/>
        <s v="HR"/>
        <s v="Engineering"/>
        <s v="Operations"/>
        <s v="Product"/>
        <s v="Marketing"/>
        <m/>
      </sharedItems>
    </cacheField>
    <cacheField name="job_title" numFmtId="0">
      <sharedItems containsBlank="1" count="34">
        <s v="Sales Associate"/>
        <s v="Support Specialist"/>
        <s v="Finance Manager"/>
        <s v="HR Business Partner"/>
        <s v="DevOps Engineer"/>
        <s v="QA Engineer"/>
        <s v="Operations Manager"/>
        <s v="HR Associate"/>
        <s v="Financial Analyst"/>
        <s v="Software Engineer"/>
        <s v="Customer Success Manager"/>
        <s v="Junior Software Engineer"/>
        <s v="Engineering Manager"/>
        <s v="Product Analyst"/>
        <s v="Growth Marketer"/>
        <s v="Sales Manager"/>
        <s v="Senior Product Manager"/>
        <s v="Supply Chain Analyst"/>
        <s v="SEO Specialist"/>
        <s v="Recruiter"/>
        <s v="Senior Software Engineer"/>
        <s v="Support Associate"/>
        <s v="Associate Product Manager"/>
        <s v="Accounts Executive"/>
        <s v="Account Executive"/>
        <s v="Marketing Associate"/>
        <s v="Marketing Manager"/>
        <s v="HR Manager"/>
        <s v="Senior Account Executive"/>
        <s v="Operations Associate"/>
        <s v="Senior Financial Analyst"/>
        <s v="Product Manager"/>
        <s v="Content Specialist"/>
        <m/>
      </sharedItems>
    </cacheField>
    <cacheField name="employment_type" numFmtId="0">
      <sharedItems containsBlank="1" count="4">
        <s v="Full-time"/>
        <s v="Intern"/>
        <s v="Contract"/>
        <m/>
      </sharedItems>
    </cacheField>
    <cacheField name="location" numFmtId="0">
      <sharedItems containsBlank="1" count="7">
        <s v="Khulna"/>
        <s v="Remote"/>
        <s v="Sylhet"/>
        <s v="Dhaka"/>
        <s v="Chattogram"/>
        <s v="Rajshahi"/>
        <m/>
      </sharedItems>
    </cacheField>
    <cacheField name="hire_date" numFmtId="183">
      <sharedItems containsString="0" containsBlank="1" containsNonDate="0" containsDate="1" minDate="2016-01-07T00:00:00" maxDate="2025-09-01T00:00:00" count="865">
        <d v="2017-02-10T00:00:00"/>
        <d v="2023-09-09T00:00:00"/>
        <d v="2020-02-13T00:00:00"/>
        <d v="2022-02-08T00:00:00"/>
        <d v="2023-03-26T00:00:00"/>
        <d v="2020-01-09T00:00:00"/>
        <d v="2016-09-05T00:00:00"/>
        <d v="2020-06-18T00:00:00"/>
        <d v="2019-02-04T00:00:00"/>
        <d v="2018-02-16T00:00:00"/>
        <d v="2017-05-15T00:00:00"/>
        <d v="2025-07-05T00:00:00"/>
        <d v="2025-03-29T00:00:00"/>
        <d v="2021-02-05T00:00:00"/>
        <d v="2017-01-10T00:00:00"/>
        <d v="2023-06-07T00:00:00"/>
        <d v="2018-05-18T00:00:00"/>
        <d v="2023-03-13T00:00:00"/>
        <d v="2023-03-04T00:00:00"/>
        <d v="2022-09-11T00:00:00"/>
        <d v="2016-03-28T00:00:00"/>
        <d v="2016-07-26T00:00:00"/>
        <d v="2024-10-27T00:00:00"/>
        <d v="2019-09-28T00:00:00"/>
        <d v="2018-09-24T00:00:00"/>
        <d v="2017-05-30T00:00:00"/>
        <d v="2024-10-28T00:00:00"/>
        <d v="2022-05-01T00:00:00"/>
        <d v="2018-04-20T00:00:00"/>
        <d v="2016-10-08T00:00:00"/>
        <d v="2025-04-21T00:00:00"/>
        <d v="2024-07-31T00:00:00"/>
        <d v="2022-03-20T00:00:00"/>
        <d v="2018-04-28T00:00:00"/>
        <d v="2022-07-29T00:00:00"/>
        <d v="2018-06-03T00:00:00"/>
        <d v="2025-02-12T00:00:00"/>
        <d v="2018-08-12T00:00:00"/>
        <d v="2019-09-07T00:00:00"/>
        <d v="2024-09-06T00:00:00"/>
        <d v="2017-08-27T00:00:00"/>
        <d v="2024-11-04T00:00:00"/>
        <d v="2022-09-07T00:00:00"/>
        <d v="2016-01-12T00:00:00"/>
        <d v="2019-02-09T00:00:00"/>
        <d v="2025-08-17T00:00:00"/>
        <d v="2017-08-15T00:00:00"/>
        <d v="2017-06-16T00:00:00"/>
        <d v="2022-01-21T00:00:00"/>
        <d v="2018-10-23T00:00:00"/>
        <d v="2024-12-14T00:00:00"/>
        <d v="2017-12-15T00:00:00"/>
        <d v="2017-03-26T00:00:00"/>
        <d v="2023-05-31T00:00:00"/>
        <d v="2016-04-15T00:00:00"/>
        <d v="2017-06-23T00:00:00"/>
        <d v="2016-03-01T00:00:00"/>
        <d v="2020-01-07T00:00:00"/>
        <d v="2024-11-09T00:00:00"/>
        <d v="2024-11-03T00:00:00"/>
        <d v="2018-09-01T00:00:00"/>
        <d v="2022-08-08T00:00:00"/>
        <d v="2019-08-19T00:00:00"/>
        <d v="2016-03-05T00:00:00"/>
        <d v="2017-12-14T00:00:00"/>
        <d v="2018-12-22T00:00:00"/>
        <d v="2016-08-02T00:00:00"/>
        <d v="2017-06-03T00:00:00"/>
        <d v="2024-04-26T00:00:00"/>
        <d v="2020-09-20T00:00:00"/>
        <d v="2021-11-24T00:00:00"/>
        <d v="2017-04-10T00:00:00"/>
        <d v="2024-05-12T00:00:00"/>
        <d v="2016-09-17T00:00:00"/>
        <d v="2021-05-04T00:00:00"/>
        <d v="2021-01-10T00:00:00"/>
        <d v="2024-09-21T00:00:00"/>
        <d v="2020-01-22T00:00:00"/>
        <d v="2021-10-03T00:00:00"/>
        <d v="2022-08-28T00:00:00"/>
        <d v="2017-03-22T00:00:00"/>
        <d v="2021-01-25T00:00:00"/>
        <d v="2021-08-25T00:00:00"/>
        <d v="2018-06-26T00:00:00"/>
        <d v="2022-11-24T00:00:00"/>
        <d v="2016-06-26T00:00:00"/>
        <d v="2024-02-26T00:00:00"/>
        <d v="2024-10-13T00:00:00"/>
        <d v="2023-05-22T00:00:00"/>
        <d v="2021-11-05T00:00:00"/>
        <d v="2019-05-20T00:00:00"/>
        <d v="2021-02-19T00:00:00"/>
        <d v="2023-03-20T00:00:00"/>
        <d v="2016-05-07T00:00:00"/>
        <d v="2016-09-06T00:00:00"/>
        <d v="2021-05-15T00:00:00"/>
        <d v="2025-07-02T00:00:00"/>
        <d v="2020-07-03T00:00:00"/>
        <d v="2020-10-12T00:00:00"/>
        <d v="2023-09-11T00:00:00"/>
        <d v="2017-03-18T00:00:00"/>
        <d v="2021-07-01T00:00:00"/>
        <d v="2023-12-27T00:00:00"/>
        <d v="2020-12-21T00:00:00"/>
        <d v="2016-10-28T00:00:00"/>
        <d v="2016-11-26T00:00:00"/>
        <d v="2019-08-12T00:00:00"/>
        <d v="2022-10-27T00:00:00"/>
        <d v="2017-08-30T00:00:00"/>
        <d v="2016-09-26T00:00:00"/>
        <d v="2017-05-31T00:00:00"/>
        <d v="2019-01-31T00:00:00"/>
        <d v="2023-01-01T00:00:00"/>
        <d v="2023-02-06T00:00:00"/>
        <d v="2022-07-25T00:00:00"/>
        <d v="2022-02-24T00:00:00"/>
        <d v="2023-12-26T00:00:00"/>
        <d v="2019-08-24T00:00:00"/>
        <d v="2020-04-09T00:00:00"/>
        <d v="2022-09-12T00:00:00"/>
        <d v="2021-12-13T00:00:00"/>
        <d v="2019-04-22T00:00:00"/>
        <d v="2021-02-01T00:00:00"/>
        <d v="2021-09-01T00:00:00"/>
        <d v="2022-10-15T00:00:00"/>
        <d v="2020-10-28T00:00:00"/>
        <d v="2024-11-22T00:00:00"/>
        <d v="2023-11-14T00:00:00"/>
        <d v="2017-04-13T00:00:00"/>
        <d v="2025-07-25T00:00:00"/>
        <d v="2023-05-05T00:00:00"/>
        <d v="2023-04-20T00:00:00"/>
        <d v="2024-08-15T00:00:00"/>
        <d v="2022-03-08T00:00:00"/>
        <d v="2024-01-31T00:00:00"/>
        <d v="2018-05-30T00:00:00"/>
        <d v="2020-10-27T00:00:00"/>
        <d v="2021-01-23T00:00:00"/>
        <d v="2018-07-24T00:00:00"/>
        <d v="2020-08-21T00:00:00"/>
        <d v="2019-10-20T00:00:00"/>
        <d v="2025-04-12T00:00:00"/>
        <d v="2021-01-31T00:00:00"/>
        <d v="2020-06-21T00:00:00"/>
        <d v="2020-08-30T00:00:00"/>
        <d v="2024-03-07T00:00:00"/>
        <d v="2017-01-24T00:00:00"/>
        <d v="2019-07-04T00:00:00"/>
        <d v="2020-10-14T00:00:00"/>
        <d v="2023-06-17T00:00:00"/>
        <d v="2018-11-10T00:00:00"/>
        <d v="2020-03-13T00:00:00"/>
        <d v="2017-09-17T00:00:00"/>
        <d v="2023-09-14T00:00:00"/>
        <d v="2021-04-26T00:00:00"/>
        <d v="2016-10-01T00:00:00"/>
        <d v="2017-01-08T00:00:00"/>
        <d v="2025-04-29T00:00:00"/>
        <d v="2016-12-15T00:00:00"/>
        <d v="2017-01-16T00:00:00"/>
        <d v="2020-11-03T00:00:00"/>
        <d v="2017-01-30T00:00:00"/>
        <d v="2024-05-07T00:00:00"/>
        <d v="2024-04-14T00:00:00"/>
        <d v="2020-03-06T00:00:00"/>
        <d v="2025-02-07T00:00:00"/>
        <d v="2022-03-28T00:00:00"/>
        <d v="2016-09-02T00:00:00"/>
        <d v="2022-07-30T00:00:00"/>
        <d v="2022-04-19T00:00:00"/>
        <d v="2019-09-12T00:00:00"/>
        <d v="2023-07-07T00:00:00"/>
        <d v="2020-08-09T00:00:00"/>
        <d v="2019-12-19T00:00:00"/>
        <d v="2023-06-18T00:00:00"/>
        <d v="2024-05-31T00:00:00"/>
        <d v="2020-09-28T00:00:00"/>
        <d v="2024-02-01T00:00:00"/>
        <d v="2016-07-29T00:00:00"/>
        <d v="2019-03-24T00:00:00"/>
        <d v="2022-09-25T00:00:00"/>
        <d v="2019-07-03T00:00:00"/>
        <d v="2019-12-11T00:00:00"/>
        <d v="2017-02-28T00:00:00"/>
        <d v="2022-06-25T00:00:00"/>
        <d v="2021-09-09T00:00:00"/>
        <d v="2018-05-21T00:00:00"/>
        <d v="2017-09-25T00:00:00"/>
        <d v="2023-05-13T00:00:00"/>
        <d v="2021-05-29T00:00:00"/>
        <d v="2018-07-07T00:00:00"/>
        <d v="2017-03-19T00:00:00"/>
        <d v="2019-12-05T00:00:00"/>
        <d v="2025-06-24T00:00:00"/>
        <d v="2020-02-14T00:00:00"/>
        <d v="2017-04-15T00:00:00"/>
        <d v="2024-07-20T00:00:00"/>
        <d v="2019-02-15T00:00:00"/>
        <d v="2022-06-09T00:00:00"/>
        <d v="2018-07-15T00:00:00"/>
        <d v="2025-01-19T00:00:00"/>
        <d v="2020-10-23T00:00:00"/>
        <d v="2025-06-23T00:00:00"/>
        <d v="2022-04-16T00:00:00"/>
        <d v="2024-08-09T00:00:00"/>
        <d v="2025-03-06T00:00:00"/>
        <d v="2022-12-21T00:00:00"/>
        <d v="2022-11-18T00:00:00"/>
        <d v="2023-07-27T00:00:00"/>
        <d v="2023-03-17T00:00:00"/>
        <d v="2022-03-30T00:00:00"/>
        <d v="2016-04-17T00:00:00"/>
        <d v="2022-10-30T00:00:00"/>
        <d v="2023-05-18T00:00:00"/>
        <d v="2025-04-20T00:00:00"/>
        <d v="2023-10-11T00:00:00"/>
        <d v="2018-12-31T00:00:00"/>
        <d v="2016-04-28T00:00:00"/>
        <d v="2018-01-08T00:00:00"/>
        <d v="2019-01-24T00:00:00"/>
        <d v="2023-11-18T00:00:00"/>
        <d v="2024-07-19T00:00:00"/>
        <d v="2019-06-19T00:00:00"/>
        <d v="2019-10-23T00:00:00"/>
        <d v="2019-12-08T00:00:00"/>
        <d v="2016-01-26T00:00:00"/>
        <d v="2018-01-13T00:00:00"/>
        <d v="2017-08-09T00:00:00"/>
        <d v="2022-05-08T00:00:00"/>
        <d v="2023-05-16T00:00:00"/>
        <d v="2020-06-29T00:00:00"/>
        <d v="2016-10-12T00:00:00"/>
        <d v="2017-08-04T00:00:00"/>
        <d v="2024-04-23T00:00:00"/>
        <d v="2016-05-05T00:00:00"/>
        <d v="2024-05-14T00:00:00"/>
        <d v="2021-12-12T00:00:00"/>
        <d v="2018-05-31T00:00:00"/>
        <d v="2020-03-20T00:00:00"/>
        <d v="2020-09-15T00:00:00"/>
        <d v="2019-10-28T00:00:00"/>
        <d v="2017-10-06T00:00:00"/>
        <d v="2020-02-24T00:00:00"/>
        <d v="2019-06-30T00:00:00"/>
        <d v="2024-02-03T00:00:00"/>
        <d v="2019-08-21T00:00:00"/>
        <d v="2024-09-16T00:00:00"/>
        <d v="2022-05-13T00:00:00"/>
        <d v="2022-09-08T00:00:00"/>
        <d v="2016-12-13T00:00:00"/>
        <d v="2016-08-03T00:00:00"/>
        <d v="2017-09-29T00:00:00"/>
        <d v="2024-06-17T00:00:00"/>
        <d v="2022-12-05T00:00:00"/>
        <d v="2016-07-22T00:00:00"/>
        <d v="2023-07-23T00:00:00"/>
        <d v="2016-11-30T00:00:00"/>
        <d v="2019-01-19T00:00:00"/>
        <d v="2020-12-19T00:00:00"/>
        <d v="2023-06-04T00:00:00"/>
        <d v="2020-10-02T00:00:00"/>
        <d v="2021-06-12T00:00:00"/>
        <d v="2022-10-22T00:00:00"/>
        <d v="2020-12-15T00:00:00"/>
        <d v="2020-08-23T00:00:00"/>
        <d v="2019-01-23T00:00:00"/>
        <d v="2018-06-01T00:00:00"/>
        <d v="2024-06-19T00:00:00"/>
        <d v="2021-09-29T00:00:00"/>
        <d v="2017-04-11T00:00:00"/>
        <d v="2019-11-14T00:00:00"/>
        <d v="2020-10-26T00:00:00"/>
        <d v="2017-03-30T00:00:00"/>
        <d v="2019-03-06T00:00:00"/>
        <d v="2023-08-09T00:00:00"/>
        <d v="2023-08-11T00:00:00"/>
        <d v="2022-08-26T00:00:00"/>
        <d v="2021-06-16T00:00:00"/>
        <d v="2021-11-28T00:00:00"/>
        <d v="2023-06-25T00:00:00"/>
        <d v="2019-06-17T00:00:00"/>
        <d v="2016-07-05T00:00:00"/>
        <d v="2018-06-22T00:00:00"/>
        <d v="2020-06-06T00:00:00"/>
        <d v="2022-09-20T00:00:00"/>
        <d v="2016-08-12T00:00:00"/>
        <d v="2016-02-01T00:00:00"/>
        <d v="2018-04-17T00:00:00"/>
        <d v="2019-05-19T00:00:00"/>
        <d v="2018-05-15T00:00:00"/>
        <d v="2017-07-16T00:00:00"/>
        <d v="2024-07-27T00:00:00"/>
        <d v="2018-11-12T00:00:00"/>
        <d v="2019-03-31T00:00:00"/>
        <d v="2019-09-05T00:00:00"/>
        <d v="2017-05-06T00:00:00"/>
        <d v="2021-07-30T00:00:00"/>
        <d v="2024-05-17T00:00:00"/>
        <d v="2020-10-29T00:00:00"/>
        <d v="2017-12-20T00:00:00"/>
        <d v="2017-06-13T00:00:00"/>
        <d v="2020-04-06T00:00:00"/>
        <d v="2021-12-21T00:00:00"/>
        <d v="2023-11-22T00:00:00"/>
        <d v="2018-07-31T00:00:00"/>
        <d v="2021-08-11T00:00:00"/>
        <d v="2022-04-07T00:00:00"/>
        <d v="2025-05-06T00:00:00"/>
        <d v="2023-06-29T00:00:00"/>
        <d v="2025-01-15T00:00:00"/>
        <d v="2019-12-21T00:00:00"/>
        <d v="2016-10-22T00:00:00"/>
        <d v="2020-06-14T00:00:00"/>
        <d v="2025-08-30T00:00:00"/>
        <d v="2024-04-27T00:00:00"/>
        <d v="2016-06-22T00:00:00"/>
        <d v="2020-11-21T00:00:00"/>
        <d v="2016-03-17T00:00:00"/>
        <d v="2021-02-26T00:00:00"/>
        <d v="2016-11-14T00:00:00"/>
        <d v="2025-09-01T00:00:00"/>
        <d v="2019-07-06T00:00:00"/>
        <d v="2022-06-16T00:00:00"/>
        <d v="2020-10-24T00:00:00"/>
        <d v="2022-06-06T00:00:00"/>
        <d v="2020-07-14T00:00:00"/>
        <d v="2023-12-16T00:00:00"/>
        <d v="2023-03-07T00:00:00"/>
        <d v="2020-09-06T00:00:00"/>
        <d v="2017-04-16T00:00:00"/>
        <d v="2020-07-17T00:00:00"/>
        <d v="2016-03-26T00:00:00"/>
        <d v="2019-08-23T00:00:00"/>
        <d v="2017-12-04T00:00:00"/>
        <d v="2024-12-26T00:00:00"/>
        <d v="2022-12-06T00:00:00"/>
        <d v="2021-02-27T00:00:00"/>
        <d v="2025-04-30T00:00:00"/>
        <d v="2023-09-25T00:00:00"/>
        <d v="2016-12-26T00:00:00"/>
        <d v="2020-11-23T00:00:00"/>
        <d v="2025-06-21T00:00:00"/>
        <d v="2017-03-09T00:00:00"/>
        <d v="2018-09-23T00:00:00"/>
        <d v="2020-11-19T00:00:00"/>
        <d v="2022-08-09T00:00:00"/>
        <d v="2020-06-28T00:00:00"/>
        <d v="2021-11-16T00:00:00"/>
        <d v="2016-11-18T00:00:00"/>
        <d v="2020-06-09T00:00:00"/>
        <d v="2019-06-24T00:00:00"/>
        <d v="2019-10-22T00:00:00"/>
        <d v="2019-09-26T00:00:00"/>
        <d v="2024-09-26T00:00:00"/>
        <d v="2017-11-19T00:00:00"/>
        <d v="2016-11-08T00:00:00"/>
        <d v="2021-09-21T00:00:00"/>
        <d v="2017-04-12T00:00:00"/>
        <d v="2021-09-19T00:00:00"/>
        <d v="2018-03-05T00:00:00"/>
        <d v="2024-09-14T00:00:00"/>
        <d v="2019-12-02T00:00:00"/>
        <d v="2019-12-09T00:00:00"/>
        <d v="2024-02-27T00:00:00"/>
        <d v="2025-03-08T00:00:00"/>
        <d v="2023-03-28T00:00:00"/>
        <d v="2025-02-20T00:00:00"/>
        <d v="2018-08-25T00:00:00"/>
        <d v="2017-02-25T00:00:00"/>
        <d v="2017-08-22T00:00:00"/>
        <d v="2018-11-14T00:00:00"/>
        <d v="2018-03-19T00:00:00"/>
        <d v="2017-12-11T00:00:00"/>
        <d v="2022-10-03T00:00:00"/>
        <d v="2017-09-18T00:00:00"/>
        <d v="2024-07-10T00:00:00"/>
        <d v="2024-07-06T00:00:00"/>
        <d v="2023-05-08T00:00:00"/>
        <d v="2016-11-04T00:00:00"/>
        <d v="2017-12-26T00:00:00"/>
        <d v="2024-08-31T00:00:00"/>
        <d v="2023-01-16T00:00:00"/>
        <d v="2021-07-16T00:00:00"/>
        <d v="2021-03-15T00:00:00"/>
        <d v="2022-04-28T00:00:00"/>
        <d v="2024-07-09T00:00:00"/>
        <d v="2022-07-01T00:00:00"/>
        <d v="2021-01-12T00:00:00"/>
        <d v="2023-08-21T00:00:00"/>
        <d v="2023-03-18T00:00:00"/>
        <d v="2023-02-15T00:00:00"/>
        <d v="2023-01-02T00:00:00"/>
        <d v="2019-08-16T00:00:00"/>
        <d v="2023-01-13T00:00:00"/>
        <d v="2019-07-18T00:00:00"/>
        <d v="2017-09-10T00:00:00"/>
        <d v="2020-12-06T00:00:00"/>
        <d v="2016-10-06T00:00:00"/>
        <d v="2021-04-04T00:00:00"/>
        <d v="2020-12-16T00:00:00"/>
        <d v="2023-01-30T00:00:00"/>
        <d v="2019-05-25T00:00:00"/>
        <d v="2024-12-05T00:00:00"/>
        <d v="2019-01-30T00:00:00"/>
        <d v="2022-08-19T00:00:00"/>
        <d v="2016-08-18T00:00:00"/>
        <d v="2019-12-12T00:00:00"/>
        <d v="2016-10-30T00:00:00"/>
        <d v="2019-06-25T00:00:00"/>
        <d v="2021-03-06T00:00:00"/>
        <d v="2016-06-03T00:00:00"/>
        <d v="2016-08-21T00:00:00"/>
        <d v="2020-02-19T00:00:00"/>
        <d v="2019-03-21T00:00:00"/>
        <d v="2016-11-10T00:00:00"/>
        <d v="2023-03-25T00:00:00"/>
        <d v="2025-08-04T00:00:00"/>
        <d v="2017-01-04T00:00:00"/>
        <d v="2022-08-30T00:00:00"/>
        <d v="2021-09-07T00:00:00"/>
        <d v="2020-04-23T00:00:00"/>
        <d v="2021-03-10T00:00:00"/>
        <d v="2022-07-05T00:00:00"/>
        <d v="2024-11-17T00:00:00"/>
        <d v="2016-06-17T00:00:00"/>
        <d v="2021-01-16T00:00:00"/>
        <d v="2025-01-30T00:00:00"/>
        <d v="2022-05-30T00:00:00"/>
        <d v="2023-04-23T00:00:00"/>
        <d v="2018-02-10T00:00:00"/>
        <d v="2019-08-09T00:00:00"/>
        <d v="2022-10-14T00:00:00"/>
        <d v="2021-05-02T00:00:00"/>
        <d v="2021-08-15T00:00:00"/>
        <d v="2017-09-09T00:00:00"/>
        <d v="2016-09-10T00:00:00"/>
        <d v="2021-01-19T00:00:00"/>
        <d v="2017-02-27T00:00:00"/>
        <d v="2025-02-03T00:00:00"/>
        <d v="2025-05-22T00:00:00"/>
        <d v="2019-11-07T00:00:00"/>
        <d v="2024-01-04T00:00:00"/>
        <d v="2016-12-11T00:00:00"/>
        <d v="2021-08-28T00:00:00"/>
        <d v="2023-03-31T00:00:00"/>
        <d v="2017-12-07T00:00:00"/>
        <d v="2016-06-09T00:00:00"/>
        <d v="2018-10-11T00:00:00"/>
        <d v="2023-12-08T00:00:00"/>
        <d v="2020-11-28T00:00:00"/>
        <d v="2020-12-04T00:00:00"/>
        <d v="2021-11-11T00:00:00"/>
        <d v="2022-11-02T00:00:00"/>
        <d v="2017-10-12T00:00:00"/>
        <d v="2020-01-30T00:00:00"/>
        <d v="2020-03-07T00:00:00"/>
        <d v="2019-03-04T00:00:00"/>
        <d v="2020-05-05T00:00:00"/>
        <d v="2020-08-01T00:00:00"/>
        <d v="2024-09-07T00:00:00"/>
        <d v="2019-10-17T00:00:00"/>
        <d v="2023-08-12T00:00:00"/>
        <d v="2022-09-14T00:00:00"/>
        <d v="2024-11-06T00:00:00"/>
        <d v="2023-01-28T00:00:00"/>
        <d v="2023-04-05T00:00:00"/>
        <d v="2019-10-02T00:00:00"/>
        <d v="2017-01-22T00:00:00"/>
        <d v="2022-04-04T00:00:00"/>
        <d v="2023-08-10T00:00:00"/>
        <d v="2020-05-02T00:00:00"/>
        <d v="2019-03-09T00:00:00"/>
        <d v="2018-10-29T00:00:00"/>
        <d v="2024-02-12T00:00:00"/>
        <d v="2025-07-20T00:00:00"/>
        <d v="2022-10-04T00:00:00"/>
        <d v="2017-09-07T00:00:00"/>
        <d v="2019-09-27T00:00:00"/>
        <d v="2016-11-29T00:00:00"/>
        <d v="2022-07-14T00:00:00"/>
        <d v="2023-06-11T00:00:00"/>
        <d v="2017-08-02T00:00:00"/>
        <d v="2019-12-03T00:00:00"/>
        <d v="2023-05-11T00:00:00"/>
        <d v="2023-10-31T00:00:00"/>
        <d v="2023-06-05T00:00:00"/>
        <d v="2020-05-24T00:00:00"/>
        <d v="2017-06-12T00:00:00"/>
        <d v="2022-09-03T00:00:00"/>
        <d v="2023-12-13T00:00:00"/>
        <d v="2019-06-22T00:00:00"/>
        <d v="2022-04-08T00:00:00"/>
        <d v="2020-03-22T00:00:00"/>
        <d v="2024-11-16T00:00:00"/>
        <d v="2017-06-07T00:00:00"/>
        <d v="2025-04-18T00:00:00"/>
        <d v="2023-09-08T00:00:00"/>
        <d v="2021-11-26T00:00:00"/>
        <d v="2017-01-17T00:00:00"/>
        <d v="2023-07-09T00:00:00"/>
        <d v="2020-09-30T00:00:00"/>
        <d v="2021-09-13T00:00:00"/>
        <d v="2016-03-15T00:00:00"/>
        <d v="2020-01-25T00:00:00"/>
        <d v="2018-05-27T00:00:00"/>
        <d v="2019-10-31T00:00:00"/>
        <d v="2024-08-04T00:00:00"/>
        <d v="2021-06-14T00:00:00"/>
        <d v="2018-02-25T00:00:00"/>
        <d v="2018-07-16T00:00:00"/>
        <d v="2017-07-17T00:00:00"/>
        <d v="2017-09-26T00:00:00"/>
        <d v="2016-11-12T00:00:00"/>
        <d v="2019-04-26T00:00:00"/>
        <d v="2025-06-20T00:00:00"/>
        <d v="2024-11-02T00:00:00"/>
        <d v="2017-02-18T00:00:00"/>
        <d v="2021-09-10T00:00:00"/>
        <d v="2024-08-23T00:00:00"/>
        <d v="2022-01-19T00:00:00"/>
        <d v="2025-05-13T00:00:00"/>
        <d v="2024-04-13T00:00:00"/>
        <d v="2019-10-11T00:00:00"/>
        <d v="2017-06-20T00:00:00"/>
        <d v="2020-03-23T00:00:00"/>
        <d v="2017-09-23T00:00:00"/>
        <d v="2017-10-26T00:00:00"/>
        <d v="2018-01-10T00:00:00"/>
        <d v="2025-04-28T00:00:00"/>
        <d v="2023-10-08T00:00:00"/>
        <d v="2024-08-24T00:00:00"/>
        <d v="2025-01-26T00:00:00"/>
        <d v="2017-11-09T00:00:00"/>
        <d v="2020-11-27T00:00:00"/>
        <d v="2016-06-27T00:00:00"/>
        <d v="2020-02-01T00:00:00"/>
        <d v="2023-08-02T00:00:00"/>
        <d v="2024-01-26T00:00:00"/>
        <d v="2018-08-30T00:00:00"/>
        <d v="2020-12-24T00:00:00"/>
        <d v="2022-11-05T00:00:00"/>
        <d v="2019-03-13T00:00:00"/>
        <d v="2024-06-08T00:00:00"/>
        <d v="2024-05-24T00:00:00"/>
        <d v="2024-10-15T00:00:00"/>
        <d v="2018-08-16T00:00:00"/>
        <d v="2021-12-27T00:00:00"/>
        <d v="2018-09-06T00:00:00"/>
        <d v="2019-06-21T00:00:00"/>
        <d v="2025-01-25T00:00:00"/>
        <d v="2024-10-17T00:00:00"/>
        <d v="2021-04-05T00:00:00"/>
        <d v="2020-02-15T00:00:00"/>
        <d v="2022-05-25T00:00:00"/>
        <d v="2020-12-09T00:00:00"/>
        <d v="2024-08-17T00:00:00"/>
        <d v="2019-02-28T00:00:00"/>
        <d v="2024-09-22T00:00:00"/>
        <d v="2020-04-13T00:00:00"/>
        <d v="2021-08-21T00:00:00"/>
        <d v="2021-11-30T00:00:00"/>
        <d v="2020-09-10T00:00:00"/>
        <d v="2017-10-25T00:00:00"/>
        <d v="2025-02-27T00:00:00"/>
        <d v="2018-03-28T00:00:00"/>
        <d v="2024-12-25T00:00:00"/>
        <d v="2022-10-12T00:00:00"/>
        <d v="2017-07-20T00:00:00"/>
        <d v="2018-10-21T00:00:00"/>
        <d v="2016-08-01T00:00:00"/>
        <d v="2023-03-11T00:00:00"/>
        <d v="2021-05-22T00:00:00"/>
        <d v="2020-02-29T00:00:00"/>
        <d v="2022-03-21T00:00:00"/>
        <d v="2017-02-24T00:00:00"/>
        <d v="2023-12-23T00:00:00"/>
        <d v="2025-06-26T00:00:00"/>
        <d v="2021-10-14T00:00:00"/>
        <d v="2025-07-18T00:00:00"/>
        <d v="2017-05-25T00:00:00"/>
        <d v="2016-12-09T00:00:00"/>
        <d v="2024-07-22T00:00:00"/>
        <d v="2017-10-18T00:00:00"/>
        <d v="2019-01-22T00:00:00"/>
        <d v="2021-01-14T00:00:00"/>
        <d v="2017-08-26T00:00:00"/>
        <d v="2025-04-26T00:00:00"/>
        <d v="2020-11-26T00:00:00"/>
        <d v="2018-06-28T00:00:00"/>
        <d v="2021-01-21T00:00:00"/>
        <d v="2016-04-19T00:00:00"/>
        <d v="2020-08-26T00:00:00"/>
        <d v="2016-08-06T00:00:00"/>
        <d v="2020-06-11T00:00:00"/>
        <d v="2021-08-18T00:00:00"/>
        <d v="2020-03-11T00:00:00"/>
        <d v="2018-08-23T00:00:00"/>
        <d v="2020-04-30T00:00:00"/>
        <d v="2020-03-15T00:00:00"/>
        <d v="2018-07-08T00:00:00"/>
        <d v="2016-04-25T00:00:00"/>
        <d v="2019-07-29T00:00:00"/>
        <d v="2017-02-09T00:00:00"/>
        <d v="2025-05-30T00:00:00"/>
        <d v="2024-01-06T00:00:00"/>
        <d v="2023-04-16T00:00:00"/>
        <d v="2019-10-05T00:00:00"/>
        <d v="2024-11-15T00:00:00"/>
        <d v="2017-08-21T00:00:00"/>
        <d v="2016-06-05T00:00:00"/>
        <d v="2021-04-19T00:00:00"/>
        <d v="2023-10-22T00:00:00"/>
        <d v="2025-04-27T00:00:00"/>
        <d v="2017-07-22T00:00:00"/>
        <d v="2024-07-05T00:00:00"/>
        <d v="2023-11-29T00:00:00"/>
        <d v="2021-01-11T00:00:00"/>
        <d v="2022-11-25T00:00:00"/>
        <d v="2016-01-22T00:00:00"/>
        <d v="2016-11-20T00:00:00"/>
        <d v="2016-03-18T00:00:00"/>
        <d v="2018-06-02T00:00:00"/>
        <d v="2017-09-04T00:00:00"/>
        <d v="2022-02-25T00:00:00"/>
        <d v="2022-10-29T00:00:00"/>
        <d v="2021-12-01T00:00:00"/>
        <d v="2020-09-29T00:00:00"/>
        <d v="2017-03-31T00:00:00"/>
        <d v="2019-03-26T00:00:00"/>
        <d v="2018-08-31T00:00:00"/>
        <d v="2019-05-18T00:00:00"/>
        <d v="2017-05-14T00:00:00"/>
        <d v="2016-07-14T00:00:00"/>
        <d v="2018-09-03T00:00:00"/>
        <d v="2023-03-02T00:00:00"/>
        <d v="2024-11-25T00:00:00"/>
        <d v="2022-12-26T00:00:00"/>
        <d v="2021-02-15T00:00:00"/>
        <d v="2016-09-14T00:00:00"/>
        <d v="2025-05-20T00:00:00"/>
        <d v="2021-08-09T00:00:00"/>
        <d v="2022-09-10T00:00:00"/>
        <d v="2022-01-04T00:00:00"/>
        <d v="2016-03-08T00:00:00"/>
        <d v="2023-02-01T00:00:00"/>
        <d v="2021-10-11T00:00:00"/>
        <d v="2022-06-13T00:00:00"/>
        <d v="2018-09-17T00:00:00"/>
        <d v="2024-01-22T00:00:00"/>
        <d v="2017-08-11T00:00:00"/>
        <d v="2019-04-08T00:00:00"/>
        <d v="2016-01-07T00:00:00"/>
        <d v="2022-11-23T00:00:00"/>
        <d v="2019-12-16T00:00:00"/>
        <d v="2018-09-12T00:00:00"/>
        <d v="2022-05-26T00:00:00"/>
        <d v="2020-09-02T00:00:00"/>
        <d v="2018-02-06T00:00:00"/>
        <d v="2023-06-14T00:00:00"/>
        <d v="2023-06-30T00:00:00"/>
        <d v="2016-12-16T00:00:00"/>
        <d v="2021-11-14T00:00:00"/>
        <d v="2020-01-17T00:00:00"/>
        <d v="2016-10-04T00:00:00"/>
        <d v="2022-02-06T00:00:00"/>
        <d v="2024-10-26T00:00:00"/>
        <d v="2022-03-19T00:00:00"/>
        <d v="2016-03-24T00:00:00"/>
        <d v="2020-05-18T00:00:00"/>
        <d v="2021-04-09T00:00:00"/>
        <d v="2023-02-16T00:00:00"/>
        <d v="2020-05-03T00:00:00"/>
        <d v="2020-03-09T00:00:00"/>
        <d v="2018-11-04T00:00:00"/>
        <d v="2024-05-19T00:00:00"/>
        <d v="2016-03-07T00:00:00"/>
        <d v="2020-01-02T00:00:00"/>
        <d v="2016-10-03T00:00:00"/>
        <d v="2019-11-13T00:00:00"/>
        <d v="2018-09-14T00:00:00"/>
        <d v="2024-03-21T00:00:00"/>
        <d v="2023-05-15T00:00:00"/>
        <d v="2023-01-17T00:00:00"/>
        <d v="2024-08-26T00:00:00"/>
        <d v="2022-07-11T00:00:00"/>
        <d v="2024-03-30T00:00:00"/>
        <d v="2024-06-26T00:00:00"/>
        <d v="2019-09-23T00:00:00"/>
        <d v="2017-06-30T00:00:00"/>
        <d v="2016-06-30T00:00:00"/>
        <d v="2019-12-14T00:00:00"/>
        <d v="2022-02-14T00:00:00"/>
        <d v="2019-10-18T00:00:00"/>
        <d v="2025-02-14T00:00:00"/>
        <d v="2017-12-18T00:00:00"/>
        <d v="2025-04-24T00:00:00"/>
        <d v="2023-09-05T00:00:00"/>
        <d v="2021-03-18T00:00:00"/>
        <d v="2023-10-19T00:00:00"/>
        <d v="2021-05-14T00:00:00"/>
        <d v="2023-01-31T00:00:00"/>
        <d v="2018-01-16T00:00:00"/>
        <d v="2025-02-05T00:00:00"/>
        <d v="2017-07-06T00:00:00"/>
        <d v="2016-09-15T00:00:00"/>
        <d v="2024-01-11T00:00:00"/>
        <d v="2021-02-17T00:00:00"/>
        <d v="2016-05-31T00:00:00"/>
        <d v="2019-04-16T00:00:00"/>
        <d v="2018-04-05T00:00:00"/>
        <d v="2016-06-28T00:00:00"/>
        <d v="2024-11-14T00:00:00"/>
        <d v="2016-06-20T00:00:00"/>
        <d v="2019-07-16T00:00:00"/>
        <d v="2021-10-12T00:00:00"/>
        <d v="2020-06-19T00:00:00"/>
        <d v="2025-02-21T00:00:00"/>
        <d v="2022-02-02T00:00:00"/>
        <d v="2021-04-23T00:00:00"/>
        <d v="2018-11-03T00:00:00"/>
        <d v="2016-05-29T00:00:00"/>
        <d v="2024-06-12T00:00:00"/>
        <d v="2023-04-03T00:00:00"/>
        <d v="2018-02-21T00:00:00"/>
        <d v="2019-03-17T00:00:00"/>
        <d v="2024-10-03T00:00:00"/>
        <d v="2023-05-09T00:00:00"/>
        <d v="2019-09-21T00:00:00"/>
        <d v="2017-05-24T00:00:00"/>
        <d v="2024-12-18T00:00:00"/>
        <d v="2020-02-16T00:00:00"/>
        <d v="2020-11-24T00:00:00"/>
        <d v="2020-06-26T00:00:00"/>
        <d v="2024-05-02T00:00:00"/>
        <d v="2018-02-04T00:00:00"/>
        <d v="2021-07-25T00:00:00"/>
        <d v="2023-10-05T00:00:00"/>
        <d v="2024-12-09T00:00:00"/>
        <d v="2021-10-27T00:00:00"/>
        <d v="2018-12-28T00:00:00"/>
        <d v="2016-12-04T00:00:00"/>
        <d v="2020-10-04T00:00:00"/>
        <d v="2016-11-19T00:00:00"/>
        <d v="2025-03-22T00:00:00"/>
        <d v="2018-01-09T00:00:00"/>
        <d v="2022-02-12T00:00:00"/>
        <d v="2019-04-18T00:00:00"/>
        <d v="2019-08-08T00:00:00"/>
        <d v="2016-11-23T00:00:00"/>
        <d v="2019-04-25T00:00:00"/>
        <d v="2019-06-09T00:00:00"/>
        <d v="2020-12-31T00:00:00"/>
        <d v="2024-01-18T00:00:00"/>
        <d v="2020-10-11T00:00:00"/>
        <d v="2017-11-13T00:00:00"/>
        <d v="2023-09-26T00:00:00"/>
        <d v="2020-12-23T00:00:00"/>
        <d v="2019-12-10T00:00:00"/>
        <d v="2021-01-05T00:00:00"/>
        <d v="2024-02-25T00:00:00"/>
        <d v="2019-12-15T00:00:00"/>
        <d v="2020-11-16T00:00:00"/>
        <d v="2019-01-29T00:00:00"/>
        <d v="2016-08-22T00:00:00"/>
        <d v="2016-11-03T00:00:00"/>
        <d v="2023-07-12T00:00:00"/>
        <d v="2023-02-24T00:00:00"/>
        <d v="2020-07-21T00:00:00"/>
        <d v="2020-01-28T00:00:00"/>
        <d v="2021-10-02T00:00:00"/>
        <d v="2024-05-29T00:00:00"/>
        <d v="2023-08-14T00:00:00"/>
        <d v="2017-10-17T00:00:00"/>
        <d v="2017-08-07T00:00:00"/>
        <d v="2025-07-08T00:00:00"/>
        <d v="2022-10-24T00:00:00"/>
        <d v="2024-10-05T00:00:00"/>
        <d v="2020-11-29T00:00:00"/>
        <d v="2016-05-22T00:00:00"/>
        <d v="2017-06-01T00:00:00"/>
        <d v="2016-10-02T00:00:00"/>
        <d v="2018-08-24T00:00:00"/>
        <d v="2024-09-23T00:00:00"/>
        <d v="2023-03-27T00:00:00"/>
        <d v="2020-02-09T00:00:00"/>
        <d v="2020-01-23T00:00:00"/>
        <d v="2020-04-17T00:00:00"/>
        <d v="2022-05-12T00:00:00"/>
        <d v="2016-05-12T00:00:00"/>
        <d v="2017-09-20T00:00:00"/>
        <d v="2023-08-13T00:00:00"/>
        <d v="2020-02-28T00:00:00"/>
        <d v="2020-03-03T00:00:00"/>
        <d v="2022-06-08T00:00:00"/>
        <d v="2021-12-08T00:00:00"/>
        <d v="2020-02-12T00:00:00"/>
        <d v="2019-07-11T00:00:00"/>
        <d v="2023-04-14T00:00:00"/>
        <d v="2018-10-19T00:00:00"/>
        <d v="2017-04-09T00:00:00"/>
        <d v="2016-04-16T00:00:00"/>
        <d v="2024-04-01T00:00:00"/>
        <d v="2018-02-01T00:00:00"/>
        <d v="2021-08-06T00:00:00"/>
        <d v="2021-10-21T00:00:00"/>
        <d v="2020-05-04T00:00:00"/>
        <d v="2017-04-27T00:00:00"/>
        <d v="2018-12-08T00:00:00"/>
        <d v="2024-09-09T00:00:00"/>
        <d v="2018-12-02T00:00:00"/>
        <d v="2023-11-23T00:00:00"/>
        <d v="2021-01-01T00:00:00"/>
        <d v="2018-05-28T00:00:00"/>
        <d v="2022-11-11T00:00:00"/>
        <d v="2019-03-15T00:00:00"/>
        <d v="2023-10-13T00:00:00"/>
        <d v="2021-07-04T00:00:00"/>
        <d v="2018-03-30T00:00:00"/>
        <d v="2017-05-17T00:00:00"/>
        <d v="2017-07-09T00:00:00"/>
        <d v="2017-12-08T00:00:00"/>
        <d v="2023-12-31T00:00:00"/>
        <d v="2020-12-28T00:00:00"/>
        <d v="2016-12-25T00:00:00"/>
        <d v="2025-02-01T00:00:00"/>
        <d v="2023-08-25T00:00:00"/>
        <d v="2025-06-25T00:00:00"/>
        <d v="2019-08-02T00:00:00"/>
        <d v="2023-06-28T00:00:00"/>
        <d v="2019-11-24T00:00:00"/>
        <d v="2016-09-22T00:00:00"/>
        <d v="2022-03-02T00:00:00"/>
        <d v="2022-01-29T00:00:00"/>
        <d v="2019-04-04T00:00:00"/>
        <d v="2019-05-13T00:00:00"/>
        <d v="2025-07-19T00:00:00"/>
        <d v="2017-10-07T00:00:00"/>
        <d v="2023-12-25T00:00:00"/>
        <d v="2023-11-08T00:00:00"/>
        <d v="2023-02-25T00:00:00"/>
        <d v="2024-11-24T00:00:00"/>
        <d v="2020-01-20T00:00:00"/>
        <d v="2021-09-14T00:00:00"/>
        <d v="2017-05-12T00:00:00"/>
        <d v="2018-04-03T00:00:00"/>
        <d v="2024-11-18T00:00:00"/>
        <d v="2018-08-27T00:00:00"/>
        <d v="2024-11-11T00:00:00"/>
        <d v="2020-01-18T00:00:00"/>
        <d v="2022-06-02T00:00:00"/>
        <d v="2020-02-20T00:00:00"/>
        <d v="2021-03-29T00:00:00"/>
        <d v="2025-01-04T00:00:00"/>
        <d v="2022-03-09T00:00:00"/>
        <d v="2017-06-15T00:00:00"/>
        <d v="2016-12-19T00:00:00"/>
        <d v="2019-06-20T00:00:00"/>
        <d v="2024-01-15T00:00:00"/>
        <d v="2024-01-23T00:00:00"/>
        <d v="2021-11-23T00:00:00"/>
        <d v="2024-08-16T00:00:00"/>
        <d v="2020-08-04T00:00:00"/>
        <d v="2025-03-26T00:00:00"/>
        <d v="2022-06-12T00:00:00"/>
        <m/>
      </sharedItems>
    </cacheField>
    <cacheField name="monthly_salary_bdt" numFmtId="184">
      <sharedItems containsString="0" containsBlank="1" containsNumber="1" containsInteger="1" minValue="44753" maxValue="344942" count="1000">
        <n v="97605"/>
        <n v="57499"/>
        <n v="136659"/>
        <n v="115085"/>
        <n v="164000"/>
        <n v="113810"/>
        <n v="148804"/>
        <n v="163417"/>
        <n v="59023"/>
        <n v="184800"/>
        <n v="76400"/>
        <n v="91466"/>
        <n v="144623"/>
        <n v="97343"/>
        <n v="221527"/>
        <n v="169776"/>
        <n v="227464"/>
        <n v="73216"/>
        <n v="116055"/>
        <n v="188711"/>
        <n v="63778"/>
        <n v="215065"/>
        <n v="122086"/>
        <n v="141478"/>
        <n v="131411"/>
        <n v="104751"/>
        <n v="218329"/>
        <n v="157690"/>
        <n v="141183"/>
        <n v="99920"/>
        <n v="78647"/>
        <n v="233085"/>
        <n v="153390"/>
        <n v="105962"/>
        <n v="116624"/>
        <n v="77427"/>
        <n v="317015"/>
        <n v="206071"/>
        <n v="132584"/>
        <n v="74566"/>
        <n v="164307"/>
        <n v="143885"/>
        <n v="151772"/>
        <n v="72635"/>
        <n v="228086"/>
        <n v="117000"/>
        <n v="104908"/>
        <n v="134577"/>
        <n v="211918"/>
        <n v="173897"/>
        <n v="121481"/>
        <n v="158063"/>
        <n v="173570"/>
        <n v="147590"/>
        <n v="138544"/>
        <n v="89940"/>
        <n v="209299"/>
        <n v="96715"/>
        <n v="165688"/>
        <n v="95553"/>
        <n v="225796"/>
        <n v="164207"/>
        <n v="157208"/>
        <n v="205545"/>
        <n v="331486"/>
        <n v="134863"/>
        <n v="96418"/>
        <n v="117217"/>
        <n v="119297"/>
        <n v="96180"/>
        <n v="69424"/>
        <n v="125767"/>
        <n v="171120"/>
        <n v="73342"/>
        <n v="126028"/>
        <n v="84403"/>
        <n v="58098"/>
        <n v="173927"/>
        <n v="149187"/>
        <n v="278581"/>
        <n v="75559"/>
        <n v="84502"/>
        <n v="152331"/>
        <n v="195944"/>
        <n v="268922"/>
        <n v="198013"/>
        <n v="266602"/>
        <n v="136974"/>
        <n v="127230"/>
        <n v="147356"/>
        <n v="161402"/>
        <n v="233536"/>
        <n v="257374"/>
        <n v="91158"/>
        <n v="106333"/>
        <n v="75235"/>
        <n v="60785"/>
        <n v="55786"/>
        <n v="134271"/>
        <n v="156178"/>
        <n v="131877"/>
        <n v="138408"/>
        <n v="253791"/>
        <n v="234882"/>
        <n v="171732"/>
        <n v="124374"/>
        <n v="180577"/>
        <n v="214709"/>
        <n v="272489"/>
        <n v="179920"/>
        <n v="274622"/>
        <n v="115486"/>
        <n v="47847"/>
        <n v="150407"/>
        <n v="75402"/>
        <n v="90308"/>
        <n v="93271"/>
        <n v="166489"/>
        <n v="127253"/>
        <n v="156698"/>
        <n v="105032"/>
        <n v="194473"/>
        <n v="223604"/>
        <n v="116353"/>
        <n v="323393"/>
        <n v="204089"/>
        <n v="115492"/>
        <n v="63509"/>
        <n v="150359"/>
        <n v="188137"/>
        <n v="180052"/>
        <n v="331014"/>
        <n v="150872"/>
        <n v="74066"/>
        <n v="71853"/>
        <n v="145378"/>
        <n v="80214"/>
        <n v="153114"/>
        <n v="107540"/>
        <n v="133736"/>
        <n v="193662"/>
        <n v="214124"/>
        <n v="160401"/>
        <n v="292950"/>
        <n v="156121"/>
        <n v="144739"/>
        <n v="66930"/>
        <n v="66367"/>
        <n v="125613"/>
        <n v="235298"/>
        <n v="90082"/>
        <n v="229275"/>
        <n v="122342"/>
        <n v="153272"/>
        <n v="76212"/>
        <n v="204194"/>
        <n v="163259"/>
        <n v="191622"/>
        <n v="254146"/>
        <n v="114415"/>
        <n v="190248"/>
        <n v="60029"/>
        <n v="132352"/>
        <n v="172506"/>
        <n v="112641"/>
        <n v="98319"/>
        <n v="184159"/>
        <n v="176571"/>
        <n v="109974"/>
        <n v="63596"/>
        <n v="164223"/>
        <n v="197542"/>
        <n v="124487"/>
        <n v="170924"/>
        <n v="89719"/>
        <n v="143847"/>
        <n v="129577"/>
        <n v="154566"/>
        <n v="168895"/>
        <n v="193255"/>
        <n v="195037"/>
        <n v="149426"/>
        <n v="99935"/>
        <n v="191513"/>
        <n v="147331"/>
        <n v="186702"/>
        <n v="76155"/>
        <n v="83898"/>
        <n v="80935"/>
        <n v="184157"/>
        <n v="174728"/>
        <n v="161761"/>
        <n v="101902"/>
        <n v="71442"/>
        <n v="56829"/>
        <n v="107371"/>
        <n v="225835"/>
        <n v="163677"/>
        <n v="81456"/>
        <n v="115471"/>
        <n v="147911"/>
        <n v="79321"/>
        <n v="78363"/>
        <n v="110723"/>
        <n v="63622"/>
        <n v="100219"/>
        <n v="90603"/>
        <n v="68932"/>
        <n v="200191"/>
        <n v="276214"/>
        <n v="91942"/>
        <n v="115210"/>
        <n v="60224"/>
        <n v="154511"/>
        <n v="217157"/>
        <n v="115743"/>
        <n v="86601"/>
        <n v="188835"/>
        <n v="72912"/>
        <n v="148023"/>
        <n v="186275"/>
        <n v="132900"/>
        <n v="197759"/>
        <n v="186825"/>
        <n v="238674"/>
        <n v="190351"/>
        <n v="85676"/>
        <n v="126090"/>
        <n v="132740"/>
        <n v="145727"/>
        <n v="201055"/>
        <n v="160791"/>
        <n v="112634"/>
        <n v="104145"/>
        <n v="125871"/>
        <n v="138097"/>
        <n v="137134"/>
        <n v="150761"/>
        <n v="199207"/>
        <n v="81364"/>
        <n v="139274"/>
        <n v="110145"/>
        <n v="96473"/>
        <n v="243473"/>
        <n v="117681"/>
        <n v="91573"/>
        <n v="108435"/>
        <n v="63968"/>
        <n v="86122"/>
        <n v="113140"/>
        <n v="210984"/>
        <n v="100793"/>
        <n v="100319"/>
        <n v="98081"/>
        <n v="163185"/>
        <n v="123657"/>
        <n v="118593"/>
        <n v="73943"/>
        <n v="139284"/>
        <n v="161928"/>
        <n v="107400"/>
        <n v="99598"/>
        <n v="81876"/>
        <n v="190900"/>
        <n v="92057"/>
        <n v="120976"/>
        <n v="86707"/>
        <n v="129733"/>
        <n v="83187"/>
        <n v="271250"/>
        <n v="115810"/>
        <n v="122316"/>
        <n v="183817"/>
        <n v="78062"/>
        <n v="139206"/>
        <n v="64953"/>
        <n v="90476"/>
        <n v="95485"/>
        <n v="90571"/>
        <n v="165934"/>
        <n v="144447"/>
        <n v="262569"/>
        <n v="177614"/>
        <n v="78609"/>
        <n v="90107"/>
        <n v="218934"/>
        <n v="66490"/>
        <n v="148675"/>
        <n v="198833"/>
        <n v="99645"/>
        <n v="110649"/>
        <n v="90407"/>
        <n v="86531"/>
        <n v="166965"/>
        <n v="220987"/>
        <n v="126321"/>
        <n v="142246"/>
        <n v="105719"/>
        <n v="65312"/>
        <n v="109499"/>
        <n v="195905"/>
        <n v="208862"/>
        <n v="81885"/>
        <n v="83292"/>
        <n v="119968"/>
        <n v="112609"/>
        <n v="88616"/>
        <n v="89011"/>
        <n v="61353"/>
        <n v="123846"/>
        <n v="173306"/>
        <n v="216411"/>
        <n v="254167"/>
        <n v="111527"/>
        <n v="116603"/>
        <n v="141544"/>
        <n v="178865"/>
        <n v="182959"/>
        <n v="96425"/>
        <n v="176119"/>
        <n v="70238"/>
        <n v="192123"/>
        <n v="159552"/>
        <n v="210429"/>
        <n v="144541"/>
        <n v="188550"/>
        <n v="116526"/>
        <n v="114641"/>
        <n v="133989"/>
        <n v="223179"/>
        <n v="111484"/>
        <n v="105193"/>
        <n v="220613"/>
        <n v="214751"/>
        <n v="166907"/>
        <n v="146147"/>
        <n v="75475"/>
        <n v="202663"/>
        <n v="59142"/>
        <n v="79373"/>
        <n v="70398"/>
        <n v="80395"/>
        <n v="177426"/>
        <n v="110823"/>
        <n v="220957"/>
        <n v="106259"/>
        <n v="126480"/>
        <n v="181290"/>
        <n v="235921"/>
        <n v="57356"/>
        <n v="132366"/>
        <n v="99779"/>
        <n v="107395"/>
        <n v="168443"/>
        <n v="284119"/>
        <n v="89306"/>
        <n v="150615"/>
        <n v="104105"/>
        <n v="44753"/>
        <n v="108200"/>
        <n v="173554"/>
        <n v="75264"/>
        <n v="147296"/>
        <n v="90486"/>
        <n v="126897"/>
        <n v="89410"/>
        <n v="100267"/>
        <n v="157989"/>
        <n v="153782"/>
        <n v="140850"/>
        <n v="166149"/>
        <n v="114574"/>
        <n v="214819"/>
        <n v="126300"/>
        <n v="145347"/>
        <n v="292121"/>
        <n v="137578"/>
        <n v="138211"/>
        <n v="86949"/>
        <n v="212485"/>
        <n v="106629"/>
        <n v="154672"/>
        <n v="97415"/>
        <n v="74721"/>
        <n v="117580"/>
        <n v="126200"/>
        <n v="199943"/>
        <n v="173688"/>
        <n v="114847"/>
        <n v="93598"/>
        <n v="115895"/>
        <n v="78604"/>
        <n v="131840"/>
        <n v="135229"/>
        <n v="181022"/>
        <n v="99838"/>
        <n v="143446"/>
        <n v="79711"/>
        <n v="209505"/>
        <n v="127752"/>
        <n v="175759"/>
        <n v="82536"/>
        <n v="97997"/>
        <n v="148933"/>
        <n v="161212"/>
        <n v="133746"/>
        <n v="154689"/>
        <n v="115869"/>
        <n v="66765"/>
        <n v="223811"/>
        <n v="232842"/>
        <n v="46051"/>
        <n v="67599"/>
        <n v="60095"/>
        <n v="74293"/>
        <n v="127508"/>
        <n v="151332"/>
        <n v="78808"/>
        <n v="169481"/>
        <n v="222667"/>
        <n v="126014"/>
        <n v="146117"/>
        <n v="174527"/>
        <n v="101593"/>
        <n v="203703"/>
        <n v="100685"/>
        <n v="64049"/>
        <n v="145409"/>
        <n v="264785"/>
        <n v="158586"/>
        <n v="114635"/>
        <n v="109027"/>
        <n v="78164"/>
        <n v="120831"/>
        <n v="120923"/>
        <n v="152132"/>
        <n v="229625"/>
        <n v="117618"/>
        <n v="169222"/>
        <n v="179843"/>
        <n v="158222"/>
        <n v="64675"/>
        <n v="82815"/>
        <n v="174886"/>
        <n v="194618"/>
        <n v="74103"/>
        <n v="121829"/>
        <n v="255433"/>
        <n v="193112"/>
        <n v="140602"/>
        <n v="82842"/>
        <n v="83584"/>
        <n v="263179"/>
        <n v="95636"/>
        <n v="70124"/>
        <n v="227832"/>
        <n v="197505"/>
        <n v="105291"/>
        <n v="135917"/>
        <n v="166740"/>
        <n v="182833"/>
        <n v="63724"/>
        <n v="173386"/>
        <n v="143282"/>
        <n v="173256"/>
        <n v="69789"/>
        <n v="255591"/>
        <n v="98291"/>
        <n v="276368"/>
        <n v="158145"/>
        <n v="150348"/>
        <n v="120126"/>
        <n v="184741"/>
        <n v="70447"/>
        <n v="97284"/>
        <n v="106133"/>
        <n v="174752"/>
        <n v="119233"/>
        <n v="72655"/>
        <n v="105709"/>
        <n v="180674"/>
        <n v="149123"/>
        <n v="93524"/>
        <n v="86132"/>
        <n v="76505"/>
        <n v="122625"/>
        <n v="93652"/>
        <n v="170512"/>
        <n v="66957"/>
        <n v="71348"/>
        <n v="123353"/>
        <n v="82823"/>
        <n v="244869"/>
        <n v="143367"/>
        <n v="202730"/>
        <n v="164041"/>
        <n v="92112"/>
        <n v="122792"/>
        <n v="63704"/>
        <n v="134281"/>
        <n v="78758"/>
        <n v="116802"/>
        <n v="119337"/>
        <n v="104488"/>
        <n v="131168"/>
        <n v="154602"/>
        <n v="126712"/>
        <n v="81788"/>
        <n v="91568"/>
        <n v="165555"/>
        <n v="112094"/>
        <n v="166948"/>
        <n v="65373"/>
        <n v="58569"/>
        <n v="157572"/>
        <n v="136343"/>
        <n v="151280"/>
        <n v="135072"/>
        <n v="94916"/>
        <n v="161279"/>
        <n v="117086"/>
        <n v="114723"/>
        <n v="93005"/>
        <n v="55063"/>
        <n v="60800"/>
        <n v="127247"/>
        <n v="135545"/>
        <n v="322943"/>
        <n v="168822"/>
        <n v="162991"/>
        <n v="55182"/>
        <n v="101249"/>
        <n v="139243"/>
        <n v="158489"/>
        <n v="80148"/>
        <n v="119007"/>
        <n v="131744"/>
        <n v="321281"/>
        <n v="113727"/>
        <n v="280400"/>
        <n v="102186"/>
        <n v="88171"/>
        <n v="271579"/>
        <n v="167921"/>
        <n v="132186"/>
        <n v="135670"/>
        <n v="144190"/>
        <n v="198074"/>
        <n v="140744"/>
        <n v="141122"/>
        <n v="157660"/>
        <n v="54791"/>
        <n v="144565"/>
        <n v="118399"/>
        <n v="96262"/>
        <n v="120796"/>
        <n v="239730"/>
        <n v="185256"/>
        <n v="253912"/>
        <n v="210488"/>
        <n v="155423"/>
        <n v="100233"/>
        <n v="211477"/>
        <n v="224909"/>
        <n v="238998"/>
        <n v="150971"/>
        <n v="211829"/>
        <n v="145287"/>
        <n v="58483"/>
        <n v="101081"/>
        <n v="89872"/>
        <n v="62383"/>
        <n v="139985"/>
        <n v="102751"/>
        <n v="59718"/>
        <n v="56617"/>
        <n v="78598"/>
        <n v="101482"/>
        <n v="75797"/>
        <n v="243494"/>
        <n v="86634"/>
        <n v="72541"/>
        <n v="156742"/>
        <n v="155431"/>
        <n v="205608"/>
        <n v="157460"/>
        <n v="144619"/>
        <n v="182892"/>
        <n v="171884"/>
        <n v="85557"/>
        <n v="125670"/>
        <n v="159972"/>
        <n v="141698"/>
        <n v="149831"/>
        <n v="186586"/>
        <n v="69151"/>
        <n v="104195"/>
        <n v="157968"/>
        <n v="198433"/>
        <n v="163236"/>
        <n v="148806"/>
        <n v="175181"/>
        <n v="153747"/>
        <n v="170491"/>
        <n v="177297"/>
        <n v="64256"/>
        <n v="171159"/>
        <n v="202406"/>
        <n v="153772"/>
        <n v="133813"/>
        <n v="228212"/>
        <n v="154087"/>
        <n v="99530"/>
        <n v="105296"/>
        <n v="76276"/>
        <n v="68846"/>
        <n v="124898"/>
        <n v="316684"/>
        <n v="104626"/>
        <n v="254832"/>
        <n v="235691"/>
        <n v="107528"/>
        <n v="125443"/>
        <n v="229318"/>
        <n v="69161"/>
        <n v="162546"/>
        <n v="113537"/>
        <n v="162823"/>
        <n v="156024"/>
        <n v="143628"/>
        <n v="250336"/>
        <n v="126833"/>
        <n v="98625"/>
        <n v="181577"/>
        <n v="264639"/>
        <n v="49291"/>
        <n v="128115"/>
        <n v="188148"/>
        <n v="138471"/>
        <n v="133251"/>
        <n v="229364"/>
        <n v="135297"/>
        <n v="215631"/>
        <n v="125647"/>
        <n v="129283"/>
        <n v="144222"/>
        <n v="98071"/>
        <n v="198142"/>
        <n v="143186"/>
        <n v="107440"/>
        <n v="139534"/>
        <n v="140432"/>
        <n v="163230"/>
        <n v="116495"/>
        <n v="129832"/>
        <n v="156323"/>
        <n v="284958"/>
        <n v="189635"/>
        <n v="101750"/>
        <n v="129219"/>
        <n v="223274"/>
        <n v="68587"/>
        <n v="140584"/>
        <n v="219962"/>
        <n v="115007"/>
        <n v="214063"/>
        <n v="185866"/>
        <n v="152869"/>
        <n v="98911"/>
        <n v="220530"/>
        <n v="173326"/>
        <n v="202760"/>
        <n v="163043"/>
        <n v="111351"/>
        <n v="226302"/>
        <n v="66924"/>
        <n v="105800"/>
        <n v="96400"/>
        <n v="108900"/>
        <n v="101913"/>
        <n v="87577"/>
        <n v="211968"/>
        <n v="201850"/>
        <n v="114025"/>
        <n v="121728"/>
        <n v="230250"/>
        <n v="145443"/>
        <n v="344942"/>
        <n v="230193"/>
        <n v="104109"/>
        <n v="123664"/>
        <n v="79430"/>
        <n v="156229"/>
        <n v="121916"/>
        <n v="208355"/>
        <n v="97862"/>
        <n v="130480"/>
        <n v="59947"/>
        <n v="296169"/>
        <n v="110392"/>
        <n v="234854"/>
        <n v="86771"/>
        <n v="152242"/>
        <n v="246659"/>
        <n v="176602"/>
        <n v="91420"/>
        <n v="117598"/>
        <n v="124911"/>
        <n v="171022"/>
        <n v="219044"/>
        <n v="112993"/>
        <n v="90401"/>
        <n v="74498"/>
        <n v="189759"/>
        <n v="93826"/>
        <n v="171523"/>
        <n v="89249"/>
        <n v="48538"/>
        <n v="122096"/>
        <n v="78350"/>
        <n v="109085"/>
        <n v="112504"/>
        <n v="140797"/>
        <n v="131619"/>
        <n v="173103"/>
        <n v="92825"/>
        <n v="290782"/>
        <n v="120139"/>
        <n v="144862"/>
        <n v="201682"/>
        <n v="197277"/>
        <n v="135986"/>
        <n v="56897"/>
        <n v="155461"/>
        <n v="67760"/>
        <n v="180002"/>
        <n v="134875"/>
        <n v="68992"/>
        <n v="154293"/>
        <n v="91470"/>
        <n v="179692"/>
        <n v="182793"/>
        <n v="125899"/>
        <n v="73942"/>
        <n v="264211"/>
        <n v="98638"/>
        <n v="154415"/>
        <n v="74270"/>
        <n v="64708"/>
        <n v="50950"/>
        <n v="251186"/>
        <n v="50074"/>
        <n v="98914"/>
        <n v="151850"/>
        <n v="150316"/>
        <n v="117567"/>
        <n v="101630"/>
        <n v="124782"/>
        <n v="62160"/>
        <n v="128604"/>
        <n v="138156"/>
        <n v="131666"/>
        <n v="181764"/>
        <n v="156370"/>
        <n v="154905"/>
        <n v="64730"/>
        <n v="198501"/>
        <n v="82662"/>
        <n v="148154"/>
        <n v="139764"/>
        <n v="280370"/>
        <n v="85715"/>
        <n v="149792"/>
        <n v="90066"/>
        <n v="209353"/>
        <n v="93583"/>
        <n v="273469"/>
        <n v="92989"/>
        <n v="191081"/>
        <n v="146560"/>
        <n v="151301"/>
        <n v="217008"/>
        <n v="134842"/>
        <n v="173458"/>
        <n v="163741"/>
        <n v="93910"/>
        <n v="129991"/>
        <n v="144722"/>
        <n v="112327"/>
        <n v="68406"/>
        <n v="187804"/>
        <n v="175256"/>
        <n v="149101"/>
        <n v="64223"/>
        <n v="103668"/>
        <n v="98984"/>
        <n v="96703"/>
        <n v="56576"/>
        <n v="160461"/>
        <n v="86429"/>
        <n v="121309"/>
        <n v="128635"/>
        <n v="135705"/>
        <n v="80489"/>
        <n v="101359"/>
        <n v="196965"/>
        <n v="87246"/>
        <n v="57975"/>
        <n v="148174"/>
        <n v="102328"/>
        <n v="76816"/>
        <n v="153074"/>
        <n v="120062"/>
        <n v="98793"/>
        <n v="62931"/>
        <n v="138080"/>
        <n v="113462"/>
        <n v="197390"/>
        <n v="152107"/>
        <n v="97743"/>
        <n v="134335"/>
        <n v="169541"/>
        <n v="138411"/>
        <n v="233575"/>
        <n v="77744"/>
        <n v="66009"/>
        <n v="163219"/>
        <n v="222625"/>
        <n v="286329"/>
        <n v="73250"/>
        <n v="261849"/>
        <n v="199928"/>
        <n v="292571"/>
        <n v="118097"/>
        <n v="162297"/>
        <n v="139606"/>
        <n v="112331"/>
        <n v="124819"/>
        <n v="164021"/>
        <n v="87187"/>
        <n v="176530"/>
        <n v="68510"/>
        <n v="221794"/>
        <n v="50021"/>
        <n v="192891"/>
        <n v="91390"/>
        <n v="171843"/>
        <n v="115083"/>
        <n v="57385"/>
        <n v="206117"/>
        <n v="237253"/>
        <n v="154315"/>
        <n v="198624"/>
        <n v="183621"/>
        <n v="119454"/>
        <n v="220349"/>
        <n v="106040"/>
        <n v="131677"/>
        <n v="190765"/>
        <n v="104645"/>
        <n v="224247"/>
        <n v="107673"/>
        <n v="164002"/>
        <n v="89730"/>
        <n v="196595"/>
        <n v="157668"/>
        <n v="92728"/>
        <n v="99636"/>
        <n v="162213"/>
        <n v="119877"/>
        <n v="182719"/>
        <n v="88094"/>
        <n v="290910"/>
        <n v="120440"/>
        <n v="282635"/>
        <n v="197092"/>
        <n v="59548"/>
        <n v="104355"/>
        <n v="170251"/>
        <n v="139832"/>
        <n v="266975"/>
        <n v="94532"/>
        <n v="143737"/>
        <n v="111594"/>
        <n v="114726"/>
        <n v="47603"/>
        <n v="210895"/>
        <n v="99615"/>
        <n v="132104"/>
        <n v="136774"/>
        <n v="103522"/>
        <n v="198114"/>
        <n v="161772"/>
        <n v="85586"/>
        <n v="106488"/>
        <n v="136448"/>
        <n v="52388"/>
        <n v="111622"/>
        <n v="92293"/>
        <n v="181738"/>
        <n v="146796"/>
        <n v="129546"/>
        <n v="89567"/>
        <n v="205212"/>
        <n v="129144"/>
        <n v="175765"/>
        <n v="69496"/>
        <n v="284203"/>
        <n v="150980"/>
        <n v="122176"/>
        <n v="241079"/>
        <n v="144906"/>
        <n v="109791"/>
        <n v="121425"/>
        <n v="88941"/>
        <n v="320505"/>
        <n v="103974"/>
        <n v="79692"/>
        <n v="224389"/>
        <n v="73928"/>
        <n v="69077"/>
        <n v="72855"/>
        <n v="123718"/>
        <n v="216552"/>
        <n v="89519"/>
        <n v="222698"/>
        <n v="105766"/>
        <n v="129868"/>
        <n v="169924"/>
        <n v="109277"/>
        <n v="85515"/>
        <n v="80134"/>
        <n v="124051"/>
        <n v="103259"/>
        <n v="126702"/>
        <n v="138106"/>
        <n v="159288"/>
        <n v="212363"/>
        <n v="131958"/>
        <n v="201934"/>
        <n v="113918"/>
        <n v="131275"/>
        <n v="96665"/>
        <n v="146827"/>
        <n v="188623"/>
        <n v="145234"/>
        <n v="92688"/>
        <n v="126711"/>
        <n v="116465"/>
        <n v="60918"/>
        <n v="58459"/>
        <n v="291785"/>
        <n v="166404"/>
        <n v="250368"/>
        <n v="161678"/>
        <n v="166372"/>
        <n v="202206"/>
        <n v="121015"/>
        <n v="102582"/>
        <n v="138102"/>
        <n v="122797"/>
        <n v="128328"/>
        <n v="74624"/>
        <n v="239646"/>
        <n v="142527"/>
        <n v="179296"/>
        <n v="186569"/>
        <n v="176225"/>
        <n v="119654"/>
        <n v="71564"/>
        <n v="143911"/>
        <n v="153176"/>
        <n v="260181"/>
        <n v="98827"/>
        <n v="189403"/>
        <n v="99341"/>
        <n v="191401"/>
        <n v="226360"/>
        <n v="153159"/>
        <n v="58321"/>
        <n v="125677"/>
        <n v="298647"/>
        <n v="318169"/>
        <n v="148986"/>
        <n v="164446"/>
        <n v="207869"/>
        <n v="101036"/>
        <n v="274370"/>
        <n v="203573"/>
        <n v="175386"/>
        <n v="183865"/>
        <n v="260780"/>
        <n v="70605"/>
        <n v="167288"/>
        <n v="131175"/>
        <n v="89756"/>
        <n v="150479"/>
        <n v="71076"/>
        <n v="108334"/>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5" refreshedVersion="5" minRefreshableVersion="3" refreshedDate="46098.4518287037" refreshedBy="HP" recordCount="1001">
  <cacheSource type="worksheet">
    <worksheetSource ref="D1:L1048576" sheet="abc_inc_employees_master"/>
  </cacheSource>
  <cacheFields count="9">
    <cacheField name="department" numFmtId="0">
      <sharedItems containsBlank="1" count="9">
        <s v="Sales"/>
        <s v="Customer Success"/>
        <s v="Finance"/>
        <s v="HR"/>
        <s v="Engineering"/>
        <s v="Operations"/>
        <s v="Product"/>
        <s v="Marketing"/>
        <m/>
      </sharedItems>
    </cacheField>
    <cacheField name="job_title" numFmtId="0">
      <sharedItems containsBlank="1" count="34">
        <s v="Sales Associate"/>
        <s v="Support Specialist"/>
        <s v="Finance Manager"/>
        <s v="HR Business Partner"/>
        <s v="DevOps Engineer"/>
        <s v="QA Engineer"/>
        <s v="Operations Manager"/>
        <s v="HR Associate"/>
        <s v="Financial Analyst"/>
        <s v="Software Engineer"/>
        <s v="Customer Success Manager"/>
        <s v="Junior Software Engineer"/>
        <s v="Engineering Manager"/>
        <s v="Product Analyst"/>
        <s v="Growth Marketer"/>
        <s v="Sales Manager"/>
        <s v="Senior Product Manager"/>
        <s v="Supply Chain Analyst"/>
        <s v="SEO Specialist"/>
        <s v="Recruiter"/>
        <s v="Senior Software Engineer"/>
        <s v="Support Associate"/>
        <s v="Associate Product Manager"/>
        <s v="Accounts Executive"/>
        <s v="Account Executive"/>
        <s v="Marketing Associate"/>
        <s v="Marketing Manager"/>
        <s v="HR Manager"/>
        <s v="Senior Account Executive"/>
        <s v="Operations Associate"/>
        <s v="Senior Financial Analyst"/>
        <s v="Product Manager"/>
        <s v="Content Specialist"/>
        <m/>
      </sharedItems>
    </cacheField>
    <cacheField name="employment_type" numFmtId="0">
      <sharedItems containsBlank="1" count="4">
        <s v="Full-time"/>
        <s v="Intern"/>
        <s v="Contract"/>
        <m/>
      </sharedItems>
    </cacheField>
    <cacheField name="location" numFmtId="0">
      <sharedItems containsBlank="1" count="7">
        <s v="Khulna"/>
        <s v="Remote"/>
        <s v="Sylhet"/>
        <s v="Dhaka"/>
        <s v="Chattogram"/>
        <s v="Rajshahi"/>
        <m/>
      </sharedItems>
    </cacheField>
    <cacheField name="hire_date" numFmtId="183">
      <sharedItems containsString="0" containsBlank="1" containsNonDate="0" containsDate="1" minDate="2016-01-07T00:00:00" maxDate="2025-09-01T00:00:00" count="865">
        <d v="2017-02-10T00:00:00"/>
        <d v="2023-09-09T00:00:00"/>
        <d v="2020-02-13T00:00:00"/>
        <d v="2022-02-08T00:00:00"/>
        <d v="2023-03-26T00:00:00"/>
        <d v="2020-01-09T00:00:00"/>
        <d v="2016-09-05T00:00:00"/>
        <d v="2020-06-18T00:00:00"/>
        <d v="2019-02-04T00:00:00"/>
        <d v="2018-02-16T00:00:00"/>
        <d v="2017-05-15T00:00:00"/>
        <d v="2025-07-05T00:00:00"/>
        <d v="2025-03-29T00:00:00"/>
        <d v="2021-02-05T00:00:00"/>
        <d v="2017-01-10T00:00:00"/>
        <d v="2023-06-07T00:00:00"/>
        <d v="2018-05-18T00:00:00"/>
        <d v="2023-03-13T00:00:00"/>
        <d v="2023-03-04T00:00:00"/>
        <d v="2022-09-11T00:00:00"/>
        <d v="2016-03-28T00:00:00"/>
        <d v="2016-07-26T00:00:00"/>
        <d v="2024-10-27T00:00:00"/>
        <d v="2019-09-28T00:00:00"/>
        <d v="2018-09-24T00:00:00"/>
        <d v="2017-05-30T00:00:00"/>
        <d v="2024-10-28T00:00:00"/>
        <d v="2022-05-01T00:00:00"/>
        <d v="2018-04-20T00:00:00"/>
        <d v="2016-10-08T00:00:00"/>
        <d v="2025-04-21T00:00:00"/>
        <d v="2024-07-31T00:00:00"/>
        <d v="2022-03-20T00:00:00"/>
        <d v="2018-04-28T00:00:00"/>
        <d v="2022-07-29T00:00:00"/>
        <d v="2018-06-03T00:00:00"/>
        <d v="2025-02-12T00:00:00"/>
        <d v="2018-08-12T00:00:00"/>
        <d v="2019-09-07T00:00:00"/>
        <d v="2024-09-06T00:00:00"/>
        <d v="2017-08-27T00:00:00"/>
        <d v="2024-11-04T00:00:00"/>
        <d v="2022-09-07T00:00:00"/>
        <d v="2016-01-12T00:00:00"/>
        <d v="2019-02-09T00:00:00"/>
        <d v="2025-08-17T00:00:00"/>
        <d v="2017-08-15T00:00:00"/>
        <d v="2017-06-16T00:00:00"/>
        <d v="2022-01-21T00:00:00"/>
        <d v="2018-10-23T00:00:00"/>
        <d v="2024-12-14T00:00:00"/>
        <d v="2017-12-15T00:00:00"/>
        <d v="2017-03-26T00:00:00"/>
        <d v="2023-05-31T00:00:00"/>
        <d v="2016-04-15T00:00:00"/>
        <d v="2017-06-23T00:00:00"/>
        <d v="2016-03-01T00:00:00"/>
        <d v="2020-01-07T00:00:00"/>
        <d v="2024-11-09T00:00:00"/>
        <d v="2024-11-03T00:00:00"/>
        <d v="2018-09-01T00:00:00"/>
        <d v="2022-08-08T00:00:00"/>
        <d v="2019-08-19T00:00:00"/>
        <d v="2016-03-05T00:00:00"/>
        <d v="2017-12-14T00:00:00"/>
        <d v="2018-12-22T00:00:00"/>
        <d v="2016-08-02T00:00:00"/>
        <d v="2017-06-03T00:00:00"/>
        <d v="2024-04-26T00:00:00"/>
        <d v="2020-09-20T00:00:00"/>
        <d v="2021-11-24T00:00:00"/>
        <d v="2017-04-10T00:00:00"/>
        <d v="2024-05-12T00:00:00"/>
        <d v="2016-09-17T00:00:00"/>
        <d v="2021-05-04T00:00:00"/>
        <d v="2021-01-10T00:00:00"/>
        <d v="2024-09-21T00:00:00"/>
        <d v="2020-01-22T00:00:00"/>
        <d v="2021-10-03T00:00:00"/>
        <d v="2022-08-28T00:00:00"/>
        <d v="2017-03-22T00:00:00"/>
        <d v="2021-01-25T00:00:00"/>
        <d v="2021-08-25T00:00:00"/>
        <d v="2018-06-26T00:00:00"/>
        <d v="2022-11-24T00:00:00"/>
        <d v="2016-06-26T00:00:00"/>
        <d v="2024-02-26T00:00:00"/>
        <d v="2024-10-13T00:00:00"/>
        <d v="2023-05-22T00:00:00"/>
        <d v="2021-11-05T00:00:00"/>
        <d v="2019-05-20T00:00:00"/>
        <d v="2021-02-19T00:00:00"/>
        <d v="2023-03-20T00:00:00"/>
        <d v="2016-05-07T00:00:00"/>
        <d v="2016-09-06T00:00:00"/>
        <d v="2021-05-15T00:00:00"/>
        <d v="2025-07-02T00:00:00"/>
        <d v="2020-07-03T00:00:00"/>
        <d v="2020-10-12T00:00:00"/>
        <d v="2023-09-11T00:00:00"/>
        <d v="2017-03-18T00:00:00"/>
        <d v="2021-07-01T00:00:00"/>
        <d v="2023-12-27T00:00:00"/>
        <d v="2020-12-21T00:00:00"/>
        <d v="2016-10-28T00:00:00"/>
        <d v="2016-11-26T00:00:00"/>
        <d v="2019-08-12T00:00:00"/>
        <d v="2022-10-27T00:00:00"/>
        <d v="2017-08-30T00:00:00"/>
        <d v="2016-09-26T00:00:00"/>
        <d v="2017-05-31T00:00:00"/>
        <d v="2019-01-31T00:00:00"/>
        <d v="2023-01-01T00:00:00"/>
        <d v="2023-02-06T00:00:00"/>
        <d v="2022-07-25T00:00:00"/>
        <d v="2022-02-24T00:00:00"/>
        <d v="2023-12-26T00:00:00"/>
        <d v="2019-08-24T00:00:00"/>
        <d v="2020-04-09T00:00:00"/>
        <d v="2022-09-12T00:00:00"/>
        <d v="2021-12-13T00:00:00"/>
        <d v="2019-04-22T00:00:00"/>
        <d v="2021-02-01T00:00:00"/>
        <d v="2021-09-01T00:00:00"/>
        <d v="2022-10-15T00:00:00"/>
        <d v="2020-10-28T00:00:00"/>
        <d v="2024-11-22T00:00:00"/>
        <d v="2023-11-14T00:00:00"/>
        <d v="2017-04-13T00:00:00"/>
        <d v="2025-07-25T00:00:00"/>
        <d v="2023-05-05T00:00:00"/>
        <d v="2023-04-20T00:00:00"/>
        <d v="2024-08-15T00:00:00"/>
        <d v="2022-03-08T00:00:00"/>
        <d v="2024-01-31T00:00:00"/>
        <d v="2018-05-30T00:00:00"/>
        <d v="2020-10-27T00:00:00"/>
        <d v="2021-01-23T00:00:00"/>
        <d v="2018-07-24T00:00:00"/>
        <d v="2020-08-21T00:00:00"/>
        <d v="2019-10-20T00:00:00"/>
        <d v="2025-04-12T00:00:00"/>
        <d v="2021-01-31T00:00:00"/>
        <d v="2020-06-21T00:00:00"/>
        <d v="2020-08-30T00:00:00"/>
        <d v="2024-03-07T00:00:00"/>
        <d v="2017-01-24T00:00:00"/>
        <d v="2019-07-04T00:00:00"/>
        <d v="2020-10-14T00:00:00"/>
        <d v="2023-06-17T00:00:00"/>
        <d v="2018-11-10T00:00:00"/>
        <d v="2020-03-13T00:00:00"/>
        <d v="2017-09-17T00:00:00"/>
        <d v="2023-09-14T00:00:00"/>
        <d v="2021-04-26T00:00:00"/>
        <d v="2016-10-01T00:00:00"/>
        <d v="2017-01-08T00:00:00"/>
        <d v="2025-04-29T00:00:00"/>
        <d v="2016-12-15T00:00:00"/>
        <d v="2017-01-16T00:00:00"/>
        <d v="2020-11-03T00:00:00"/>
        <d v="2017-01-30T00:00:00"/>
        <d v="2024-05-07T00:00:00"/>
        <d v="2024-04-14T00:00:00"/>
        <d v="2020-03-06T00:00:00"/>
        <d v="2025-02-07T00:00:00"/>
        <d v="2022-03-28T00:00:00"/>
        <d v="2016-09-02T00:00:00"/>
        <d v="2022-07-30T00:00:00"/>
        <d v="2022-04-19T00:00:00"/>
        <d v="2019-09-12T00:00:00"/>
        <d v="2023-07-07T00:00:00"/>
        <d v="2020-08-09T00:00:00"/>
        <d v="2019-12-19T00:00:00"/>
        <d v="2023-06-18T00:00:00"/>
        <d v="2024-05-31T00:00:00"/>
        <d v="2020-09-28T00:00:00"/>
        <d v="2024-02-01T00:00:00"/>
        <d v="2016-07-29T00:00:00"/>
        <d v="2019-03-24T00:00:00"/>
        <d v="2022-09-25T00:00:00"/>
        <d v="2019-07-03T00:00:00"/>
        <d v="2019-12-11T00:00:00"/>
        <d v="2017-02-28T00:00:00"/>
        <d v="2022-06-25T00:00:00"/>
        <d v="2021-09-09T00:00:00"/>
        <d v="2018-05-21T00:00:00"/>
        <d v="2017-09-25T00:00:00"/>
        <d v="2023-05-13T00:00:00"/>
        <d v="2021-05-29T00:00:00"/>
        <d v="2018-07-07T00:00:00"/>
        <d v="2017-03-19T00:00:00"/>
        <d v="2019-12-05T00:00:00"/>
        <d v="2025-06-24T00:00:00"/>
        <d v="2020-02-14T00:00:00"/>
        <d v="2017-04-15T00:00:00"/>
        <d v="2024-07-20T00:00:00"/>
        <d v="2019-02-15T00:00:00"/>
        <d v="2022-06-09T00:00:00"/>
        <d v="2018-07-15T00:00:00"/>
        <d v="2025-01-19T00:00:00"/>
        <d v="2020-10-23T00:00:00"/>
        <d v="2025-06-23T00:00:00"/>
        <d v="2022-04-16T00:00:00"/>
        <d v="2024-08-09T00:00:00"/>
        <d v="2025-03-06T00:00:00"/>
        <d v="2022-12-21T00:00:00"/>
        <d v="2022-11-18T00:00:00"/>
        <d v="2023-07-27T00:00:00"/>
        <d v="2023-03-17T00:00:00"/>
        <d v="2022-03-30T00:00:00"/>
        <d v="2016-04-17T00:00:00"/>
        <d v="2022-10-30T00:00:00"/>
        <d v="2023-05-18T00:00:00"/>
        <d v="2025-04-20T00:00:00"/>
        <d v="2023-10-11T00:00:00"/>
        <d v="2018-12-31T00:00:00"/>
        <d v="2016-04-28T00:00:00"/>
        <d v="2018-01-08T00:00:00"/>
        <d v="2019-01-24T00:00:00"/>
        <d v="2023-11-18T00:00:00"/>
        <d v="2024-07-19T00:00:00"/>
        <d v="2019-06-19T00:00:00"/>
        <d v="2019-10-23T00:00:00"/>
        <d v="2019-12-08T00:00:00"/>
        <d v="2016-01-26T00:00:00"/>
        <d v="2018-01-13T00:00:00"/>
        <d v="2017-08-09T00:00:00"/>
        <d v="2022-05-08T00:00:00"/>
        <d v="2023-05-16T00:00:00"/>
        <d v="2020-06-29T00:00:00"/>
        <d v="2016-10-12T00:00:00"/>
        <d v="2017-08-04T00:00:00"/>
        <d v="2024-04-23T00:00:00"/>
        <d v="2016-05-05T00:00:00"/>
        <d v="2024-05-14T00:00:00"/>
        <d v="2021-12-12T00:00:00"/>
        <d v="2018-05-31T00:00:00"/>
        <d v="2020-03-20T00:00:00"/>
        <d v="2020-09-15T00:00:00"/>
        <d v="2019-10-28T00:00:00"/>
        <d v="2017-10-06T00:00:00"/>
        <d v="2020-02-24T00:00:00"/>
        <d v="2019-06-30T00:00:00"/>
        <d v="2024-02-03T00:00:00"/>
        <d v="2019-08-21T00:00:00"/>
        <d v="2024-09-16T00:00:00"/>
        <d v="2022-05-13T00:00:00"/>
        <d v="2022-09-08T00:00:00"/>
        <d v="2016-12-13T00:00:00"/>
        <d v="2016-08-03T00:00:00"/>
        <d v="2017-09-29T00:00:00"/>
        <d v="2024-06-17T00:00:00"/>
        <d v="2022-12-05T00:00:00"/>
        <d v="2016-07-22T00:00:00"/>
        <d v="2023-07-23T00:00:00"/>
        <d v="2016-11-30T00:00:00"/>
        <d v="2019-01-19T00:00:00"/>
        <d v="2020-12-19T00:00:00"/>
        <d v="2023-06-04T00:00:00"/>
        <d v="2020-10-02T00:00:00"/>
        <d v="2021-06-12T00:00:00"/>
        <d v="2022-10-22T00:00:00"/>
        <d v="2020-12-15T00:00:00"/>
        <d v="2020-08-23T00:00:00"/>
        <d v="2019-01-23T00:00:00"/>
        <d v="2018-06-01T00:00:00"/>
        <d v="2024-06-19T00:00:00"/>
        <d v="2021-09-29T00:00:00"/>
        <d v="2017-04-11T00:00:00"/>
        <d v="2019-11-14T00:00:00"/>
        <d v="2020-10-26T00:00:00"/>
        <d v="2017-03-30T00:00:00"/>
        <d v="2019-03-06T00:00:00"/>
        <d v="2023-08-09T00:00:00"/>
        <d v="2023-08-11T00:00:00"/>
        <d v="2022-08-26T00:00:00"/>
        <d v="2021-06-16T00:00:00"/>
        <d v="2021-11-28T00:00:00"/>
        <d v="2023-06-25T00:00:00"/>
        <d v="2019-06-17T00:00:00"/>
        <d v="2016-07-05T00:00:00"/>
        <d v="2018-06-22T00:00:00"/>
        <d v="2020-06-06T00:00:00"/>
        <d v="2022-09-20T00:00:00"/>
        <d v="2016-08-12T00:00:00"/>
        <d v="2016-02-01T00:00:00"/>
        <d v="2018-04-17T00:00:00"/>
        <d v="2019-05-19T00:00:00"/>
        <d v="2018-05-15T00:00:00"/>
        <d v="2017-07-16T00:00:00"/>
        <d v="2024-07-27T00:00:00"/>
        <d v="2018-11-12T00:00:00"/>
        <d v="2019-03-31T00:00:00"/>
        <d v="2019-09-05T00:00:00"/>
        <d v="2017-05-06T00:00:00"/>
        <d v="2021-07-30T00:00:00"/>
        <d v="2024-05-17T00:00:00"/>
        <d v="2020-10-29T00:00:00"/>
        <d v="2017-12-20T00:00:00"/>
        <d v="2017-06-13T00:00:00"/>
        <d v="2020-04-06T00:00:00"/>
        <d v="2021-12-21T00:00:00"/>
        <d v="2023-11-22T00:00:00"/>
        <d v="2018-07-31T00:00:00"/>
        <d v="2021-08-11T00:00:00"/>
        <d v="2022-04-07T00:00:00"/>
        <d v="2025-05-06T00:00:00"/>
        <d v="2023-06-29T00:00:00"/>
        <d v="2025-01-15T00:00:00"/>
        <d v="2019-12-21T00:00:00"/>
        <d v="2016-10-22T00:00:00"/>
        <d v="2020-06-14T00:00:00"/>
        <d v="2025-08-30T00:00:00"/>
        <d v="2024-04-27T00:00:00"/>
        <d v="2016-06-22T00:00:00"/>
        <d v="2020-11-21T00:00:00"/>
        <d v="2016-03-17T00:00:00"/>
        <d v="2021-02-26T00:00:00"/>
        <d v="2016-11-14T00:00:00"/>
        <d v="2025-09-01T00:00:00"/>
        <d v="2019-07-06T00:00:00"/>
        <d v="2022-06-16T00:00:00"/>
        <d v="2020-10-24T00:00:00"/>
        <d v="2022-06-06T00:00:00"/>
        <d v="2020-07-14T00:00:00"/>
        <d v="2023-12-16T00:00:00"/>
        <d v="2023-03-07T00:00:00"/>
        <d v="2020-09-06T00:00:00"/>
        <d v="2017-04-16T00:00:00"/>
        <d v="2020-07-17T00:00:00"/>
        <d v="2016-03-26T00:00:00"/>
        <d v="2019-08-23T00:00:00"/>
        <d v="2017-12-04T00:00:00"/>
        <d v="2024-12-26T00:00:00"/>
        <d v="2022-12-06T00:00:00"/>
        <d v="2021-02-27T00:00:00"/>
        <d v="2025-04-30T00:00:00"/>
        <d v="2023-09-25T00:00:00"/>
        <d v="2016-12-26T00:00:00"/>
        <d v="2020-11-23T00:00:00"/>
        <d v="2025-06-21T00:00:00"/>
        <d v="2017-03-09T00:00:00"/>
        <d v="2018-09-23T00:00:00"/>
        <d v="2020-11-19T00:00:00"/>
        <d v="2022-08-09T00:00:00"/>
        <d v="2020-06-28T00:00:00"/>
        <d v="2021-11-16T00:00:00"/>
        <d v="2016-11-18T00:00:00"/>
        <d v="2020-06-09T00:00:00"/>
        <d v="2019-06-24T00:00:00"/>
        <d v="2019-10-22T00:00:00"/>
        <d v="2019-09-26T00:00:00"/>
        <d v="2024-09-26T00:00:00"/>
        <d v="2017-11-19T00:00:00"/>
        <d v="2016-11-08T00:00:00"/>
        <d v="2021-09-21T00:00:00"/>
        <d v="2017-04-12T00:00:00"/>
        <d v="2021-09-19T00:00:00"/>
        <d v="2018-03-05T00:00:00"/>
        <d v="2024-09-14T00:00:00"/>
        <d v="2019-12-02T00:00:00"/>
        <d v="2019-12-09T00:00:00"/>
        <d v="2024-02-27T00:00:00"/>
        <d v="2025-03-08T00:00:00"/>
        <d v="2023-03-28T00:00:00"/>
        <d v="2025-02-20T00:00:00"/>
        <d v="2018-08-25T00:00:00"/>
        <d v="2017-02-25T00:00:00"/>
        <d v="2017-08-22T00:00:00"/>
        <d v="2018-11-14T00:00:00"/>
        <d v="2018-03-19T00:00:00"/>
        <d v="2017-12-11T00:00:00"/>
        <d v="2022-10-03T00:00:00"/>
        <d v="2017-09-18T00:00:00"/>
        <d v="2024-07-10T00:00:00"/>
        <d v="2024-07-06T00:00:00"/>
        <d v="2023-05-08T00:00:00"/>
        <d v="2016-11-04T00:00:00"/>
        <d v="2017-12-26T00:00:00"/>
        <d v="2024-08-31T00:00:00"/>
        <d v="2023-01-16T00:00:00"/>
        <d v="2021-07-16T00:00:00"/>
        <d v="2021-03-15T00:00:00"/>
        <d v="2022-04-28T00:00:00"/>
        <d v="2024-07-09T00:00:00"/>
        <d v="2022-07-01T00:00:00"/>
        <d v="2021-01-12T00:00:00"/>
        <d v="2023-08-21T00:00:00"/>
        <d v="2023-03-18T00:00:00"/>
        <d v="2023-02-15T00:00:00"/>
        <d v="2023-01-02T00:00:00"/>
        <d v="2019-08-16T00:00:00"/>
        <d v="2023-01-13T00:00:00"/>
        <d v="2019-07-18T00:00:00"/>
        <d v="2017-09-10T00:00:00"/>
        <d v="2020-12-06T00:00:00"/>
        <d v="2016-10-06T00:00:00"/>
        <d v="2021-04-04T00:00:00"/>
        <d v="2020-12-16T00:00:00"/>
        <d v="2023-01-30T00:00:00"/>
        <d v="2019-05-25T00:00:00"/>
        <d v="2024-12-05T00:00:00"/>
        <d v="2019-01-30T00:00:00"/>
        <d v="2022-08-19T00:00:00"/>
        <d v="2016-08-18T00:00:00"/>
        <d v="2019-12-12T00:00:00"/>
        <d v="2016-10-30T00:00:00"/>
        <d v="2019-06-25T00:00:00"/>
        <d v="2021-03-06T00:00:00"/>
        <d v="2016-06-03T00:00:00"/>
        <d v="2016-08-21T00:00:00"/>
        <d v="2020-02-19T00:00:00"/>
        <d v="2019-03-21T00:00:00"/>
        <d v="2016-11-10T00:00:00"/>
        <d v="2023-03-25T00:00:00"/>
        <d v="2025-08-04T00:00:00"/>
        <d v="2017-01-04T00:00:00"/>
        <d v="2022-08-30T00:00:00"/>
        <d v="2021-09-07T00:00:00"/>
        <d v="2020-04-23T00:00:00"/>
        <d v="2021-03-10T00:00:00"/>
        <d v="2022-07-05T00:00:00"/>
        <d v="2024-11-17T00:00:00"/>
        <d v="2016-06-17T00:00:00"/>
        <d v="2021-01-16T00:00:00"/>
        <d v="2025-01-30T00:00:00"/>
        <d v="2022-05-30T00:00:00"/>
        <d v="2023-04-23T00:00:00"/>
        <d v="2018-02-10T00:00:00"/>
        <d v="2019-08-09T00:00:00"/>
        <d v="2022-10-14T00:00:00"/>
        <d v="2021-05-02T00:00:00"/>
        <d v="2021-08-15T00:00:00"/>
        <d v="2017-09-09T00:00:00"/>
        <d v="2016-09-10T00:00:00"/>
        <d v="2021-01-19T00:00:00"/>
        <d v="2017-02-27T00:00:00"/>
        <d v="2025-02-03T00:00:00"/>
        <d v="2025-05-22T00:00:00"/>
        <d v="2019-11-07T00:00:00"/>
        <d v="2024-01-04T00:00:00"/>
        <d v="2016-12-11T00:00:00"/>
        <d v="2021-08-28T00:00:00"/>
        <d v="2023-03-31T00:00:00"/>
        <d v="2017-12-07T00:00:00"/>
        <d v="2016-06-09T00:00:00"/>
        <d v="2018-10-11T00:00:00"/>
        <d v="2023-12-08T00:00:00"/>
        <d v="2020-11-28T00:00:00"/>
        <d v="2020-12-04T00:00:00"/>
        <d v="2021-11-11T00:00:00"/>
        <d v="2022-11-02T00:00:00"/>
        <d v="2017-10-12T00:00:00"/>
        <d v="2020-01-30T00:00:00"/>
        <d v="2020-03-07T00:00:00"/>
        <d v="2019-03-04T00:00:00"/>
        <d v="2020-05-05T00:00:00"/>
        <d v="2020-08-01T00:00:00"/>
        <d v="2024-09-07T00:00:00"/>
        <d v="2019-10-17T00:00:00"/>
        <d v="2023-08-12T00:00:00"/>
        <d v="2022-09-14T00:00:00"/>
        <d v="2024-11-06T00:00:00"/>
        <d v="2023-01-28T00:00:00"/>
        <d v="2023-04-05T00:00:00"/>
        <d v="2019-10-02T00:00:00"/>
        <d v="2017-01-22T00:00:00"/>
        <d v="2022-04-04T00:00:00"/>
        <d v="2023-08-10T00:00:00"/>
        <d v="2020-05-02T00:00:00"/>
        <d v="2019-03-09T00:00:00"/>
        <d v="2018-10-29T00:00:00"/>
        <d v="2024-02-12T00:00:00"/>
        <d v="2025-07-20T00:00:00"/>
        <d v="2022-10-04T00:00:00"/>
        <d v="2017-09-07T00:00:00"/>
        <d v="2019-09-27T00:00:00"/>
        <d v="2016-11-29T00:00:00"/>
        <d v="2022-07-14T00:00:00"/>
        <d v="2023-06-11T00:00:00"/>
        <d v="2017-08-02T00:00:00"/>
        <d v="2019-12-03T00:00:00"/>
        <d v="2023-05-11T00:00:00"/>
        <d v="2023-10-31T00:00:00"/>
        <d v="2023-06-05T00:00:00"/>
        <d v="2020-05-24T00:00:00"/>
        <d v="2017-06-12T00:00:00"/>
        <d v="2022-09-03T00:00:00"/>
        <d v="2023-12-13T00:00:00"/>
        <d v="2019-06-22T00:00:00"/>
        <d v="2022-04-08T00:00:00"/>
        <d v="2020-03-22T00:00:00"/>
        <d v="2024-11-16T00:00:00"/>
        <d v="2017-06-07T00:00:00"/>
        <d v="2025-04-18T00:00:00"/>
        <d v="2023-09-08T00:00:00"/>
        <d v="2021-11-26T00:00:00"/>
        <d v="2017-01-17T00:00:00"/>
        <d v="2023-07-09T00:00:00"/>
        <d v="2020-09-30T00:00:00"/>
        <d v="2021-09-13T00:00:00"/>
        <d v="2016-03-15T00:00:00"/>
        <d v="2020-01-25T00:00:00"/>
        <d v="2018-05-27T00:00:00"/>
        <d v="2019-10-31T00:00:00"/>
        <d v="2024-08-04T00:00:00"/>
        <d v="2021-06-14T00:00:00"/>
        <d v="2018-02-25T00:00:00"/>
        <d v="2018-07-16T00:00:00"/>
        <d v="2017-07-17T00:00:00"/>
        <d v="2017-09-26T00:00:00"/>
        <d v="2016-11-12T00:00:00"/>
        <d v="2019-04-26T00:00:00"/>
        <d v="2025-06-20T00:00:00"/>
        <d v="2024-11-02T00:00:00"/>
        <d v="2017-02-18T00:00:00"/>
        <d v="2021-09-10T00:00:00"/>
        <d v="2024-08-23T00:00:00"/>
        <d v="2022-01-19T00:00:00"/>
        <d v="2025-05-13T00:00:00"/>
        <d v="2024-04-13T00:00:00"/>
        <d v="2019-10-11T00:00:00"/>
        <d v="2017-06-20T00:00:00"/>
        <d v="2020-03-23T00:00:00"/>
        <d v="2017-09-23T00:00:00"/>
        <d v="2017-10-26T00:00:00"/>
        <d v="2018-01-10T00:00:00"/>
        <d v="2025-04-28T00:00:00"/>
        <d v="2023-10-08T00:00:00"/>
        <d v="2024-08-24T00:00:00"/>
        <d v="2025-01-26T00:00:00"/>
        <d v="2017-11-09T00:00:00"/>
        <d v="2020-11-27T00:00:00"/>
        <d v="2016-06-27T00:00:00"/>
        <d v="2020-02-01T00:00:00"/>
        <d v="2023-08-02T00:00:00"/>
        <d v="2024-01-26T00:00:00"/>
        <d v="2018-08-30T00:00:00"/>
        <d v="2020-12-24T00:00:00"/>
        <d v="2022-11-05T00:00:00"/>
        <d v="2019-03-13T00:00:00"/>
        <d v="2024-06-08T00:00:00"/>
        <d v="2024-05-24T00:00:00"/>
        <d v="2024-10-15T00:00:00"/>
        <d v="2018-08-16T00:00:00"/>
        <d v="2021-12-27T00:00:00"/>
        <d v="2018-09-06T00:00:00"/>
        <d v="2019-06-21T00:00:00"/>
        <d v="2025-01-25T00:00:00"/>
        <d v="2024-10-17T00:00:00"/>
        <d v="2021-04-05T00:00:00"/>
        <d v="2020-02-15T00:00:00"/>
        <d v="2022-05-25T00:00:00"/>
        <d v="2020-12-09T00:00:00"/>
        <d v="2024-08-17T00:00:00"/>
        <d v="2019-02-28T00:00:00"/>
        <d v="2024-09-22T00:00:00"/>
        <d v="2020-04-13T00:00:00"/>
        <d v="2021-08-21T00:00:00"/>
        <d v="2021-11-30T00:00:00"/>
        <d v="2020-09-10T00:00:00"/>
        <d v="2017-10-25T00:00:00"/>
        <d v="2025-02-27T00:00:00"/>
        <d v="2018-03-28T00:00:00"/>
        <d v="2024-12-25T00:00:00"/>
        <d v="2022-10-12T00:00:00"/>
        <d v="2017-07-20T00:00:00"/>
        <d v="2018-10-21T00:00:00"/>
        <d v="2016-08-01T00:00:00"/>
        <d v="2023-03-11T00:00:00"/>
        <d v="2021-05-22T00:00:00"/>
        <d v="2020-02-29T00:00:00"/>
        <d v="2022-03-21T00:00:00"/>
        <d v="2017-02-24T00:00:00"/>
        <d v="2023-12-23T00:00:00"/>
        <d v="2025-06-26T00:00:00"/>
        <d v="2021-10-14T00:00:00"/>
        <d v="2025-07-18T00:00:00"/>
        <d v="2017-05-25T00:00:00"/>
        <d v="2016-12-09T00:00:00"/>
        <d v="2024-07-22T00:00:00"/>
        <d v="2017-10-18T00:00:00"/>
        <d v="2019-01-22T00:00:00"/>
        <d v="2021-01-14T00:00:00"/>
        <d v="2017-08-26T00:00:00"/>
        <d v="2025-04-26T00:00:00"/>
        <d v="2020-11-26T00:00:00"/>
        <d v="2018-06-28T00:00:00"/>
        <d v="2021-01-21T00:00:00"/>
        <d v="2016-04-19T00:00:00"/>
        <d v="2020-08-26T00:00:00"/>
        <d v="2016-08-06T00:00:00"/>
        <d v="2020-06-11T00:00:00"/>
        <d v="2021-08-18T00:00:00"/>
        <d v="2020-03-11T00:00:00"/>
        <d v="2018-08-23T00:00:00"/>
        <d v="2020-04-30T00:00:00"/>
        <d v="2020-03-15T00:00:00"/>
        <d v="2018-07-08T00:00:00"/>
        <d v="2016-04-25T00:00:00"/>
        <d v="2019-07-29T00:00:00"/>
        <d v="2017-02-09T00:00:00"/>
        <d v="2025-05-30T00:00:00"/>
        <d v="2024-01-06T00:00:00"/>
        <d v="2023-04-16T00:00:00"/>
        <d v="2019-10-05T00:00:00"/>
        <d v="2024-11-15T00:00:00"/>
        <d v="2017-08-21T00:00:00"/>
        <d v="2016-06-05T00:00:00"/>
        <d v="2021-04-19T00:00:00"/>
        <d v="2023-10-22T00:00:00"/>
        <d v="2025-04-27T00:00:00"/>
        <d v="2017-07-22T00:00:00"/>
        <d v="2024-07-05T00:00:00"/>
        <d v="2023-11-29T00:00:00"/>
        <d v="2021-01-11T00:00:00"/>
        <d v="2022-11-25T00:00:00"/>
        <d v="2016-01-22T00:00:00"/>
        <d v="2016-11-20T00:00:00"/>
        <d v="2016-03-18T00:00:00"/>
        <d v="2018-06-02T00:00:00"/>
        <d v="2017-09-04T00:00:00"/>
        <d v="2022-02-25T00:00:00"/>
        <d v="2022-10-29T00:00:00"/>
        <d v="2021-12-01T00:00:00"/>
        <d v="2020-09-29T00:00:00"/>
        <d v="2017-03-31T00:00:00"/>
        <d v="2019-03-26T00:00:00"/>
        <d v="2018-08-31T00:00:00"/>
        <d v="2019-05-18T00:00:00"/>
        <d v="2017-05-14T00:00:00"/>
        <d v="2016-07-14T00:00:00"/>
        <d v="2018-09-03T00:00:00"/>
        <d v="2023-03-02T00:00:00"/>
        <d v="2024-11-25T00:00:00"/>
        <d v="2022-12-26T00:00:00"/>
        <d v="2021-02-15T00:00:00"/>
        <d v="2016-09-14T00:00:00"/>
        <d v="2025-05-20T00:00:00"/>
        <d v="2021-08-09T00:00:00"/>
        <d v="2022-09-10T00:00:00"/>
        <d v="2022-01-04T00:00:00"/>
        <d v="2016-03-08T00:00:00"/>
        <d v="2023-02-01T00:00:00"/>
        <d v="2021-10-11T00:00:00"/>
        <d v="2022-06-13T00:00:00"/>
        <d v="2018-09-17T00:00:00"/>
        <d v="2024-01-22T00:00:00"/>
        <d v="2017-08-11T00:00:00"/>
        <d v="2019-04-08T00:00:00"/>
        <d v="2016-01-07T00:00:00"/>
        <d v="2022-11-23T00:00:00"/>
        <d v="2019-12-16T00:00:00"/>
        <d v="2018-09-12T00:00:00"/>
        <d v="2022-05-26T00:00:00"/>
        <d v="2020-09-02T00:00:00"/>
        <d v="2018-02-06T00:00:00"/>
        <d v="2023-06-14T00:00:00"/>
        <d v="2023-06-30T00:00:00"/>
        <d v="2016-12-16T00:00:00"/>
        <d v="2021-11-14T00:00:00"/>
        <d v="2020-01-17T00:00:00"/>
        <d v="2016-10-04T00:00:00"/>
        <d v="2022-02-06T00:00:00"/>
        <d v="2024-10-26T00:00:00"/>
        <d v="2022-03-19T00:00:00"/>
        <d v="2016-03-24T00:00:00"/>
        <d v="2020-05-18T00:00:00"/>
        <d v="2021-04-09T00:00:00"/>
        <d v="2023-02-16T00:00:00"/>
        <d v="2020-05-03T00:00:00"/>
        <d v="2020-03-09T00:00:00"/>
        <d v="2018-11-04T00:00:00"/>
        <d v="2024-05-19T00:00:00"/>
        <d v="2016-03-07T00:00:00"/>
        <d v="2020-01-02T00:00:00"/>
        <d v="2016-10-03T00:00:00"/>
        <d v="2019-11-13T00:00:00"/>
        <d v="2018-09-14T00:00:00"/>
        <d v="2024-03-21T00:00:00"/>
        <d v="2023-05-15T00:00:00"/>
        <d v="2023-01-17T00:00:00"/>
        <d v="2024-08-26T00:00:00"/>
        <d v="2022-07-11T00:00:00"/>
        <d v="2024-03-30T00:00:00"/>
        <d v="2024-06-26T00:00:00"/>
        <d v="2019-09-23T00:00:00"/>
        <d v="2017-06-30T00:00:00"/>
        <d v="2016-06-30T00:00:00"/>
        <d v="2019-12-14T00:00:00"/>
        <d v="2022-02-14T00:00:00"/>
        <d v="2019-10-18T00:00:00"/>
        <d v="2025-02-14T00:00:00"/>
        <d v="2017-12-18T00:00:00"/>
        <d v="2025-04-24T00:00:00"/>
        <d v="2023-09-05T00:00:00"/>
        <d v="2021-03-18T00:00:00"/>
        <d v="2023-10-19T00:00:00"/>
        <d v="2021-05-14T00:00:00"/>
        <d v="2023-01-31T00:00:00"/>
        <d v="2018-01-16T00:00:00"/>
        <d v="2025-02-05T00:00:00"/>
        <d v="2017-07-06T00:00:00"/>
        <d v="2016-09-15T00:00:00"/>
        <d v="2024-01-11T00:00:00"/>
        <d v="2021-02-17T00:00:00"/>
        <d v="2016-05-31T00:00:00"/>
        <d v="2019-04-16T00:00:00"/>
        <d v="2018-04-05T00:00:00"/>
        <d v="2016-06-28T00:00:00"/>
        <d v="2024-11-14T00:00:00"/>
        <d v="2016-06-20T00:00:00"/>
        <d v="2019-07-16T00:00:00"/>
        <d v="2021-10-12T00:00:00"/>
        <d v="2020-06-19T00:00:00"/>
        <d v="2025-02-21T00:00:00"/>
        <d v="2022-02-02T00:00:00"/>
        <d v="2021-04-23T00:00:00"/>
        <d v="2018-11-03T00:00:00"/>
        <d v="2016-05-29T00:00:00"/>
        <d v="2024-06-12T00:00:00"/>
        <d v="2023-04-03T00:00:00"/>
        <d v="2018-02-21T00:00:00"/>
        <d v="2019-03-17T00:00:00"/>
        <d v="2024-10-03T00:00:00"/>
        <d v="2023-05-09T00:00:00"/>
        <d v="2019-09-21T00:00:00"/>
        <d v="2017-05-24T00:00:00"/>
        <d v="2024-12-18T00:00:00"/>
        <d v="2020-02-16T00:00:00"/>
        <d v="2020-11-24T00:00:00"/>
        <d v="2020-06-26T00:00:00"/>
        <d v="2024-05-02T00:00:00"/>
        <d v="2018-02-04T00:00:00"/>
        <d v="2021-07-25T00:00:00"/>
        <d v="2023-10-05T00:00:00"/>
        <d v="2024-12-09T00:00:00"/>
        <d v="2021-10-27T00:00:00"/>
        <d v="2018-12-28T00:00:00"/>
        <d v="2016-12-04T00:00:00"/>
        <d v="2020-10-04T00:00:00"/>
        <d v="2016-11-19T00:00:00"/>
        <d v="2025-03-22T00:00:00"/>
        <d v="2018-01-09T00:00:00"/>
        <d v="2022-02-12T00:00:00"/>
        <d v="2019-04-18T00:00:00"/>
        <d v="2019-08-08T00:00:00"/>
        <d v="2016-11-23T00:00:00"/>
        <d v="2019-04-25T00:00:00"/>
        <d v="2019-06-09T00:00:00"/>
        <d v="2020-12-31T00:00:00"/>
        <d v="2024-01-18T00:00:00"/>
        <d v="2020-10-11T00:00:00"/>
        <d v="2017-11-13T00:00:00"/>
        <d v="2023-09-26T00:00:00"/>
        <d v="2020-12-23T00:00:00"/>
        <d v="2019-12-10T00:00:00"/>
        <d v="2021-01-05T00:00:00"/>
        <d v="2024-02-25T00:00:00"/>
        <d v="2019-12-15T00:00:00"/>
        <d v="2020-11-16T00:00:00"/>
        <d v="2019-01-29T00:00:00"/>
        <d v="2016-08-22T00:00:00"/>
        <d v="2016-11-03T00:00:00"/>
        <d v="2023-07-12T00:00:00"/>
        <d v="2023-02-24T00:00:00"/>
        <d v="2020-07-21T00:00:00"/>
        <d v="2020-01-28T00:00:00"/>
        <d v="2021-10-02T00:00:00"/>
        <d v="2024-05-29T00:00:00"/>
        <d v="2023-08-14T00:00:00"/>
        <d v="2017-10-17T00:00:00"/>
        <d v="2017-08-07T00:00:00"/>
        <d v="2025-07-08T00:00:00"/>
        <d v="2022-10-24T00:00:00"/>
        <d v="2024-10-05T00:00:00"/>
        <d v="2020-11-29T00:00:00"/>
        <d v="2016-05-22T00:00:00"/>
        <d v="2017-06-01T00:00:00"/>
        <d v="2016-10-02T00:00:00"/>
        <d v="2018-08-24T00:00:00"/>
        <d v="2024-09-23T00:00:00"/>
        <d v="2023-03-27T00:00:00"/>
        <d v="2020-02-09T00:00:00"/>
        <d v="2020-01-23T00:00:00"/>
        <d v="2020-04-17T00:00:00"/>
        <d v="2022-05-12T00:00:00"/>
        <d v="2016-05-12T00:00:00"/>
        <d v="2017-09-20T00:00:00"/>
        <d v="2023-08-13T00:00:00"/>
        <d v="2020-02-28T00:00:00"/>
        <d v="2020-03-03T00:00:00"/>
        <d v="2022-06-08T00:00:00"/>
        <d v="2021-12-08T00:00:00"/>
        <d v="2020-02-12T00:00:00"/>
        <d v="2019-07-11T00:00:00"/>
        <d v="2023-04-14T00:00:00"/>
        <d v="2018-10-19T00:00:00"/>
        <d v="2017-04-09T00:00:00"/>
        <d v="2016-04-16T00:00:00"/>
        <d v="2024-04-01T00:00:00"/>
        <d v="2018-02-01T00:00:00"/>
        <d v="2021-08-06T00:00:00"/>
        <d v="2021-10-21T00:00:00"/>
        <d v="2020-05-04T00:00:00"/>
        <d v="2017-04-27T00:00:00"/>
        <d v="2018-12-08T00:00:00"/>
        <d v="2024-09-09T00:00:00"/>
        <d v="2018-12-02T00:00:00"/>
        <d v="2023-11-23T00:00:00"/>
        <d v="2021-01-01T00:00:00"/>
        <d v="2018-05-28T00:00:00"/>
        <d v="2022-11-11T00:00:00"/>
        <d v="2019-03-15T00:00:00"/>
        <d v="2023-10-13T00:00:00"/>
        <d v="2021-07-04T00:00:00"/>
        <d v="2018-03-30T00:00:00"/>
        <d v="2017-05-17T00:00:00"/>
        <d v="2017-07-09T00:00:00"/>
        <d v="2017-12-08T00:00:00"/>
        <d v="2023-12-31T00:00:00"/>
        <d v="2020-12-28T00:00:00"/>
        <d v="2016-12-25T00:00:00"/>
        <d v="2025-02-01T00:00:00"/>
        <d v="2023-08-25T00:00:00"/>
        <d v="2025-06-25T00:00:00"/>
        <d v="2019-08-02T00:00:00"/>
        <d v="2023-06-28T00:00:00"/>
        <d v="2019-11-24T00:00:00"/>
        <d v="2016-09-22T00:00:00"/>
        <d v="2022-03-02T00:00:00"/>
        <d v="2022-01-29T00:00:00"/>
        <d v="2019-04-04T00:00:00"/>
        <d v="2019-05-13T00:00:00"/>
        <d v="2025-07-19T00:00:00"/>
        <d v="2017-10-07T00:00:00"/>
        <d v="2023-12-25T00:00:00"/>
        <d v="2023-11-08T00:00:00"/>
        <d v="2023-02-25T00:00:00"/>
        <d v="2024-11-24T00:00:00"/>
        <d v="2020-01-20T00:00:00"/>
        <d v="2021-09-14T00:00:00"/>
        <d v="2017-05-12T00:00:00"/>
        <d v="2018-04-03T00:00:00"/>
        <d v="2024-11-18T00:00:00"/>
        <d v="2018-08-27T00:00:00"/>
        <d v="2024-11-11T00:00:00"/>
        <d v="2020-01-18T00:00:00"/>
        <d v="2022-06-02T00:00:00"/>
        <d v="2020-02-20T00:00:00"/>
        <d v="2021-03-29T00:00:00"/>
        <d v="2025-01-04T00:00:00"/>
        <d v="2022-03-09T00:00:00"/>
        <d v="2017-06-15T00:00:00"/>
        <d v="2016-12-19T00:00:00"/>
        <d v="2019-06-20T00:00:00"/>
        <d v="2024-01-15T00:00:00"/>
        <d v="2024-01-23T00:00:00"/>
        <d v="2021-11-23T00:00:00"/>
        <d v="2024-08-16T00:00:00"/>
        <d v="2020-08-04T00:00:00"/>
        <d v="2025-03-26T00:00:00"/>
        <d v="2022-06-12T00:00:00"/>
        <m/>
      </sharedItems>
    </cacheField>
    <cacheField name="monthly_salary_bdt" numFmtId="184">
      <sharedItems containsString="0" containsBlank="1" containsNumber="1" containsInteger="1" minValue="44753" maxValue="344942" count="1000">
        <n v="97605"/>
        <n v="57499"/>
        <n v="136659"/>
        <n v="115085"/>
        <n v="164000"/>
        <n v="113810"/>
        <n v="148804"/>
        <n v="163417"/>
        <n v="59023"/>
        <n v="184800"/>
        <n v="76400"/>
        <n v="91466"/>
        <n v="144623"/>
        <n v="97343"/>
        <n v="221527"/>
        <n v="169776"/>
        <n v="227464"/>
        <n v="73216"/>
        <n v="116055"/>
        <n v="188711"/>
        <n v="63778"/>
        <n v="215065"/>
        <n v="122086"/>
        <n v="141478"/>
        <n v="131411"/>
        <n v="104751"/>
        <n v="218329"/>
        <n v="157690"/>
        <n v="141183"/>
        <n v="99920"/>
        <n v="78647"/>
        <n v="233085"/>
        <n v="153390"/>
        <n v="105962"/>
        <n v="116624"/>
        <n v="77427"/>
        <n v="317015"/>
        <n v="206071"/>
        <n v="132584"/>
        <n v="74566"/>
        <n v="164307"/>
        <n v="143885"/>
        <n v="151772"/>
        <n v="72635"/>
        <n v="228086"/>
        <n v="117000"/>
        <n v="104908"/>
        <n v="134577"/>
        <n v="211918"/>
        <n v="173897"/>
        <n v="121481"/>
        <n v="158063"/>
        <n v="173570"/>
        <n v="147590"/>
        <n v="138544"/>
        <n v="89940"/>
        <n v="209299"/>
        <n v="96715"/>
        <n v="165688"/>
        <n v="95553"/>
        <n v="225796"/>
        <n v="164207"/>
        <n v="157208"/>
        <n v="205545"/>
        <n v="331486"/>
        <n v="134863"/>
        <n v="96418"/>
        <n v="117217"/>
        <n v="119297"/>
        <n v="96180"/>
        <n v="69424"/>
        <n v="125767"/>
        <n v="171120"/>
        <n v="73342"/>
        <n v="126028"/>
        <n v="84403"/>
        <n v="58098"/>
        <n v="173927"/>
        <n v="149187"/>
        <n v="278581"/>
        <n v="75559"/>
        <n v="84502"/>
        <n v="152331"/>
        <n v="195944"/>
        <n v="268922"/>
        <n v="198013"/>
        <n v="266602"/>
        <n v="136974"/>
        <n v="127230"/>
        <n v="147356"/>
        <n v="161402"/>
        <n v="233536"/>
        <n v="257374"/>
        <n v="91158"/>
        <n v="106333"/>
        <n v="75235"/>
        <n v="60785"/>
        <n v="55786"/>
        <n v="134271"/>
        <n v="156178"/>
        <n v="131877"/>
        <n v="138408"/>
        <n v="253791"/>
        <n v="234882"/>
        <n v="171732"/>
        <n v="124374"/>
        <n v="180577"/>
        <n v="214709"/>
        <n v="272489"/>
        <n v="179920"/>
        <n v="274622"/>
        <n v="115486"/>
        <n v="47847"/>
        <n v="150407"/>
        <n v="75402"/>
        <n v="90308"/>
        <n v="93271"/>
        <n v="166489"/>
        <n v="127253"/>
        <n v="156698"/>
        <n v="105032"/>
        <n v="194473"/>
        <n v="223604"/>
        <n v="116353"/>
        <n v="323393"/>
        <n v="204089"/>
        <n v="115492"/>
        <n v="63509"/>
        <n v="150359"/>
        <n v="188137"/>
        <n v="180052"/>
        <n v="331014"/>
        <n v="150872"/>
        <n v="74066"/>
        <n v="71853"/>
        <n v="145378"/>
        <n v="80214"/>
        <n v="153114"/>
        <n v="107540"/>
        <n v="133736"/>
        <n v="193662"/>
        <n v="214124"/>
        <n v="160401"/>
        <n v="292950"/>
        <n v="156121"/>
        <n v="144739"/>
        <n v="66930"/>
        <n v="66367"/>
        <n v="125613"/>
        <n v="235298"/>
        <n v="90082"/>
        <n v="229275"/>
        <n v="122342"/>
        <n v="153272"/>
        <n v="76212"/>
        <n v="204194"/>
        <n v="163259"/>
        <n v="191622"/>
        <n v="254146"/>
        <n v="114415"/>
        <n v="190248"/>
        <n v="60029"/>
        <n v="132352"/>
        <n v="172506"/>
        <n v="112641"/>
        <n v="98319"/>
        <n v="184159"/>
        <n v="176571"/>
        <n v="109974"/>
        <n v="63596"/>
        <n v="164223"/>
        <n v="197542"/>
        <n v="124487"/>
        <n v="170924"/>
        <n v="89719"/>
        <n v="143847"/>
        <n v="129577"/>
        <n v="154566"/>
        <n v="168895"/>
        <n v="193255"/>
        <n v="195037"/>
        <n v="149426"/>
        <n v="99935"/>
        <n v="191513"/>
        <n v="147331"/>
        <n v="186702"/>
        <n v="76155"/>
        <n v="83898"/>
        <n v="80935"/>
        <n v="184157"/>
        <n v="174728"/>
        <n v="161761"/>
        <n v="101902"/>
        <n v="71442"/>
        <n v="56829"/>
        <n v="107371"/>
        <n v="225835"/>
        <n v="163677"/>
        <n v="81456"/>
        <n v="115471"/>
        <n v="147911"/>
        <n v="79321"/>
        <n v="78363"/>
        <n v="110723"/>
        <n v="63622"/>
        <n v="100219"/>
        <n v="90603"/>
        <n v="68932"/>
        <n v="200191"/>
        <n v="276214"/>
        <n v="91942"/>
        <n v="115210"/>
        <n v="60224"/>
        <n v="154511"/>
        <n v="217157"/>
        <n v="115743"/>
        <n v="86601"/>
        <n v="188835"/>
        <n v="72912"/>
        <n v="148023"/>
        <n v="186275"/>
        <n v="132900"/>
        <n v="197759"/>
        <n v="186825"/>
        <n v="238674"/>
        <n v="190351"/>
        <n v="85676"/>
        <n v="126090"/>
        <n v="132740"/>
        <n v="145727"/>
        <n v="201055"/>
        <n v="160791"/>
        <n v="112634"/>
        <n v="104145"/>
        <n v="125871"/>
        <n v="138097"/>
        <n v="137134"/>
        <n v="150761"/>
        <n v="199207"/>
        <n v="81364"/>
        <n v="139274"/>
        <n v="110145"/>
        <n v="96473"/>
        <n v="243473"/>
        <n v="117681"/>
        <n v="91573"/>
        <n v="108435"/>
        <n v="63968"/>
        <n v="86122"/>
        <n v="113140"/>
        <n v="210984"/>
        <n v="100793"/>
        <n v="100319"/>
        <n v="98081"/>
        <n v="163185"/>
        <n v="123657"/>
        <n v="118593"/>
        <n v="73943"/>
        <n v="139284"/>
        <n v="161928"/>
        <n v="107400"/>
        <n v="99598"/>
        <n v="81876"/>
        <n v="190900"/>
        <n v="92057"/>
        <n v="120976"/>
        <n v="86707"/>
        <n v="129733"/>
        <n v="83187"/>
        <n v="271250"/>
        <n v="115810"/>
        <n v="122316"/>
        <n v="183817"/>
        <n v="78062"/>
        <n v="139206"/>
        <n v="64953"/>
        <n v="90476"/>
        <n v="95485"/>
        <n v="90571"/>
        <n v="165934"/>
        <n v="144447"/>
        <n v="262569"/>
        <n v="177614"/>
        <n v="78609"/>
        <n v="90107"/>
        <n v="218934"/>
        <n v="66490"/>
        <n v="148675"/>
        <n v="198833"/>
        <n v="99645"/>
        <n v="110649"/>
        <n v="90407"/>
        <n v="86531"/>
        <n v="166965"/>
        <n v="220987"/>
        <n v="126321"/>
        <n v="142246"/>
        <n v="105719"/>
        <n v="65312"/>
        <n v="109499"/>
        <n v="195905"/>
        <n v="208862"/>
        <n v="81885"/>
        <n v="83292"/>
        <n v="119968"/>
        <n v="112609"/>
        <n v="88616"/>
        <n v="89011"/>
        <n v="61353"/>
        <n v="123846"/>
        <n v="173306"/>
        <n v="216411"/>
        <n v="254167"/>
        <n v="111527"/>
        <n v="116603"/>
        <n v="141544"/>
        <n v="178865"/>
        <n v="182959"/>
        <n v="96425"/>
        <n v="176119"/>
        <n v="70238"/>
        <n v="192123"/>
        <n v="159552"/>
        <n v="210429"/>
        <n v="144541"/>
        <n v="188550"/>
        <n v="116526"/>
        <n v="114641"/>
        <n v="133989"/>
        <n v="223179"/>
        <n v="111484"/>
        <n v="105193"/>
        <n v="220613"/>
        <n v="214751"/>
        <n v="166907"/>
        <n v="146147"/>
        <n v="75475"/>
        <n v="202663"/>
        <n v="59142"/>
        <n v="79373"/>
        <n v="70398"/>
        <n v="80395"/>
        <n v="177426"/>
        <n v="110823"/>
        <n v="220957"/>
        <n v="106259"/>
        <n v="126480"/>
        <n v="181290"/>
        <n v="235921"/>
        <n v="57356"/>
        <n v="132366"/>
        <n v="99779"/>
        <n v="107395"/>
        <n v="168443"/>
        <n v="284119"/>
        <n v="89306"/>
        <n v="150615"/>
        <n v="104105"/>
        <n v="44753"/>
        <n v="108200"/>
        <n v="173554"/>
        <n v="75264"/>
        <n v="147296"/>
        <n v="90486"/>
        <n v="126897"/>
        <n v="89410"/>
        <n v="100267"/>
        <n v="157989"/>
        <n v="153782"/>
        <n v="140850"/>
        <n v="166149"/>
        <n v="114574"/>
        <n v="214819"/>
        <n v="126300"/>
        <n v="145347"/>
        <n v="292121"/>
        <n v="137578"/>
        <n v="138211"/>
        <n v="86949"/>
        <n v="212485"/>
        <n v="106629"/>
        <n v="154672"/>
        <n v="97415"/>
        <n v="74721"/>
        <n v="117580"/>
        <n v="126200"/>
        <n v="199943"/>
        <n v="173688"/>
        <n v="114847"/>
        <n v="93598"/>
        <n v="115895"/>
        <n v="78604"/>
        <n v="131840"/>
        <n v="135229"/>
        <n v="181022"/>
        <n v="99838"/>
        <n v="143446"/>
        <n v="79711"/>
        <n v="209505"/>
        <n v="127752"/>
        <n v="175759"/>
        <n v="82536"/>
        <n v="97997"/>
        <n v="148933"/>
        <n v="161212"/>
        <n v="133746"/>
        <n v="154689"/>
        <n v="115869"/>
        <n v="66765"/>
        <n v="223811"/>
        <n v="232842"/>
        <n v="46051"/>
        <n v="67599"/>
        <n v="60095"/>
        <n v="74293"/>
        <n v="127508"/>
        <n v="151332"/>
        <n v="78808"/>
        <n v="169481"/>
        <n v="222667"/>
        <n v="126014"/>
        <n v="146117"/>
        <n v="174527"/>
        <n v="101593"/>
        <n v="203703"/>
        <n v="100685"/>
        <n v="64049"/>
        <n v="145409"/>
        <n v="264785"/>
        <n v="158586"/>
        <n v="114635"/>
        <n v="109027"/>
        <n v="78164"/>
        <n v="120831"/>
        <n v="120923"/>
        <n v="152132"/>
        <n v="229625"/>
        <n v="117618"/>
        <n v="169222"/>
        <n v="179843"/>
        <n v="158222"/>
        <n v="64675"/>
        <n v="82815"/>
        <n v="174886"/>
        <n v="194618"/>
        <n v="74103"/>
        <n v="121829"/>
        <n v="255433"/>
        <n v="193112"/>
        <n v="140602"/>
        <n v="82842"/>
        <n v="83584"/>
        <n v="263179"/>
        <n v="95636"/>
        <n v="70124"/>
        <n v="227832"/>
        <n v="197505"/>
        <n v="105291"/>
        <n v="135917"/>
        <n v="166740"/>
        <n v="182833"/>
        <n v="63724"/>
        <n v="173386"/>
        <n v="143282"/>
        <n v="173256"/>
        <n v="69789"/>
        <n v="255591"/>
        <n v="98291"/>
        <n v="276368"/>
        <n v="158145"/>
        <n v="150348"/>
        <n v="120126"/>
        <n v="184741"/>
        <n v="70447"/>
        <n v="97284"/>
        <n v="106133"/>
        <n v="174752"/>
        <n v="119233"/>
        <n v="72655"/>
        <n v="105709"/>
        <n v="180674"/>
        <n v="149123"/>
        <n v="93524"/>
        <n v="86132"/>
        <n v="76505"/>
        <n v="122625"/>
        <n v="93652"/>
        <n v="170512"/>
        <n v="66957"/>
        <n v="71348"/>
        <n v="123353"/>
        <n v="82823"/>
        <n v="244869"/>
        <n v="143367"/>
        <n v="202730"/>
        <n v="164041"/>
        <n v="92112"/>
        <n v="122792"/>
        <n v="63704"/>
        <n v="134281"/>
        <n v="78758"/>
        <n v="116802"/>
        <n v="119337"/>
        <n v="104488"/>
        <n v="131168"/>
        <n v="154602"/>
        <n v="126712"/>
        <n v="81788"/>
        <n v="91568"/>
        <n v="165555"/>
        <n v="112094"/>
        <n v="166948"/>
        <n v="65373"/>
        <n v="58569"/>
        <n v="157572"/>
        <n v="136343"/>
        <n v="151280"/>
        <n v="135072"/>
        <n v="94916"/>
        <n v="161279"/>
        <n v="117086"/>
        <n v="114723"/>
        <n v="93005"/>
        <n v="55063"/>
        <n v="60800"/>
        <n v="127247"/>
        <n v="135545"/>
        <n v="322943"/>
        <n v="168822"/>
        <n v="162991"/>
        <n v="55182"/>
        <n v="101249"/>
        <n v="139243"/>
        <n v="158489"/>
        <n v="80148"/>
        <n v="119007"/>
        <n v="131744"/>
        <n v="321281"/>
        <n v="113727"/>
        <n v="280400"/>
        <n v="102186"/>
        <n v="88171"/>
        <n v="271579"/>
        <n v="167921"/>
        <n v="132186"/>
        <n v="135670"/>
        <n v="144190"/>
        <n v="198074"/>
        <n v="140744"/>
        <n v="141122"/>
        <n v="157660"/>
        <n v="54791"/>
        <n v="144565"/>
        <n v="118399"/>
        <n v="96262"/>
        <n v="120796"/>
        <n v="239730"/>
        <n v="185256"/>
        <n v="253912"/>
        <n v="210488"/>
        <n v="155423"/>
        <n v="100233"/>
        <n v="211477"/>
        <n v="224909"/>
        <n v="238998"/>
        <n v="150971"/>
        <n v="211829"/>
        <n v="145287"/>
        <n v="58483"/>
        <n v="101081"/>
        <n v="89872"/>
        <n v="62383"/>
        <n v="139985"/>
        <n v="102751"/>
        <n v="59718"/>
        <n v="56617"/>
        <n v="78598"/>
        <n v="101482"/>
        <n v="75797"/>
        <n v="243494"/>
        <n v="86634"/>
        <n v="72541"/>
        <n v="156742"/>
        <n v="155431"/>
        <n v="205608"/>
        <n v="157460"/>
        <n v="144619"/>
        <n v="182892"/>
        <n v="171884"/>
        <n v="85557"/>
        <n v="125670"/>
        <n v="159972"/>
        <n v="141698"/>
        <n v="149831"/>
        <n v="186586"/>
        <n v="69151"/>
        <n v="104195"/>
        <n v="157968"/>
        <n v="198433"/>
        <n v="163236"/>
        <n v="148806"/>
        <n v="175181"/>
        <n v="153747"/>
        <n v="170491"/>
        <n v="177297"/>
        <n v="64256"/>
        <n v="171159"/>
        <n v="202406"/>
        <n v="153772"/>
        <n v="133813"/>
        <n v="228212"/>
        <n v="154087"/>
        <n v="99530"/>
        <n v="105296"/>
        <n v="76276"/>
        <n v="68846"/>
        <n v="124898"/>
        <n v="316684"/>
        <n v="104626"/>
        <n v="254832"/>
        <n v="235691"/>
        <n v="107528"/>
        <n v="125443"/>
        <n v="229318"/>
        <n v="69161"/>
        <n v="162546"/>
        <n v="113537"/>
        <n v="162823"/>
        <n v="156024"/>
        <n v="143628"/>
        <n v="250336"/>
        <n v="126833"/>
        <n v="98625"/>
        <n v="181577"/>
        <n v="264639"/>
        <n v="49291"/>
        <n v="128115"/>
        <n v="188148"/>
        <n v="138471"/>
        <n v="133251"/>
        <n v="229364"/>
        <n v="135297"/>
        <n v="215631"/>
        <n v="125647"/>
        <n v="129283"/>
        <n v="144222"/>
        <n v="98071"/>
        <n v="198142"/>
        <n v="143186"/>
        <n v="107440"/>
        <n v="139534"/>
        <n v="140432"/>
        <n v="163230"/>
        <n v="116495"/>
        <n v="129832"/>
        <n v="156323"/>
        <n v="284958"/>
        <n v="189635"/>
        <n v="101750"/>
        <n v="129219"/>
        <n v="223274"/>
        <n v="68587"/>
        <n v="140584"/>
        <n v="219962"/>
        <n v="115007"/>
        <n v="214063"/>
        <n v="185866"/>
        <n v="152869"/>
        <n v="98911"/>
        <n v="220530"/>
        <n v="173326"/>
        <n v="202760"/>
        <n v="163043"/>
        <n v="111351"/>
        <n v="226302"/>
        <n v="66924"/>
        <n v="105800"/>
        <n v="96400"/>
        <n v="108900"/>
        <n v="101913"/>
        <n v="87577"/>
        <n v="211968"/>
        <n v="201850"/>
        <n v="114025"/>
        <n v="121728"/>
        <n v="230250"/>
        <n v="145443"/>
        <n v="344942"/>
        <n v="230193"/>
        <n v="104109"/>
        <n v="123664"/>
        <n v="79430"/>
        <n v="156229"/>
        <n v="121916"/>
        <n v="208355"/>
        <n v="97862"/>
        <n v="130480"/>
        <n v="59947"/>
        <n v="296169"/>
        <n v="110392"/>
        <n v="234854"/>
        <n v="86771"/>
        <n v="152242"/>
        <n v="246659"/>
        <n v="176602"/>
        <n v="91420"/>
        <n v="117598"/>
        <n v="124911"/>
        <n v="171022"/>
        <n v="219044"/>
        <n v="112993"/>
        <n v="90401"/>
        <n v="74498"/>
        <n v="189759"/>
        <n v="93826"/>
        <n v="171523"/>
        <n v="89249"/>
        <n v="48538"/>
        <n v="122096"/>
        <n v="78350"/>
        <n v="109085"/>
        <n v="112504"/>
        <n v="140797"/>
        <n v="131619"/>
        <n v="173103"/>
        <n v="92825"/>
        <n v="290782"/>
        <n v="120139"/>
        <n v="144862"/>
        <n v="201682"/>
        <n v="197277"/>
        <n v="135986"/>
        <n v="56897"/>
        <n v="155461"/>
        <n v="67760"/>
        <n v="180002"/>
        <n v="134875"/>
        <n v="68992"/>
        <n v="154293"/>
        <n v="91470"/>
        <n v="179692"/>
        <n v="182793"/>
        <n v="125899"/>
        <n v="73942"/>
        <n v="264211"/>
        <n v="98638"/>
        <n v="154415"/>
        <n v="74270"/>
        <n v="64708"/>
        <n v="50950"/>
        <n v="251186"/>
        <n v="50074"/>
        <n v="98914"/>
        <n v="151850"/>
        <n v="150316"/>
        <n v="117567"/>
        <n v="101630"/>
        <n v="124782"/>
        <n v="62160"/>
        <n v="128604"/>
        <n v="138156"/>
        <n v="131666"/>
        <n v="181764"/>
        <n v="156370"/>
        <n v="154905"/>
        <n v="64730"/>
        <n v="198501"/>
        <n v="82662"/>
        <n v="148154"/>
        <n v="139764"/>
        <n v="280370"/>
        <n v="85715"/>
        <n v="149792"/>
        <n v="90066"/>
        <n v="209353"/>
        <n v="93583"/>
        <n v="273469"/>
        <n v="92989"/>
        <n v="191081"/>
        <n v="146560"/>
        <n v="151301"/>
        <n v="217008"/>
        <n v="134842"/>
        <n v="173458"/>
        <n v="163741"/>
        <n v="93910"/>
        <n v="129991"/>
        <n v="144722"/>
        <n v="112327"/>
        <n v="68406"/>
        <n v="187804"/>
        <n v="175256"/>
        <n v="149101"/>
        <n v="64223"/>
        <n v="103668"/>
        <n v="98984"/>
        <n v="96703"/>
        <n v="56576"/>
        <n v="160461"/>
        <n v="86429"/>
        <n v="121309"/>
        <n v="128635"/>
        <n v="135705"/>
        <n v="80489"/>
        <n v="101359"/>
        <n v="196965"/>
        <n v="87246"/>
        <n v="57975"/>
        <n v="148174"/>
        <n v="102328"/>
        <n v="76816"/>
        <n v="153074"/>
        <n v="120062"/>
        <n v="98793"/>
        <n v="62931"/>
        <n v="138080"/>
        <n v="113462"/>
        <n v="197390"/>
        <n v="152107"/>
        <n v="97743"/>
        <n v="134335"/>
        <n v="169541"/>
        <n v="138411"/>
        <n v="233575"/>
        <n v="77744"/>
        <n v="66009"/>
        <n v="163219"/>
        <n v="222625"/>
        <n v="286329"/>
        <n v="73250"/>
        <n v="261849"/>
        <n v="199928"/>
        <n v="292571"/>
        <n v="118097"/>
        <n v="162297"/>
        <n v="139606"/>
        <n v="112331"/>
        <n v="124819"/>
        <n v="164021"/>
        <n v="87187"/>
        <n v="176530"/>
        <n v="68510"/>
        <n v="221794"/>
        <n v="50021"/>
        <n v="192891"/>
        <n v="91390"/>
        <n v="171843"/>
        <n v="115083"/>
        <n v="57385"/>
        <n v="206117"/>
        <n v="237253"/>
        <n v="154315"/>
        <n v="198624"/>
        <n v="183621"/>
        <n v="119454"/>
        <n v="220349"/>
        <n v="106040"/>
        <n v="131677"/>
        <n v="190765"/>
        <n v="104645"/>
        <n v="224247"/>
        <n v="107673"/>
        <n v="164002"/>
        <n v="89730"/>
        <n v="196595"/>
        <n v="157668"/>
        <n v="92728"/>
        <n v="99636"/>
        <n v="162213"/>
        <n v="119877"/>
        <n v="182719"/>
        <n v="88094"/>
        <n v="290910"/>
        <n v="120440"/>
        <n v="282635"/>
        <n v="197092"/>
        <n v="59548"/>
        <n v="104355"/>
        <n v="170251"/>
        <n v="139832"/>
        <n v="266975"/>
        <n v="94532"/>
        <n v="143737"/>
        <n v="111594"/>
        <n v="114726"/>
        <n v="47603"/>
        <n v="210895"/>
        <n v="99615"/>
        <n v="132104"/>
        <n v="136774"/>
        <n v="103522"/>
        <n v="198114"/>
        <n v="161772"/>
        <n v="85586"/>
        <n v="106488"/>
        <n v="136448"/>
        <n v="52388"/>
        <n v="111622"/>
        <n v="92293"/>
        <n v="181738"/>
        <n v="146796"/>
        <n v="129546"/>
        <n v="89567"/>
        <n v="205212"/>
        <n v="129144"/>
        <n v="175765"/>
        <n v="69496"/>
        <n v="284203"/>
        <n v="150980"/>
        <n v="122176"/>
        <n v="241079"/>
        <n v="144906"/>
        <n v="109791"/>
        <n v="121425"/>
        <n v="88941"/>
        <n v="320505"/>
        <n v="103974"/>
        <n v="79692"/>
        <n v="224389"/>
        <n v="73928"/>
        <n v="69077"/>
        <n v="72855"/>
        <n v="123718"/>
        <n v="216552"/>
        <n v="89519"/>
        <n v="222698"/>
        <n v="105766"/>
        <n v="129868"/>
        <n v="169924"/>
        <n v="109277"/>
        <n v="85515"/>
        <n v="80134"/>
        <n v="124051"/>
        <n v="103259"/>
        <n v="126702"/>
        <n v="138106"/>
        <n v="159288"/>
        <n v="212363"/>
        <n v="131958"/>
        <n v="201934"/>
        <n v="113918"/>
        <n v="131275"/>
        <n v="96665"/>
        <n v="146827"/>
        <n v="188623"/>
        <n v="145234"/>
        <n v="92688"/>
        <n v="126711"/>
        <n v="116465"/>
        <n v="60918"/>
        <n v="58459"/>
        <n v="291785"/>
        <n v="166404"/>
        <n v="250368"/>
        <n v="161678"/>
        <n v="166372"/>
        <n v="202206"/>
        <n v="121015"/>
        <n v="102582"/>
        <n v="138102"/>
        <n v="122797"/>
        <n v="128328"/>
        <n v="74624"/>
        <n v="239646"/>
        <n v="142527"/>
        <n v="179296"/>
        <n v="186569"/>
        <n v="176225"/>
        <n v="119654"/>
        <n v="71564"/>
        <n v="143911"/>
        <n v="153176"/>
        <n v="260181"/>
        <n v="98827"/>
        <n v="189403"/>
        <n v="99341"/>
        <n v="191401"/>
        <n v="226360"/>
        <n v="153159"/>
        <n v="58321"/>
        <n v="125677"/>
        <n v="298647"/>
        <n v="318169"/>
        <n v="148986"/>
        <n v="164446"/>
        <n v="207869"/>
        <n v="101036"/>
        <n v="274370"/>
        <n v="203573"/>
        <n v="175386"/>
        <n v="183865"/>
        <n v="260780"/>
        <n v="70605"/>
        <n v="167288"/>
        <n v="131175"/>
        <n v="89756"/>
        <n v="150479"/>
        <n v="71076"/>
        <n v="108334"/>
        <m/>
      </sharedItems>
    </cacheField>
    <cacheField name="manager_id" numFmtId="0">
      <sharedItems containsBlank="1" count="237">
        <m/>
        <s v="E0890"/>
        <s v="E0990"/>
        <s v="E0982"/>
        <s v="E0741"/>
        <s v="E0775"/>
        <s v="E0102"/>
        <s v="E0646"/>
        <s v="E0314"/>
        <s v="E0380"/>
        <s v="E0648"/>
        <s v="E0816"/>
        <s v="E0396"/>
        <s v="E0270"/>
        <s v="E0123"/>
        <s v="E0783"/>
        <s v="E0893"/>
        <s v="E0917"/>
        <s v="E0777"/>
        <s v="E0665"/>
        <s v="E0190"/>
        <s v="E0989"/>
        <s v="E0756"/>
        <s v="E0161"/>
        <s v="E0755"/>
        <s v="E0356"/>
        <s v="E0630"/>
        <s v="E0699"/>
        <s v="E0709"/>
        <s v="E0938"/>
        <s v="E0865"/>
        <s v="E0701"/>
        <s v="E0849"/>
        <s v="E0251"/>
        <s v="E0141"/>
        <s v="E0736"/>
        <s v="E0186"/>
        <s v="E0025"/>
        <s v="E0456"/>
        <s v="E0927"/>
        <s v="E0592"/>
        <s v="E0383"/>
        <s v="E0742"/>
        <s v="E0425"/>
        <s v="E0728"/>
        <s v="E0580"/>
        <s v="E0184"/>
        <s v="E0839"/>
        <s v="E0453"/>
        <s v="E0980"/>
        <s v="E0797"/>
        <s v="E0782"/>
        <s v="E0831"/>
        <s v="E0179"/>
        <s v="E0065"/>
        <s v="E0159"/>
        <s v="E0109"/>
        <s v="E0428"/>
        <s v="E0239"/>
        <s v="E0008"/>
        <s v="E0045"/>
        <s v="E0657"/>
        <s v="E0278"/>
        <s v="E0617"/>
        <s v="E0063"/>
        <s v="E0310"/>
        <s v="E0172"/>
        <s v="E0420"/>
        <s v="E0404"/>
        <s v="E0196"/>
        <s v="E0330"/>
        <s v="E0197"/>
        <s v="E0684"/>
        <s v="E0672"/>
        <s v="E0663"/>
        <s v="E0855"/>
        <s v="E0774"/>
        <s v="E0828"/>
        <s v="E0861"/>
        <s v="E0500"/>
        <s v="E0080"/>
        <s v="E0156"/>
        <s v="E0881"/>
        <s v="E0780"/>
        <s v="E0150"/>
        <s v="E0037"/>
        <s v="E0585"/>
        <s v="E0979"/>
        <s v="E0407"/>
        <s v="E0016"/>
        <s v="E0061"/>
        <s v="E0357"/>
        <s v="E0103"/>
        <s v="E0081"/>
        <s v="E0024"/>
        <s v="E0554"/>
        <s v="E0132"/>
        <s v="E0956"/>
        <s v="E0682"/>
        <s v="E0012"/>
        <s v="E0560"/>
        <s v="E0416"/>
        <s v="E0907"/>
        <s v="E0152"/>
        <s v="E0656"/>
        <s v="E0181"/>
        <s v="E0909"/>
        <s v="E0574"/>
        <s v="E0229"/>
        <s v="E0686"/>
        <s v="E0249"/>
        <s v="E0972"/>
        <s v="E0595"/>
        <s v="E0866"/>
        <s v="E0198"/>
        <s v="E0719"/>
        <s v="E0963"/>
        <s v="E0624"/>
        <s v="E0639"/>
        <s v="E0565"/>
        <s v="E0389"/>
        <s v="E0912"/>
        <s v="E0469"/>
        <s v="E0085"/>
        <s v="E0520"/>
        <s v="E0533"/>
        <s v="E0602"/>
        <s v="E0488"/>
        <s v="E0511"/>
        <s v="E0241"/>
        <s v="E0538"/>
        <s v="E0365"/>
        <s v="E0049"/>
        <s v="E0543"/>
        <s v="E0243"/>
        <s v="E0882"/>
        <s v="E0936"/>
        <s v="E0852"/>
        <s v="E0448"/>
        <s v="E0244"/>
        <s v="E0167"/>
        <s v="E0762"/>
        <s v="E0019"/>
        <s v="E0121"/>
        <s v="E0054"/>
        <s v="E0688"/>
        <s v="E0642"/>
        <s v="E0166"/>
        <s v="E0528"/>
        <s v="E0122"/>
        <s v="E0976"/>
        <s v="E0965"/>
        <s v="E0716"/>
        <s v="E0210"/>
        <s v="E0376"/>
        <s v="E0801"/>
        <s v="E0618"/>
        <s v="E0144"/>
        <s v="E0368"/>
        <s v="E0845"/>
        <s v="E0334"/>
        <s v="E0749"/>
        <s v="E0668"/>
        <s v="E0075"/>
        <s v="E0772"/>
        <s v="E0991"/>
        <s v="E0871"/>
        <s v="E0465"/>
        <s v="E0335"/>
        <s v="E0231"/>
        <s v="E0870"/>
        <s v="E0371"/>
        <s v="E0467"/>
        <s v="E0968"/>
        <s v="E0237"/>
        <s v="E0745"/>
        <s v="E0226"/>
        <s v="E0874"/>
        <s v="E0479"/>
        <s v="E0513"/>
        <s v="E0812"/>
        <s v="E0954"/>
        <s v="E0545"/>
        <s v="E0387"/>
        <s v="E0361"/>
        <s v="E0472"/>
        <s v="E0518"/>
        <s v="E0221"/>
        <s v="E0913"/>
        <s v="E0089"/>
        <s v="E0349"/>
        <s v="E0649"/>
        <s v="E0323"/>
        <s v="E0670"/>
        <s v="E0449"/>
        <s v="E0997"/>
        <s v="E0635"/>
        <s v="E0023"/>
        <s v="E0158"/>
        <s v="E0242"/>
        <s v="E0640"/>
        <s v="E0559"/>
        <s v="E0273"/>
        <s v="E0214"/>
        <s v="E0445"/>
        <s v="E0224"/>
        <s v="E0104"/>
        <s v="E0142"/>
        <s v="E0897"/>
        <s v="E0111"/>
        <s v="E0053"/>
        <s v="E0055"/>
        <s v="E0351"/>
        <s v="E0470"/>
        <s v="E0062"/>
        <s v="E0955"/>
        <s v="E0051"/>
        <s v="E0013"/>
        <s v="E0551"/>
        <s v="E0664"/>
        <s v="E0687"/>
        <s v="E0441"/>
        <s v="E0003"/>
        <s v="E0272"/>
        <s v="E0786"/>
        <s v="E0522"/>
        <s v="E0225"/>
        <s v="E0426"/>
        <s v="E0325"/>
        <s v="E0199"/>
        <s v="E0125"/>
        <s v="E0302"/>
        <s v="E0757"/>
        <s v="E0880"/>
        <s v="E0262"/>
        <s v="E0481"/>
        <s v="E0306"/>
      </sharedItems>
    </cacheField>
    <cacheField name="Temporary column" numFmtId="0">
      <sharedItems containsBlank="1" count="1001">
        <s v="E0001Lamia TalukderFemaleSalesSales AssociateFull-timeKhulna4277697605Sylhet"/>
        <s v="E0002Ayesha HasanMaleCustomer SuccessSupport SpecialistInternKhulna4517857499E0890Sylhet"/>
        <s v="E0003Sajid RasheedMaleFinanceFinance ManagerFull-timeRemote43874136659E0990Sylhet"/>
        <s v="E0004Shawon RanaMaleHRHR Business PartnerFull-timeSylhet44600115085E0982Sylhet"/>
        <s v="E0005Zahid MorshedFemaleEngineeringDevOps EngineerFull-timeDhaka45011164000E0741Sylhet"/>
        <s v="E0006Rashed UddinFemaleEngineeringQA EngineerFull-timeDhaka43839113810E0775Sylhet"/>
        <s v="E0007Karim IslamFemaleEngineeringQA EngineerContractSylhet42618148804E0102Sylhet"/>
        <s v="E0008Imran FerdousMaleOperationsOperations ManagerFull-timeKhulna44000163417E0646Sylhet"/>
        <s v="E0009Ayesha BiswasMaleHRHR AssociateFull-timeDhaka4350059023E0314Sylhet"/>
        <s v="E0010Mitu HaiderMaleFinanceFinancial AnalystFull-timeChattogram43147184800E0380Sylhet"/>
        <s v="E0011Lamia FerdousMaleEngineeringSoftware EngineerInternRemote4287076400E0648Sylhet"/>
        <s v="E0012Sumaiya ParvinMaleCustomer SuccessCustomer Success ManagerFull-timeDhaka4584391466E0816Sylhet"/>
        <s v="E0013Priya MahmudMaleOperationsOperations ManagerContractKhulna45745144623E0396Sylhet"/>
        <s v="E0014Sumaiya SultanaMaleEngineeringJunior Software EngineerFull-timeKhulna4423297343E0270Sylhet"/>
        <s v="E0015Tania AnjumFemaleEngineeringQA EngineerFull-timeDhaka42745221527E0123Sylhet"/>
        <s v="E0016Rashed SadiqMaleEngineeringEngineering ManagerFull-timeRemote45084169776E0648Sylhet"/>
        <s v="E0017Tasnim SharminMaleProductProduct AnalystFull-timeDhaka43238227464E0783Sylhet"/>
        <s v="E0018Noman BiswasFemaleMarketingGrowth MarketerFull-timeRajshahi4499873216E0893Sylhet"/>
        <s v="E0019Nabila RahmanFemaleSalesSales ManagerFull-timeDhaka44989116055E0917Sylhet"/>
        <s v="E0020Imran KabirMaleProductProduct AnalystFull-timeRajshahi44815188711E0777Sylhet"/>
        <s v="E0021Karim BanuFemaleHRHR Business PartnerContractSylhet4245763778E0665Sylhet"/>
        <s v="E0022Tamanna SarkerFemaleEngineeringSoftware EngineerContractKhulna42577215065E0190Sylhet"/>
        <s v="E0023Arif AkterMaleProductSenior Product ManagerContractRajshahi45592122086E0270Sylhet"/>
        <s v="E0024Esha MiahMaleSalesSales ManagerFull-timeDhaka43736141478E0989Sylhet"/>
        <s v="E0025Fahim AminFemaleSalesSales ManagerFull-timeSylhet43367131411E0756Sylhet"/>
        <s v="E0026Tasnim ChowdhuryMaleOperationsSupply Chain AnalystFull-timeKhulna42885104751E0161Sylhet"/>
        <s v="E0027Tania UddinMaleEngineeringDevOps EngineerFull-timeRemote45593218329E0741Sylhet"/>
        <s v="E0028Rashed RahmanMaleMarketingSEO SpecialistFull-timeDhaka44682157690E0755Sylhet"/>
        <s v="E0029Sadia HasanFemaleHRRecruiterFull-timeDhaka43210141183E0356Sylhet"/>
        <s v="E0030Zahid HossainFemaleEngineeringDevOps EngineerFull-timeKhulna4265199920E0630Sylhet"/>
        <s v="E0031Rafi AminFemaleHRHR AssociateFull-timeRajshahi4576878647E0699Sylhet"/>
        <s v="E0032Ayesha RanaFemaleEngineeringSenior Software EngineerContractSylhet45504233085E0709Sylhet"/>
        <s v="E0033Jannat MorshedMaleEngineeringSoftware EngineerFull-timeRemote44640153390E0893Sylhet"/>
        <s v="E0034Mahin IslamNon-binaryCustomer SuccessSupport AssociateFull-timeChattogram43218105962E0938Sylhet"/>
        <s v="E0035Fahim BiswasMaleCustomer SuccessSupport AssociateFull-timeDhaka44771116624E0865Sylhet"/>
        <s v="E0036Zahid BanuFemaleOperationsSupply Chain AnalystFull-timeChattogram4325477427Sylhet"/>
        <s v="E0037Shawon AnjumFemaleProductAssociate Product ManagerContractDhaka45700317015E0380Sylhet"/>
        <s v="E0038Mahin MiahFemaleEngineeringQA EngineerFull-timeRajshahi43324206071E0701Sylhet"/>
        <s v="E0039Sadia BiswasFemaleFinanceAccounts ExecutiveContractRajshahi43715132584Sylhet"/>
        <s v="E0040Shafiq SadiqFemaleSalesAccount ExecutiveFull-timeRajshahi4554174566E0849Sylhet"/>
        <s v="E0041Noman KhanFemaleEngineeringSenior Software EngineerFull-timeKhulna42974164307E0251Sylhet"/>
        <s v="E0042Esha AminMaleMarketingSEO SpecialistFull-timeKhulna45600143885E0141Sylhet"/>
        <s v="E0043Ovi IslamMaleEngineeringSoftware EngineerFull-timeRemote44811151772E0736Sylhet"/>
        <s v="E0044Fahim JahanMaleCustomer SuccessSupport SpecialistFull-timeRajshahi4238172635E0186Sylhet"/>
        <s v="E0045Rahim AkterMaleProductSenior Product ManagerFull-timeChattogram43505228086E0025Sylhet"/>
        <s v="E0046Mitu SharminMaleHRHR Business PartnerFull-timeRajshahi45886117000E0456Sylhet"/>
        <s v="E0047Noman AminMaleProductProduct AnalystFull-timeRajshahi42962104908E0927Sylhet"/>
        <s v="E0048Tania AhmedMaleMarketingMarketing AssociateFull-timeKhulna42902134577E0592Sylhet"/>
        <s v="E0049Tasnim ShahFemaleMarketingMarketing ManagerFull-timeChattogram44582211918E0783Sylhet"/>
        <s v="E0050Rahim RasheedMaleEngineeringJunior Software EngineerFull-timeDhaka43396173897E0383Sylhet"/>
        <s v="E0051Noman SultanaMaleCustomer SuccessCustomer Success ManagerContractRemote45640121481E0849Sylhet"/>
        <s v="E0052Noman HossainMaleOperationsSupply Chain AnalystFull-timeRemote43084158063E0742Sylhet"/>
        <s v="E0053Shawon AkterMaleCustomer SuccessCustomer Success ManagerFull-timeSylhet42820173570E0701Sylhet"/>
        <s v="E0054Tamanna RahmanFemaleOperationsOperations ManagerFull-timeDhaka45077147590Sylhet"/>
        <s v="E0055Tania AminFemaleHRHR ManagerFull-timeSylhet42475138544E0425Sylhet"/>
        <s v="E0056Sadia RasheedFemaleCustomer SuccessSupport AssociateFull-timeRajshahi4290989940E0728Sylhet"/>
        <s v="E0057Shawon MiahMaleEngineeringQA EngineerFull-timeRajshahi42430209299E0580Sylhet"/>
        <s v="E0058Ayesha ParvinFemaleEngineeringSoftware EngineerFull-timeRemote4383796715Sylhet"/>
        <s v="E0059Sadia MiahMaleEngineeringSenior Software EngineerFull-timeRemote45605165688E0184Sylhet"/>
        <s v="E0060Nafiz MorshedMaleSalesSenior Account ExecutiveFull-timeRemote4559995553E0839Sylhet"/>
        <s v="E0061Fahim BiswasNon-binarySalesSales ManagerFull-timeDhaka43344225796E0453Sylhet"/>
        <s v="E0062Fahim HasanFemaleProductSenior Product ManagerFull-timeRemote44781164207E0980Sylhet"/>
        <s v="E0063Tasnim AlamFemaleOperationsOperations ManagerFull-timeRajshahi43696157208E0756Sylhet"/>
        <s v="E0064Lamia BiswasFemaleSalesAccount ExecutiveFull-timeSylhet42434205545E0797Sylhet"/>
        <s v="E0065Sadia AkterFemaleProductAssociate Product ManagerContractKhulna43083331486E0782Sylhet"/>
        <s v="E0066Ovi KhanFemaleMarketingSEO SpecialistInternKhulna43456134863E0831Sylhet"/>
        <s v="E0067Imran IslamMaleEngineeringSoftware EngineerFull-timeRemote4258496418E0179Sylhet"/>
        <s v="E0068Sumaiya AlamMaleOperationsOperations AssociateFull-timeKhulna42889117217E0161Sylhet"/>
        <s v="E0069Tania AhmedMaleEngineeringSoftware EngineerFull-timeDhaka45408119297E0065Sylhet"/>
        <s v="E0070Priya TalukderMaleCustomer SuccessSupport AssociateFull-timeDhaka4409496180E0159Sylhet"/>
        <s v="E0071Mahin KhanMaleOperationsOperations AssociateFull-timeChattogram4452469424E0109Sylhet"/>
        <s v="E0072Fahim TalukderFemaleEngineeringSoftware EngineerFull-timeDhaka42835125767E0428Sylhet"/>
        <s v="E0073Arif TalukderFemaleEngineeringJunior Software EngineerFull-timeDhaka45424171120E0239Sylhet"/>
        <s v="E0074Shawon AlamMaleOperationsOperations AssociateFull-timeKhulna4263073342E0630Sylhet"/>
        <s v="E0075Shafiq SharminFemaleFinanceFinance ManagerFull-timeRajshahi44320126028E0008Sylhet"/>
        <s v="E0076Rashed MiahMaleFinanceFinancial AnalystFull-timeRajshahi4420684403E0755Sylhet"/>
        <s v="E0077Sajid SarkerFemaleOperationsSupply Chain AnalystFull-timeRajshahi4555658098E0045Sylhet"/>
        <s v="E0078Sumaiya HossainMaleEngineeringQA EngineerFull-timeSylhet43852173927E0314Sylhet"/>
        <s v="E0079Tasnim SultanaMaleSalesSales AssociateContractKhulna44472149187E0831Sylhet"/>
        <s v="E0080Tamanna BiswasMaleEngineeringEngineering ManagerFull-timeDhaka44801278581E0657Sylhet"/>
        <s v="E0081Lamia AkterFemaleOperationsOperations ManagerFull-timeRajshahi4281675559E0278Sylhet"/>
        <s v="E0082Rahim IslamMaleHRHR AssociateFull-timeRajshahi4422184502E0617Sylhet"/>
        <s v="E0083Ayesha BanuFemaleSalesAccount ExecutiveFull-timeChattogram44433152331E0063Sylhet"/>
        <s v="E0084Tamanna RasheedFemaleEngineeringDevOps EngineerFull-timeChattogram43277195944E0310Sylhet"/>
        <s v="E0085Rahim KhanMaleProductSenior Product ManagerFull-timeRajshahi44889268922E0172Sylhet"/>
        <s v="E0086Mitu RahmanMaleSalesAccount ExecutiveFull-timeChattogram42547198013E0849Sylhet"/>
        <s v="E0087Karim KabirPrefer not to sayFinanceSenior Financial AnalystFull-timeKhulna45348266602E0420Sylhet"/>
        <s v="E0088Mitu ChowdhuryMaleHRHR AssociateFull-timeRajshahi45578136974E0404Sylhet"/>
        <s v="E0089Nabila SultanaMaleOperationsOperations ManagerFull-timeSylhet45068127230Sylhet"/>
        <s v="E0090Tamanna ParvinMaleMarketingMarketing AssociateContractRajshahi44505147356E0196Sylhet"/>
        <s v="E0091Nafiz FerdousMaleEngineeringEngineering ManagerFull-timeRemote43605161402E0330Sylhet"/>
        <s v="E0092Nabila SharminFemaleFinanceSenior Financial AnalystInternKhulna44246233536E0197Sylhet"/>
        <s v="E0093Rafi SultanaFemaleFinanceSenior Financial AnalystFull-timeDhaka45005257374E0657Sylhet"/>
        <s v="E0094Arif MiahMaleMarketingGrowth MarketerFull-timeKhulna4249791158E0592Sylhet"/>
        <s v="E0095Shawon FerdousMaleOperationsOperations AssociateFull-timeKhulna42619106333E0684Sylhet"/>
        <s v="E0096Fahim SharminMaleMarketingMarketing AssociateFull-timeRemote4433175235Sylhet"/>
        <s v="E0097Sadia RasheedPrefer not to sayMarketingMarketing AssociateContractDhaka4584060785E0453Sylhet"/>
        <s v="E0098Rashed TalukderMaleSalesSales AssociateFull-timeDhaka4401555786E0672Sylhet"/>
        <s v="E0099Karim ShahNon-binaryEngineeringDevOps EngineerFull-timeSylhet44116134271E0663Sylhet"/>
        <s v="E0100Sadia SadiqFemaleEngineeringSoftware EngineerFull-timeSylhet45180156178E0045Sylhet"/>
        <s v="E0101Rafi ParvinMaleEngineeringJunior Software EngineerContractRajshahi42812131877E0314Sylhet"/>
        <s v="E0102Shafiq HossainFemaleHRHR ManagerFull-timeChattogram44378138408E0855Sylhet"/>
        <s v="E0103Esha RanaFemaleProductSenior Product ManagerContractKhulna45287253791E0383Sylhet"/>
        <s v="E0104Zahid SharminMaleMarketingMarketing ManagerFull-timeKhulna44186234882E0774Sylhet"/>
        <s v="E0105Rafi KhanMaleCustomer SuccessCustomer Success ManagerFull-timeDhaka42671171732E0980Sylhet"/>
        <s v="E0106Rafi MiahFemaleProductProduct AnalystFull-timeKhulna42700124374E0828Sylhet"/>
        <s v="E0107Ovi HaiderMaleSalesAccount ExecutiveFull-timeKhulna43689180577E0861Sylhet"/>
        <s v="E0108Nabila SadiqMaleFinanceSenior Financial AnalystFull-timeDhaka44861214709E0500Sylhet"/>
        <s v="E0109Rafi BanuMaleProductProduct ManagerFull-timeRemote42977272489Sylhet"/>
        <s v="E0110Nadia SarkerFemaleEngineeringJunior Software EngineerFull-timeRajshahi42639179920E0179Sylhet"/>
        <s v="E0111Shafiq AnjumFemaleProductSenior Product ManagerFull-timeKhulna42886274622E0080Sylhet"/>
        <s v="E0112Tamanna SultanaMaleEngineeringSoftware EngineerFull-timeKhulna43496115486E0156Sylhet"/>
        <s v="E0113Imran ShahMaleCustomer SuccessSupport AssociateFull-timeChattogram4492747847E0828Sylhet"/>
        <s v="E0114Arif MahmudMaleOperationsSupply Chain AnalystFull-timeDhaka44963150407E0008Sylhet"/>
        <s v="E0115Sumaiya SharminFemaleHRHR Business PartnerInternKhulna4476775402E0190Sylhet"/>
        <s v="E0116Zahid RasheedFemaleOperationsSupply Chain AnalystFull-timeChattogram4461690308E0831Sylhet"/>
        <s v="E0117Shawon RanaMaleOperationsOperations AssociateFull-timeRemote4528693271E0728Sylhet"/>
        <s v="E0118Noman MorshedFemaleEngineeringDevOps EngineerInternKhulna43701166489E0102Sylhet"/>
        <s v="E0119Shawon AkterFemaleOperationsOperations AssociateFull-timeDhaka43930127253E0881Sylhet"/>
        <s v="E0120Jannat AhmedMaleMarketingMarketing AssociateFull-timeKhulna44816156698E0780Sylhet"/>
        <s v="E0121Karim BanuFemaleOperationsOperations ManagerFull-timeChattogram44543105032E0684Sylhet"/>
        <s v="E0122Tania UddinMaleOperationsOperations ManagerContractDhaka43577194473E0063Sylhet"/>
        <s v="E0123Jannat AkterFemaleProductSenior Product ManagerFull-timeKhulna44228223604E0150Sylhet"/>
        <s v="E0124Noman ChowdhuryMaleEngineeringDevOps EngineerFull-timeRajshahi44440116353Sylhet"/>
        <s v="E0125Tasnim SadiqMaleProductProduct ManagerFull-timeDhaka44849323393E0037Sylhet"/>
        <s v="E0126Arif SultanaMaleSalesAccount ExecutiveFull-timeSylhet44132204089Sylhet"/>
        <s v="E0127Sajid IslamMaleOperationsOperations AssociateFull-timeSylhet42776115492Sylhet"/>
        <s v="E0128Mahin KhanFemaleOperationsSupply Chain AnalystFull-timeSylhet4561863509E0585Sylhet"/>
        <s v="E0129Mitu FerdousFemaleEngineeringSoftware EngineerFull-timeRajshahi45244150359Sylhet"/>
        <s v="E0130Nabila RanaFemaleMarketingContent SpecialistFull-timeSylhet42838188137E0979Sylhet"/>
        <s v="E0131Tania BiswasMaleSalesSenior Account ExecutiveFull-timeChattogram45863180052E0383Sylhet"/>
        <s v="E0132Lamia HaiderMaleProductAssociate Product ManagerFull-timeDhaka45051331014E0407Sylhet"/>
        <s v="E0133Karim RanaFemaleEngineeringJunior Software EngineerFull-timeRajshahi45036150872E0016Sylhet"/>
        <s v="E0134Tasnim TalukderFemaleSalesSales AssociateFull-timeKhulna4551974066E0109Sylhet"/>
        <s v="E0135Rafi MahmudMaleCustomer SuccessSupport SpecialistFull-timeChattogram4462871853E0672Sylhet"/>
        <s v="E0136Sajid KabirMaleSalesSales AssociateFull-timeRajshahi45322145378E0061Sylhet"/>
        <s v="E0137Nadia SultanaMaleMarketingSEO SpecialistInternDhaka4325080214E0630Sylhet"/>
        <s v="E0138Nadia TalukderFemaleFinanceFinancial AnalystFull-timeRemote44131153114Sylhet"/>
        <s v="E0139Sumaiya BanuFemaleSalesAccount ExecutiveFull-timeChattogram44219107540E0357Sylhet"/>
        <s v="E0140Mitu HossainMaleCustomer SuccessSupport SpecialistFull-timeSylhet43305133736E0103Sylhet"/>
        <s v="E0141Shawon HasanMaleCustomer SuccessCustomer Success ManagerContractSylhet44064193662E0736Sylhet"/>
        <s v="E0142Esha SharminMaleProductAssociate Product ManagerFull-timeDhaka43758214124E0081Sylhet"/>
        <s v="E0143Sajid KabirMaleMarketingGrowth MarketerFull-timeRemote45759160401E0990Sylhet"/>
        <s v="E0144Rashed KabirFemaleProductAssociate Product ManagerFull-timeRemote44227292950E0396Sylhet"/>
        <s v="E0145Sajid RanaMaleProductProduct AnalystFull-timeRajshahi44003156121E0024Sylhet"/>
        <s v="E0146Shawon TalukderMaleEngineeringDevOps EngineerFull-timeRemote44073144739E0554Sylhet"/>
        <s v="E0147Nabila SarkerMaleHRHR Business PartnerFull-timeKhulna4535866930E0783Sylhet"/>
        <s v="E0148Sumaiya RasheedFemaleMarketingGrowth MarketerInternSylhet4275966367E0855Sylhet"/>
        <s v="E0149Ovi HossainMaleEngineeringDevOps EngineerFull-timeChattogram43650125613E0270Sylhet"/>
        <s v="E0150Shawon ShahMaleProductSenior Product ManagerFull-timeSylhet44118235298E0132Sylhet"/>
        <s v="E0151Nabila ParvinPrefer not to sayCustomer SuccessSupport SpecialistFull-timeKhulna4365090082E0956Sylhet"/>
        <s v="E0152Esha BanuFemaleProductSenior Product ManagerFull-timeChattogram45094229275E0855Sylhet"/>
        <s v="E0153Tania ParvinMaleEngineeringQA EngineerFull-timeDhaka43414122342E0682Sylhet"/>
        <s v="E0154Priya AkterMaleMarketingGrowth MarketerFull-timeSylhet43903153272E0012Sylhet"/>
        <s v="E0155Shawon TalukderMaleCustomer SuccessSupport SpecialistInternRajshahi4299576212E0585Sylhet"/>
        <s v="E0156Tania FerdousMaleProductProduct ManagerFull-timeRemote45183204194E0045Sylhet"/>
        <s v="E0157Rafi ChowdhuryMaleFinanceAccounts ExecutiveFull-timeChattogram44312163259Sylhet"/>
        <s v="E0158Tasnim MahmudFemaleFinanceFinance ManagerFull-timeKhulna42644191622E0560Sylhet"/>
        <s v="E0159Karim SultanaMaleProductSenior Product ManagerFull-timeRemote42743254146E0080Sylhet"/>
        <s v="E0160Tania RasheedMaleFinanceAccounts ExecutiveFull-timeRemote45776114415E0783Sylhet"/>
        <s v="E0161Esha SultanaMaleSalesSales ManagerFull-timeDhaka42719190248E0774Sylhet"/>
        <s v="E0162Sadia FerdousFemaleHRHR AssociateFull-timeSylhet4275160029E0416Sylhet"/>
        <s v="E0163Mitu BiswasMaleHRRecruiterFull-timeChattogram44138132352E0907Sylhet"/>
        <s v="E0164Jannat HaiderFemaleMarketingSEO SpecialistContractRemote42765172506E0152Sylhet"/>
        <s v="E0165Ovi RahmanFemaleEngineeringJunior Software EngineerFull-timeChattogram45419112641E0656Sylhet"/>
        <s v="E0166Karim HasanMaleOperationsOperations ManagerFull-timeRajshahi4539698319E0181Sylhet"/>
        <s v="E0167Esha IslamMaleSalesSales ManagerFull-timeDhaka43896184159E0709Sylhet"/>
        <s v="E0168Tamanna ParvinFemaleEngineeringSenior Software EngineerContractChattogram45695176571E0909Sylhet"/>
        <s v="E0169Tamanna SadiqMaleEngineeringJunior Software EngineerFull-timeRajshahi42902109974Sylhet"/>
        <s v="E0170Nafiz RanaMaleHRRecruiterFull-timeChattogram4464863596E0574Sylhet"/>
        <s v="E0171Ayesha SadiqFemaleFinanceSenior Financial AnalystFull-timeRajshahi42615164223E0574Sylhet"/>
        <s v="E0172Shafiq RasheedFemaleEngineeringEngineering ManagerFull-timeSylhet44772197542Sylhet"/>
        <s v="E0173Shafiq AkterMaleMarketingGrowth MarketerFull-timeRajshahi44670124487E0229Sylhet"/>
        <s v="E0174Lamia MiahFemaleProductProduct AnalystFull-timeSylhet44670170924Sylhet"/>
        <s v="E0175Mitu SultanaFemaleHRHR Business PartnerFull-timeKhulna4372089719E0500Sylhet"/>
        <s v="E0176Sajid AkterMaleEngineeringSenior Software EngineerContractChattogram45114143847E0357Sylhet"/>
        <s v="E0177Fahim HasanMaleFinanceSenior Financial AnalystContractRemote42870129577E0686Sylhet"/>
        <s v="E0178Ovi MorshedMaleSalesSales AssociateFull-timeKhulna44052154566E0249Sylhet"/>
        <s v="E0179Shawon MiahMaleCustomer SuccessCustomer Success ManagerFull-timeChattogram43818168895E0972Sylhet"/>
        <s v="E0180Sajid RanaMaleEngineeringSenior Software EngineerFull-timeDhaka45095193255E0500Sylhet"/>
        <s v="E0181Zahid RasheedFemaleSalesSales ManagerFull-timeSylhet45443195037E0657Sylhet"/>
        <s v="E0182Tasnim ShahFemaleEngineeringSoftware EngineerFull-timeChattogram44102149426E0741Sylhet"/>
        <s v="E0183Zahid KabirNon-binaryCustomer SuccessSupport SpecialistFull-timeSylhet4532399935E0595Sylhet"/>
        <s v="E0184Nabila ShahMaleOperationsOperations ManagerFull-timeRemote42580191513E0866Sylhet"/>
        <s v="E0185Arif HossainMaleProductProduct AnalystFull-timeRemote43548147331E0428Sylhet"/>
        <s v="E0186Sajid AhmedMaleHRHR ManagerFull-timeRemote44829186702E0310Sylhet"/>
        <s v="E0187Priya AminFemaleOperationsSupply Chain AnalystContractDhaka4364976155E0198Sylhet"/>
        <s v="E0188Mitu AnjumMaleMarketingMarketing AssociateFull-timeRajshahi4381083898E0672Sylhet"/>
        <s v="E0189Shafiq AnjumMaleMarketingContent SpecialistFull-timeRemote4279480935E0893Sylhet"/>
        <s v="E0190Tasnim RahmanMaleProductProduct ManagerFull-timeKhulna44737184157E0719Sylhet"/>
        <s v="E0191Arif MorshedMaleEngineeringJunior Software EngineerFull-timeDhaka44448174728E0938Sylhet"/>
        <s v="E0192Lamia RahmanMaleOperationsSupply Chain AnalystFull-timeRajshahi43241161761E0453Sylhet"/>
        <s v="E0193Ayesha SharminMaleCustomer SuccessSupport AssociateFull-timeChattogram43003101902E0278Sylhet"/>
        <s v="E0194Lamia FerdousFemaleHRHR Business PartnerFull-timeSylhet4505971442E0103Sylhet"/>
        <s v="E0195Arif KhanMaleSalesSales AssociateFull-timeDhaka4434556829E0648Sylhet"/>
        <s v="E0196Noman MiahFemaleSalesSales ManagerFull-timeRemote43288107371Sylhet"/>
        <s v="E0197Noman AhmedFemaleFinanceFinance ManagerFull-timeKhulna45840225835E0881Sylhet"/>
        <s v="E0198Nadia KabirMaleOperationsOperations ManagerFull-timeDhaka42813163677E0560Sylhet"/>
        <s v="E0199Nabila ParvinPrefer not to sayOperationsOperations ManagerInternRemote4380481456E0777Sylhet"/>
        <s v="E0200Mitu HaiderFemaleOperationsOperations AssociateFull-timeRemote45832115471E0065Sylhet"/>
        <s v="E0201Shawon SharminFemaleHRHR Business PartnerFull-timeRajshahi44648147911E0963Sylhet"/>
        <s v="E0202Mitu MahmudFemaleEngineeringJunior Software EngineerFull-timeKhulna4387579321Sylhet"/>
        <s v="E0203Mitu KabirFemaleEngineeringJunior Software EngineerFull-timeSylhet4284078363E0024Sylhet"/>
        <s v="E0204Lamia HasanMaleOperationsOperations AssociateFull-timeRemote45493110723E0624Sylhet"/>
        <s v="E0205Ovi ChowdhuryMaleHRRecruiterFull-timeDhaka4351163622E0639Sylhet"/>
        <s v="E0206Jannat IslamMaleEngineeringDevOps EngineerContractDhaka44721100219E0037Sylhet"/>
        <s v="E0207Fahim TalukderMaleEngineeringQA EngineerFull-timeDhaka4329690603E0565Sylhet"/>
        <s v="E0208Mitu FerdousMaleHRRecruiterFull-timeKhulna4567668932E0560Sylhet"/>
        <s v="E0209Zahid UddinMaleEngineeringSoftware EngineerFull-timeDhaka44127200191E0831Sylhet"/>
        <s v="E0210Esha KabirNon-binaryEngineeringEngineering ManagerFull-timeRajshahi45831276214E0389Sylhet"/>
        <s v="E0211Shafiq MiahMaleMarketingContent SpecialistFull-timeSylhet4466791942E0828Sylhet"/>
        <s v="E0212Noman RasheedFemaleFinanceFinancial AnalystInternRemote45513115210E0912Sylhet"/>
        <s v="E0213Shafiq IslamMaleHRHR AssociateFull-timeChattogram4572260224E0469Sylhet"/>
        <s v="E0214Ayesha HossainMaleProductProduct ManagerContractChattogram44916154511E0085Sylhet"/>
        <s v="E0215Nafiz AhmedFemaleFinanceSenior Financial AnalystFull-timeChattogram44883217157E0520Sylhet"/>
        <s v="E0216Shafiq JahanPrefer not to sayProductProduct AnalystFull-timeKhulna45134115743Sylhet"/>
        <s v="E0217Tamanna BanuFemaleSalesSales AssociateFull-timeKhulna4500286601E0865Sylhet"/>
        <s v="E0218Ovi KabirFemaleFinanceSenior Financial AnalystFull-timeKhulna44650188835E0728Sylhet"/>
        <s v="E0219Shafiq HossainMaleHRHR Business PartnerFull-timeChattogram4247772912E0533Sylhet"/>
        <s v="E0220Shafiq HaiderMaleOperationsOperations AssociateFull-timeChattogram44864148023E0150Sylhet"/>
        <s v="E0221Rashed KabirFemaleHRHR ManagerFull-timeDhaka45064186275E0602Sylhet"/>
        <s v="E0222Noman AkterFemaleMarketingMarketing AssociateFull-timeChattogram45767132900E0141Sylhet"/>
        <s v="E0223Tamanna RanaMaleEngineeringSoftware EngineerFull-timeKhulna45210197759E0488Sylhet"/>
        <s v="E0224Nabila SultanaFemaleSalesSales ManagerFull-timeRajshahi43465186825E0045Sylhet"/>
        <s v="E0225Zahid KabirMaleProductAssociate Product ManagerContractDhaka42488238674E0511Sylhet"/>
        <s v="E0226Priya ChowdhuryFemaleProductProduct ManagerFull-timeDhaka43108190351E0241Sylhet"/>
        <s v="E0227Rafi AminMaleCustomer SuccessSupport SpecialistFull-timeSylhet4348985676E0045Sylhet"/>
        <s v="E0228Farhan TalukderFemaleSalesSales AssociateFull-timeSylhet45248126090E0538Sylhet"/>
        <s v="E0229Esha AkterMaleOperationsOperations ManagerFull-timeRajshahi45492132740E0365Sylhet"/>
        <s v="E0230Mitu UddinFemaleHRRecruiterFull-timeRemote43635145727E0980Sylhet"/>
        <s v="E0231Nadia ChowdhuryMaleOperationsOperations ManagerFull-timeChattogram43761201055E0049Sylhet"/>
        <s v="E0232Farhan SultanaMaleMarketingMarketing AssociateFull-timeChattogram43807160791Sylhet"/>
        <s v="E0233Ayesha ParvinFemaleMarketingMarketing AssociateFull-timeChattogram42395112634E0102Sylhet"/>
        <s v="E0234Jannat AnjumFemaleMarketingMarketing AssociateFull-timeDhaka43113104145E0543Sylhet"/>
        <s v="E0235Shawon SarkerMaleEngineeringQA EngineerFull-timeDhaka42956125871E0243Sylhet"/>
        <s v="E0236Nabila AminMaleFinanceFinancial AnalystFull-timeKhulna44689138097E0239Sylhet"/>
        <s v="E0237Imran KabirFemaleProductSenior Product ManagerFull-timeKhulna45062137134E0617Sylhet"/>
        <s v="E0238Zahid TalukderMaleEngineeringSenior Software EngineerFull-timeKhulna44011150761E0686Sylhet"/>
        <s v="E0239Sajid UddinFemaleHRHR ManagerFull-timeDhaka42655199207E0639Sylhet"/>
        <s v="E0240Rahim RahmanFemaleEngineeringJunior Software EngineerFull-timeRemote4295181364E0882Sylhet"/>
        <s v="E0241Sajid BanuMaleCustomer SuccessCustomer Success ManagerContractChattogram45405139274Sylhet"/>
        <s v="E0242Nabila UddinFemaleCustomer SuccessCustomer Success ManagerFull-timeDhaka44963110145E0979Sylhet"/>
        <s v="E0243Tania ParvinMaleCustomer SuccessCustomer Success ManagerContractChattogram4249596473E0407Sylhet"/>
        <s v="E0244Jannat SharminFemaleSalesSales ManagerContractSylhet42745243473E0936Sylhet"/>
        <s v="E0245Karim IslamMaleEngineeringQA EngineerFull-timeRajshahi45426117681E0852Sylhet"/>
        <s v="E0246Shawon JahanFemaleCustomer SuccessSupport SpecialistFull-timeKhulna4454291573E0646Sylhet"/>
        <s v="E0247Mahin AnjumMaleSalesSales AssociateInternChattogram43251108435Sylhet"/>
        <s v="E0248Sadia SadiqMaleCustomer SuccessSupport AssociateFull-timeRemote4391063968E0448Sylhet"/>
        <s v="E0249Imran AkterFemaleCustomer SuccessCustomer Success ManagerFull-timeDhaka4408986122E0065Sylhet"/>
        <s v="E0250Mahin HossainMaleOperationsSupply Chain AnalystContractSylhet44228113140E0244Sylhet"/>
        <s v="E0251Mahin MorshedMaleProductProduct ManagerFull-timeSylhet43766210984E0167Sylhet"/>
        <s v="E0252Priya HossainFemaleSalesAccount ExecutiveFull-timeKhulna43014100793E0646Sylhet"/>
        <s v="E0253Nadia BanuMaleOperationsOperations AssociateFull-timeChattogram43885100319E0109Sylhet"/>
        <s v="E0254Nafiz JahanMaleProductProduct AnalystFull-timeSylhet4364698081E0420Sylhet"/>
        <s v="E0255Ovi RasheedPrefer not to sayEngineeringQA EngineerContractKhulna45325163185E0762Sylhet"/>
        <s v="E0256Karim RasheedPrefer not to sayMarketingContent SpecialistContractDhaka43698123657E0709Sylhet"/>
        <s v="E0257Nafiz TalukderMaleCustomer SuccessSupport AssociateFull-timeDhaka45551118593E0190Sylhet"/>
        <s v="E0258Rashed ParvinMaleFinanceFinancial AnalystContractKhulna4469473943E0682Sylhet"/>
        <s v="E0259Tasnim SultanaMaleMarketingMarketing AssociateFull-timeRemote44812139284E0019Sylhet"/>
        <s v="E0260Rahim MorshedFemaleEngineeringSenior Software EngineerContractDhaka42717161928E0121Sylhet"/>
        <s v="E0261Shawon TalukderFemaleHRHR AssociateInternKhulna42585107400E0152Sylhet"/>
        <s v="E0262Sadia AhmedFemaleCustomer SuccessCustomer Success ManagerFull-timeSylhet4300799598E0538Sylhet"/>
        <s v="E0263Jannat AkterMaleEngineeringSoftware EngineerFull-timeRajshahi4301481876Sylhet"/>
        <s v="E0264Mahin MorshedMaleMarketingContent SpecialistContractRajshahi45460190900E0054Sylhet"/>
        <s v="E0265Jannat ParvinFemaleOperationsOperations AssociateInternRajshahi4490092057E0989Sylhet"/>
        <s v="E0266Shawon BiswasFemaleFinanceAccounts ExecutiveContractChattogram42573120976E0404Sylhet"/>
        <s v="E0267Farhan UddinFemaleFinanceFinancial AnalystContractKhulna4513086707E0595Sylhet"/>
        <s v="E0268Rashed MiahNon-binaryFinanceFinancial AnalystFull-timeDhaka42704129733E0938Sylhet"/>
        <s v="E0269Tasnim ChowdhuryFemaleSalesSenior Account ExecutiveFull-timeDhaka4348483187E0688Sylhet"/>
        <s v="E0270Rahim SharminMaleProductAssociate Product ManagerFull-timeRemote44184271250E0080Sylhet"/>
        <s v="E0271Zahid SultanaFemaleOperationsSupply Chain AnalystInternSylhet45081115810E0648Sylhet"/>
        <s v="E0272Shawon MiahMaleOperationsOperations ManagerFull-timeDhaka44106122316E0936Sylhet"/>
        <s v="E0273Shawon RanaFemaleOperationsOperations ManagerInternRemote44359183817E0198Sylhet"/>
        <s v="E0274Sajid AlamFemaleCustomer SuccessSupport AssociateFull-timeKhulna4485678062E0642Sylhet"/>
        <s v="E0275Rahim HaiderMaleMarketingContent SpecialistFull-timeChattogram44180139206E0630Sylhet"/>
        <s v="E0276Jannat ParvinMaleMarketingMarketing AssociateContractDhaka4406664953E0166Sylhet"/>
        <s v="E0277Sumaiya ParvinMaleOperationsOperations AssociateContractSylhet4348890476E0528Sylhet"/>
        <s v="E0278Rahim RasheedFemaleHRHR ManagerFull-timeChattogram4325295485E0774Sylhet"/>
        <s v="E0279Tasnim RanaMaleFinanceAccounts ExecutiveFull-timeRajshahi4546290571E0989Sylhet"/>
        <s v="E0280Shawon SultanaFemaleOperationsSupply Chain AnalystFull-timeKhulna44468165934E0639Sylhet"/>
        <s v="E0281Ayesha MiahFemaleOperationsSupply Chain AnalystFull-timeSylhet42836144447Sylhet"/>
        <s v="E0282Jannat HossainMaleSalesSenior Account ExecutiveFull-timeDhaka43783262569E0122Sylhet"/>
        <s v="E0283Shafiq AminFemaleSalesAccount ExecutiveFull-timeKhulna44130177614E0184Sylhet"/>
        <s v="E0284Karim AnjumMaleEngineeringJunior Software EngineerFull-timeChattogram4282478609E0976Sylhet"/>
        <s v="E0285Rashed AlamMaleMarketingContent SpecialistFull-timeChattogram4353090107E0425Sylhet"/>
        <s v="E0286Imran IslamFemaleEngineeringSenior Software EngineerFull-timeChattogram45147218934E0648Sylhet"/>
        <s v="E0287Priya AlamFemaleSalesSales AssociateFull-timeChattogram4514966490Sylhet"/>
        <s v="E0288Imran AnjumMaleMarketingContent SpecialistFull-timeRemote44799148675E0656Sylhet"/>
        <s v="E0289Imran AhmedMaleProductProduct AnalystFull-timeDhaka44363198833E0938Sylhet"/>
        <s v="E0290Shawon KhanMaleHRHR AssociateContractRajshahi4452899645E0520Sylhet"/>
        <s v="E0291Priya ChowdhuryMaleEngineeringSoftware EngineerContractChattogram45102110649E0085Sylhet"/>
        <s v="E0292Zahid ParvinFemaleEngineeringJunior Software EngineerContractChattogram4363390407E0122Sylhet"/>
        <s v="E0293Shawon IslamFemaleOperationsSupply Chain AnalystFull-timeSylhet4255686531E0560Sylhet"/>
        <s v="E0294Ovi AkterMaleSalesSenior Account ExecutiveFull-timeRajshahi43273166965E0965Sylhet"/>
        <s v="E0295Arif RanaFemaleEngineeringDevOps EngineerFull-timeDhaka43988220987E0716Sylhet"/>
        <s v="E0296Sumaiya AlamFemaleMarketingMarketing AssociateFull-timeChattogram44824126321E0543Sylhet"/>
        <s v="E0297Rashed SharminMaleFinanceAccounts ExecutiveFull-timeDhaka42594142246E0936Sylhet"/>
        <s v="E0298Nadia BanuMaleEngineeringJunior Software EngineerFull-timeChattogram42401105719Sylhet"/>
        <s v="E0299Sumaiya RanaMaleHRHR Business PartnerFull-timeRemote4320765312E0210Sylhet"/>
        <s v="E0300Mahin AnjumFemaleEngineeringQA EngineerFull-timeRajshahi43604109499E0488Sylhet"/>
        <s v="E0301Rahim BiswasFemaleEngineeringJunior Software EngineerFull-timeRajshahi43235195905E0376Sylhet"/>
        <s v="E0302Karim IslamMaleMarketingMarketing ManagerFull-timeKhulna45513208862E0865Sylhet"/>
        <s v="E0303Priya ShahFemaleMarketingMarketing AssociateContractKhulna4293281885E0801Sylhet"/>
        <s v="E0304Esha IslamFemaleHRRecruiterFull-timeRemote4550083292E0618Sylhet"/>
        <s v="E0305Esha BanuMaleFinanceSenior Financial AnalystFull-timeKhulna43416119968Sylhet"/>
        <s v="E0306Sadia KabirMaleCustomer SuccessCustomer Success ManagerFull-timeSylhet43555112609E0488Sylhet"/>
        <s v="E0307Sadia MahmudMaleMarketingSEO SpecialistFull-timeRajshahi4371388616E0976Sylhet"/>
        <s v="E0308Nadia RasheedFemaleSalesSenior Account ExecutiveFull-timeSylhet4286189011E0249Sylhet"/>
        <s v="E0309Rafi JahanFemaleOperationsOperations AssociateFull-timeRemote4240161353E0565Sylhet"/>
        <s v="E0310Nafiz ChowdhuryFemaleProductSenior Product ManagerFull-timeRajshahi44407123846E0172Sylhet"/>
        <s v="E0311Fahim ParvinFemaleSalesSales AssociateFull-timeSylhet45429173306Sylhet"/>
        <s v="E0312Shawon FerdousMaleEngineeringDevOps EngineerFull-timeChattogram44133216411E0008Sylhet"/>
        <s v="E0313Arif RahmanMaleEngineeringSenior Software EngineerFull-timeChattogram43089254167E0109Sylhet"/>
        <s v="E0314Nafiz AlamMaleCustomer SuccessCustomer Success ManagerContractChattogram42899111527E0376Sylhet"/>
        <s v="E0315Sadia FerdousFemaleOperationsSupply Chain AnalystFull-timeRemote43927116603E0736Sylhet"/>
        <s v="E0316Tania RahmanFemaleFinanceSenior Financial AnalystFull-timeKhulna44551141544E0407Sylhet"/>
        <s v="E0317Sumaiya AkterMaleSalesAccount ExecutiveFull-timeDhaka45252178865E0144Sylhet"/>
        <s v="E0318Mitu BanuFemaleEngineeringQA EngineerContractRemote43312182959E0630Sylhet"/>
        <s v="E0319Tasnim BanuMaleEngineeringJunior Software EngineerFull-timeRajshahi4441996425E0909Sylhet"/>
        <s v="E0320Shawon SadiqFemaleProductProduct AnalystFull-timeKhulna44658176119E0595Sylhet"/>
        <s v="E0321Zahid TalukderFemaleMarketingContent SpecialistFull-timeRemote4578370238E0243Sylhet"/>
        <s v="E0322Nadia MahmudNon-binaryFinanceAccounts ExecutiveFull-timeRemote45106192123E0389Sylhet"/>
        <s v="E0323Ovi SharminFemaleHRHR ManagerFull-timeDhaka45672159552E0420Sylhet"/>
        <s v="E0324Mitu BanuFemaleProductProduct AnalystFull-timeRajshahi43820210429E0585Sylhet"/>
        <s v="E0325Imran IslamMaleCustomer SuccessCustomer Success ManagerFull-timeChattogram42665144541E0368Sylhet"/>
        <s v="E0326Mahin AnjumFemaleFinanceFinancial AnalystFull-timeKhulna43996188550E0488Sylhet"/>
        <s v="E0327Farhan AhmedMaleMarketingMarketing AssociateFull-timeRemote45899116526E0278Sylhet"/>
        <s v="E0328Tasnim ShahFemaleHRHR Business PartnerFull-timeDhaka45409114641E0831Sylhet"/>
        <s v="E0329Rashed AkterFemaleSalesSenior Account ExecutiveFull-timeRemote42543133989E0777Sylhet"/>
        <s v="E0330Mitu RasheedFemaleProductAssociate Product ManagerFull-timeChattogram44156223179E0927Sylhet"/>
        <s v="E0331Shawon AminFemaleSalesAccount ExecutiveFull-timeRemote42446111484E0783Sylhet"/>
        <s v="E0332Ovi RahmanMaleFinanceSenior Financial AnalystFull-timeKhulna44253105193E0845Sylhet"/>
        <s v="E0333Tania ShahFemaleEngineeringSoftware EngineerFull-timeSylhet42688220613E0152Sylhet"/>
        <s v="E0334Lamia HaiderMaleEngineeringEngineering ManagerContractRemote45901214751E0533Sylhet"/>
        <s v="E0335Arif AnjumFemaleEngineeringEngineering ManagerFull-timeRemote43652166907E0334Sylhet"/>
        <s v="E0336Farhan SultanaFemaleEngineeringQA EngineerFull-timeChattogram44728146147E0656Sylhet"/>
        <s v="E0337Zahid HaiderMaleOperationsOperations AssociateFull-timeRajshahi4412875475E0749Sylhet"/>
        <s v="E0338Noman AlamFemaleFinanceSenior Financial AnalystFull-timeKhulna44718202663Sylhet"/>
        <s v="E0339Shawon AlamMaleMarketingMarketing AssociateFull-timeKhulna4402659142E0668Sylhet"/>
        <s v="E0340Imran RanaMaleEngineeringJunior Software EngineerFull-timeRemote4527679373Sylhet"/>
        <s v="E0341Tania AlamFemaleMarketingContent SpecialistFull-timeDhaka4499270398Sylhet"/>
        <s v="E0342Nafiz ParvinMaleMarketingContent SpecialistFull-timeKhulna4408080395E0990Sylhet"/>
        <s v="E0343Mitu AkterMaleEngineeringDevOps EngineerFull-timeRemote43555177426E0081Sylhet"/>
        <s v="E0344Sadia RasheedMaleSalesSenior Account ExecutiveFull-timeRajshahi42841110823Sylhet"/>
        <s v="E0345Shawon SarkerMaleSalesSenior Account ExecutiveFull-timeRajshahi44029220957E0075Sylhet"/>
        <s v="E0346Shawon RasheedFemaleHRRecruiterFull-timeChattogram42455106259E0772Sylhet"/>
        <s v="E0347Sajid SadiqFemaleHRRecruiterFull-timeRemote43700126480E0396Sylhet"/>
        <s v="E0348Fahim AminMaleEngineeringSoftware EngineerFull-timeRemote43073181290E0543Sylhet"/>
        <s v="E0349Shawon RasheedFemaleSalesSales ManagerFull-timeSylhet45652235921E0642Sylhet"/>
        <s v="E0350Nabila ChowdhuryMaleHRHR AssociateFull-timeChattogram4490157356Sylhet"/>
        <s v="E0351Shawon TalukderNon-binaryMarketingMarketing ManagerFull-timeSylhet44254132366E0159Sylhet"/>
        <s v="E0352Ayesha RasheedMaleOperationsSupply Chain AnalystFull-timeDhaka4577799779E0448Sylhet"/>
        <s v="E0353Ayesha FerdousFemaleHRRecruiterFull-timeChattogram45194107395Sylhet"/>
        <s v="E0354Karim AhmedMaleEngineeringQA EngineerFull-timeChattogram43852168443E0991Sylhet"/>
        <s v="E0355Farhan KhanNon-binaryEngineeringSenior Software EngineerFull-timeRajshahi42730284119E0251Sylhet"/>
        <s v="E0356Mahin KhanMaleHRHR ManagerFull-timeDhaka4415889306E0849Sylhet"/>
        <s v="E0357Ovi AkterFemaleEngineeringEngineering ManagerFull-timeRemote45829150615E0543Sylhet"/>
        <s v="E0358Arif SarkerMaleMarketingContent SpecialistFull-timeChattogram42803104105E0656Sylhet"/>
        <s v="E0359Shawon MiahMaleCustomer SuccessSupport AssociateFull-timeDhaka4336644753E0037Sylhet"/>
        <s v="E0360Imran HasanMaleMarketingGrowth MarketerFull-timeKhulna44154108200E0686Sylhet"/>
        <s v="E0361Rahim AhmedFemaleSalesSales ManagerFull-timeRemote44782173554Sylhet"/>
        <s v="E0362Priya HossainMaleHRHR AssociateFull-timeRemote4401075264E0243Sylhet"/>
        <s v="E0363Rahim SultanaFemaleSalesSenior Account ExecutiveFull-timeChattogram44516147296E0356Sylhet"/>
        <s v="E0364Ovi MorshedMaleMarketingGrowth MarketerFull-timeDhaka4269290486E0404Sylhet"/>
        <s v="E0365Esha HasanMaleCustomer SuccessCustomer Success ManagerFull-timeRajshahi43991126897E0543Sylhet"/>
        <s v="E0366Priya HaiderFemaleSalesSales AssociateFull-timeRemote4364089410Sylhet"/>
        <s v="E0367Tania SharminMaleCustomer SuccessCustomer Success ManagerInternKhulna45424100267E0989Sylhet"/>
        <s v="E0368Tania HossainFemaleCustomer SuccessCustomer Success ManagerContractRemote43760157989Sylhet"/>
        <s v="E0369Noman SultanaMaleEngineeringJunior Software EngineerFull-timeRemote43277153782E0881Sylhet"/>
        <s v="E0370Shafiq MahmudFemaleEngineeringSoftware EngineerContractRemote43734140850E0630Sylhet"/>
        <s v="E0371Ovi SadiqMaleEngineeringEngineering ManagerFull-timeSylhet45561166149E0871Sylhet"/>
        <s v="E0372Tamanna HaiderFemaleEngineeringJunior Software EngineerFull-timeRemote43058114574E0648Sylhet"/>
        <s v="E0373Sajid RanaFemaleEngineeringDevOps EngineerFull-timeSylhet42682214819E0465Sylhet"/>
        <s v="E0374Sumaiya MorshedFemaleFinanceFinancial AnalystFull-timeDhaka44460126300E0618Sylhet"/>
        <s v="E0375Tania SharminMaleEngineeringSoftware EngineerInternChattogram44963145347Sylhet"/>
        <s v="E0376Sumaiya AlamMaleProductSenior Product ManagerFull-timeDhaka42837292121E0528Sylhet"/>
        <s v="E0377Tasnim AkterFemaleOperationsSupply Chain AnalystFull-timeDhaka44543137578E0063Sylhet"/>
        <s v="E0378Ovi ShahMaleEngineeringSenior Software EngineerInternRemote44458138211E0335Sylhet"/>
        <s v="E0379Karim HaiderMaleOperationsSupply Chain AnalystFull-timeKhulna4316486949E0861Sylhet"/>
        <s v="E0380Rafi ShahFemaleProductProduct ManagerContractRemote45549212485E0231Sylhet"/>
        <s v="E0381Imran SadiqFemaleEngineeringJunior Software EngineerContractRajshahi43801106629E0870Sylhet"/>
        <s v="E0382Farhan SharminMaleFinanceFinancial AnalystFull-timeChattogram43808154672E0229Sylhet"/>
        <s v="E0383Tamanna RasheedMaleHRHR ManagerFull-timeRemote4534997415E0371Sylhet"/>
        <s v="E0384Sadia SadiqMaleOperationsOperations AssociateFull-timeKhulna4572474721E0828Sylhet"/>
        <s v="E0385Shawon AlamMaleFinanceSenior Financial AnalystFull-timeRemote45013117580E0334Sylhet"/>
        <s v="E0386Sumaiya SadiqMaleOperationsOperations AssociateFull-timeKhulna45708126200E0467Sylhet"/>
        <s v="E0387Karim AlamMaleProductProduct ManagerFull-timeChattogram42974199943E0968Sylhet"/>
        <s v="E0388Sadia RahmanMaleEngineeringJunior Software EngineerFull-timeRajshahi43337173688E0024Sylhet"/>
        <s v="E0389Mitu MahmudFemaleFinanceFinance ManagerFull-timeChattogram42791114847E0237Sylhet"/>
        <s v="E0390Shawon RahmanFemaleOperationsSupply Chain AnalystFull-timeChattogram4296993598Sylhet"/>
        <s v="E0391Imran FerdousFemaleCustomer SuccessSupport AssociateFull-timeKhulna43418115895E0198Sylhet"/>
        <s v="E0392Imran ChowdhuryFemaleSalesSales AssociateFull-timeDhaka4317878604E0210Sylhet"/>
        <s v="E0393Rafi HossainMaleSalesSales AssociateFull-timeKhulna43080131840E0416Sylhet"/>
        <s v="E0394Jannat ShahMaleOperationsSupply Chain AnalystFull-timeRemote44837135229E0538Sylhet"/>
        <s v="E0395Fahim SultanaMaleSalesAccount ExecutiveFull-timeRemote42996181022E0745Sylhet"/>
        <s v="E0396Mitu ChowdhuryMaleCustomer SuccessCustomer Success ManagerFull-timeSylhet4548399838E0226Sylhet"/>
        <s v="E0397Nafiz BanuMaleOperationsSupply Chain AnalystFull-timeRemote45479143446E0396Sylhet"/>
        <s v="E0398Tania IslamFemaleSalesSales AssociateFull-timeRemote4505479711E0874Sylhet"/>
        <s v="E0399Lamia SadiqFemaleFinanceSenior Financial AnalystContractDhaka42678209505E0580Sylhet"/>
        <s v="E0400Farhan HasanMaleFinanceSenior Financial AnalystFull-timeRajshahi43095127752E0479Sylhet"/>
        <s v="E0401Priya HaiderMaleEngineeringJunior Software EngineerFull-timeRemote45535175759E0197Sylhet"/>
        <s v="E0402Tania ShahMaleCustomer SuccessSupport AssociateFull-timeRemote4494282536E0241Sylhet"/>
        <s v="E0403Rafi SharminMaleMarketingMarketing AssociateContractChattogram4439397997E0783Sylhet"/>
        <s v="E0404Imran KhanFemaleOperationsOperations ManagerFull-timeRajshahi44270148933E0979Sylhet"/>
        <s v="E0405Rahim HossainFemaleSalesSenior Account ExecutiveFull-timeRemote45460161212E0777Sylhet"/>
        <s v="E0406Karim ParvinMaleOperationsSupply Chain AnalystFull-timeDhaka44679133746E0777Sylhet"/>
        <s v="E0407Shawon AlamMaleSalesSales ManagerFull-timeKhulna45482154689E0239Sylhet"/>
        <s v="E0408Sadia AkterMaleEngineeringDevOps EngineerFull-timeChattogram44743115869E0184Sylhet"/>
        <s v="E0409Ayesha MorshedFemaleCustomer SuccessSupport SpecialistContractRemote4420866765E0890Sylhet"/>
        <s v="E0410Jannat IslamMaleEngineeringDevOps EngineerFull-timeChattogram45159223811E0144Sylhet"/>
        <s v="E0411Nafiz HaiderFemaleProductProduct AnalystFull-timeRemote44682232842E0109Sylhet"/>
        <s v="E0412Ayesha ShahFemaleCustomer SuccessSupport AssociateFull-timeDhaka4500346051E0716Sylhet"/>
        <s v="E0413Rahim RasheedFemaleCustomer SuccessSupport AssociateFull-timeKhulna4497267599E0513Sylhet"/>
        <s v="E0414Mitu AlamMaleMarketingMarketing AssociateFull-timeRajshahi4492860095E0812Sylhet"/>
        <s v="E0415Shafiq SharminMaleHRRecruiterFull-timeRemote4369374293E0045Sylhet"/>
        <s v="E0416Shawon MorshedMaleSalesSales ManagerFull-timeSylhet44939127508E0368Sylhet"/>
        <s v="E0417Mitu ParvinMaleProductProduct AnalystFull-timeChattogram43664151332E0513Sylhet"/>
        <s v="E0418Ayesha AminMaleSalesSales AssociateFull-timeChattogram4298878808E0954Sylhet"/>
        <s v="E0419Nabila SadiqFemaleFinanceFinancial AnalystFull-timeDhaka44171169481E0927Sylhet"/>
        <s v="E0420Jannat BanuMaleFinanceFinance ManagerFull-timeChattogram42649222667E0166Sylhet"/>
        <s v="E0421Farhan MahmudMaleOperationsOperations AssociateContractDhaka44290126014E0980Sylhet"/>
        <s v="E0422Noman JahanFemaleOperationsSupply Chain AnalystFull-timeDhaka44181146117E0389Sylhet"/>
        <s v="E0423Sadia RanaMaleEngineeringJunior Software EngineerFull-timeSylhet44956174527E0618Sylhet"/>
        <s v="E0424Rashed HossainFemaleMarketingMarketing AssociateFull-timeKhulna43610101593E0545Sylhet"/>
        <s v="E0425Lamia SarkerMaleEngineeringEngineering ManagerFull-timeRemote45631203703E0488Sylhet"/>
        <s v="E0426Ayesha MahmudMaleMarketingMarketing ManagerFull-timeRemote43495100685E0025Sylhet"/>
        <s v="E0427Nabila FerdousFemaleSalesSales AssociateFull-timeSylhet4479264049E0387Sylhet"/>
        <s v="E0428Sadia BanuMaleOperationsOperations ManagerFull-timeSylhet42600145409E0839Sylhet"/>
        <s v="E0429Tania ParvinFemaleSalesSenior Account ExecutiveFull-timeRajshahi43811264785E0109Sylhet"/>
        <s v="E0430Lamia ShahFemaleEngineeringDevOps EngineerFull-timeDhaka44448158586E0467Sylhet"/>
        <s v="E0431Arif BiswasMaleEngineeringSenior Software EngineerFull-timeSylhet42673114635E0012Sylhet"/>
        <s v="E0432Ovi MiahMaleFinanceFinancial AnalystFull-timeRemote43641109027Sylhet"/>
        <s v="E0433Mitu RahmanMaleHRRecruiterFull-timeRajshahi4426178164E0624Sylhet"/>
        <s v="E0434Nafiz HaiderFemaleEngineeringQA EngineerFull-timeKhulna44221120831E0361Sylhet"/>
        <s v="E0435Karim UddinMaleEngineeringJunior Software EngineerFull-timeDhaka42524120923E0237Sylhet"/>
        <s v="E0436Lamia AnjumMaleFinanceAccounts ExecutiveFull-timeDhaka42603152132E0239Sylhet"/>
        <s v="E0437Shawon HossainMaleEngineeringSoftware EngineerContractRemote43880229625E0472Sylhet"/>
        <s v="E0438Esha AkterFemaleOperationsSupply Chain AnalystContractChattogram45776117618E0335Sylhet"/>
        <s v="E0439Sadia SadiqMaleFinanceAccounts ExecutiveContractChattogram43545169222E0518Sylhet"/>
        <s v="E0440Tasnim HaiderFemaleEngineeringQA EngineerFull-timeRemote42684179843E0425Sylhet"/>
        <s v="E0441Fahim ChowdhuryFemaleEngineeringEngineering ManagerFull-timeDhaka45010158222E0368Sylhet"/>
        <s v="E0442Lamia RahmanNon-binaryCustomer SuccessSupport AssociateFull-timeChattogram4587364675E0396Sylhet"/>
        <s v="E0443Mitu RasheedFemaleSalesSenior Account ExecutiveInternSylhet4273982815E0166Sylhet"/>
        <s v="E0444Fahim MiahFemaleSalesAccount ExecutiveContractKhulna44889174886E0618Sylhet"/>
        <s v="E0445Nabila MahmudFemaleOperationsOperations ManagerFull-timeRajshahi44803194618E0871Sylhet"/>
        <s v="E0446Tamanna KhanFemaleCustomer SuccessSupport AssociateFull-timeRemote4444674103Sylhet"/>
        <s v="E0447Nafiz SharminFemaleCustomer SuccessSupport SpecialistFull-timeDhaka43944121829E0221Sylhet"/>
        <s v="E0448Arif BanuMaleFinanceFinance ManagerFull-timeRajshahi44265255433E0913Sylhet"/>
        <s v="E0449Karim MorshedFemaleSalesSales ManagerFull-timeRajshahi44747193112E0141Sylhet"/>
        <s v="E0450Nafiz AkterMaleEngineeringQA EngineerFull-timeSylhet44640140602E0780Sylhet"/>
        <s v="E0451Shawon HasanFemaleOperationsSupply Chain AnalystFull-timeDhaka4561382842E0865Sylhet"/>
        <s v="E0452Shafiq RahmanFemaleMarketingGrowth MarketerFull-timeRemote4539683584Sylhet"/>
        <s v="E0453Fahim AhmedMaleSalesSales ManagerContractDhaka42538263179E0123Sylhet"/>
        <s v="E0454Shawon ParvinMaleCustomer SuccessSupport SpecialistFull-timeRemote4421295636E0907Sylhet"/>
        <s v="E0455Nadia BanuMaleEngineeringJunior Software EngineerFull-timeDhaka4568770124E0554Sylhet"/>
        <s v="E0456Mitu HossainFemaleMarketingMarketing ManagerFull-timeDhaka44711227832E0852Sylhet"/>
        <s v="E0457Rashed TalukderFemaleEngineeringQA EngineerContractChattogram45039197505E0229Sylhet"/>
        <s v="E0458Nafiz MiahMaleSalesSenior Account ExecutiveFull-timeChattogram43141105291E0602Sylhet"/>
        <s v="E0459Jannat TalukderFemaleEngineeringJunior Software EngineerInternKhulna43686135917Sylhet"/>
        <s v="E0460Esha RanaMaleEngineeringQA EngineerFull-timeKhulna44848166740Sylhet"/>
        <s v="E0461Rafi AhmedMaleEngineeringSoftware EngineerFull-timeKhulna44318182833E0197Sylhet"/>
        <s v="E0462Rahim BiswasMaleHRHR Business PartnerFull-timeChattogram4442363724E0479Sylhet"/>
        <s v="E0463Rahim BiswasMaleFinanceAccounts ExecutiveFull-timeChattogram42987173386E0089Sylhet"/>
        <s v="E0464Rashed JahanMaleMarketingGrowth MarketerFull-timeChattogram42623143282E0330Sylhet"/>
        <s v="E0465Rahim MahmudMaleCustomer SuccessCustomer Success ManagerContractDhaka44215173256E0361Sylhet"/>
        <s v="E0466Tania HasanMaleSalesSales AssociateContractRajshahi4279369789E0991Sylhet"/>
        <s v="E0467Rashed HaiderMaleProductSenior Product ManagerFull-timeRemote45691255591E0349Sylhet"/>
        <s v="E0468Ovi AminFemaleOperationsSupply Chain AnalystFull-timeDhaka4579998291Sylhet"/>
        <s v="E0469Rafi RasheedFemaleProductSenior Product ManagerFull-timeSylhet43776276368E0936Sylhet"/>
        <s v="E0470Noman AnjumMaleCustomer SuccessCustomer Success ManagerFull-timeSylhet45295158145E0649Sylhet"/>
        <s v="E0471Lamia IslamMaleEngineeringSenior Software EngineerFull-timeChattogram42715150348E0618Sylhet"/>
        <s v="E0472Shawon ParvinMaleCustomer SuccessCustomer Success ManagerFull-timeRajshahi44436120126E0560Sylhet"/>
        <s v="E0473Nadia ShahMaleEngineeringDevOps EngineerContractRajshahi45016184741E0839Sylhet"/>
        <s v="E0474Karim RahmanMaleOperationsSupply Chain AnalystFull-timeChattogram4307670447E0323Sylhet"/>
        <s v="E0475Shawon IslamMaleMarketingContent SpecialistFull-timeDhaka4253097284E0500Sylhet"/>
        <s v="E0476Jannat HaiderFemaleCustomer SuccessSupport SpecialistFull-timeChattogram43384106133E0453Sylhet"/>
        <s v="E0477Ayesha BanuFemaleEngineeringDevOps EngineerFull-timeChattogram45268174752E0376Sylhet"/>
        <s v="E0478Zahid ShahFemaleMarketingSEO SpecialistFull-timeDhaka44163119233E0469Sylhet"/>
        <s v="E0479Priya RahmanFemaleCustomer SuccessCustomer Success ManagerContractRemote4416972655E0141Sylhet"/>
        <s v="E0480Nadia SharminFemaleMarketingContent SpecialistFull-timeChattogram44516105709E0670Sylhet"/>
        <s v="E0481Nafiz IslamMaleHRHR ManagerContractSylhet44511180674E0334Sylhet"/>
        <s v="E0482Ayesha ChowdhuryMaleFinanceAccounts ExecutiveFull-timeSylhet44867149123E0649Sylhet"/>
        <s v="E0483Nafiz RahmanMaleSalesAccount ExecutiveContractRajshahi4302093524E0907Sylhet"/>
        <s v="E0484Tamanna MiahFemaleHRHR AssociateInternDhaka4386086132E0075Sylhet"/>
        <s v="E0485Esha RanaFemaleMarketingContent SpecialistFull-timeRajshahi4389776505E0210Sylhet"/>
        <s v="E0486Tania AkterFemaleCustomer SuccessSupport SpecialistInternChattogram43528122625E0686Sylhet"/>
        <s v="E0487Priya ChowdhuryMaleEngineeringSoftware EngineerFull-timeRemote4395693652E0241Sylhet"/>
        <s v="E0488Esha ParvinFemaleProductProduct ManagerFull-timeSylhet44044170512E0389Sylhet"/>
        <s v="E0489Karim FerdousMaleCustomer SuccessSupport SpecialistFull-timeSylhet4554266957E0449Sylhet"/>
        <s v="E0490Esha KhanFemaleOperationsSupply Chain AnalystFull-timeChattogram4375571348E0997Sylhet"/>
        <s v="E0491Tania BanuMaleSalesSales AssociateContractSylhet45150123353E0635Sylhet"/>
        <s v="E0492Priya RanaMaleHRRecruiterFull-timeChattogram4481882823E0456Sylhet"/>
        <s v="E0493Priya SarkerMaleProductProduct AnalystFull-timeChattogram42584244869E0167Sylhet"/>
        <s v="E0494Karim RanaMaleEngineeringJunior Software EngineerFull-timeDhaka45602143367E0121Sylhet"/>
        <s v="E0495Fahim KabirMaleSalesSenior Account ExecutiveFull-timeKhulna44954202730E0688Sylhet"/>
        <s v="E0496Shawon RanaFemaleSalesSenior Account ExecutiveFull-timeKhulna45021164041E0782Sylhet"/>
        <s v="E0497Esha JahanMaleMarketingGrowth MarketerFull-timeDhaka4374092112E0075Sylhet"/>
        <s v="E0498Ovi MahmudMaleEngineeringSenior Software EngineerFull-timeSylhet42639122792E0389Sylhet"/>
        <s v="E0499Shawon KhanMaleCustomer SuccessSupport SpecialistFull-timeRajshahi4372063704E0061Sylhet"/>
        <s v="E0500Ovi ParvinMaleCustomer SuccessCustomer Success ManagerFull-timeRemote42757134281E0479Sylhet"/>
        <s v="E0501Lamia IslamFemaleFinanceFinancial AnalystInternRajshahi4465578758E0023Sylhet"/>
        <s v="E0502Shawon FerdousMaleMarketingContent SpecialistFull-timeRajshahi45148116802E0545Sylhet"/>
        <s v="E0503Rashed HasanMaleProductProduct AnalystContractRemote43953119337E0080Sylhet"/>
        <s v="E0504Sadia RahmanFemaleOperationsOperations AssociateContractKhulna43533104488E0657Sylhet"/>
        <s v="E0505Sajid ChowdhuryMaleFinanceFinancial AnalystFull-timeSylhet43402131168E0686Sylhet"/>
        <s v="E0506Shawon HossainFemaleEngineeringSoftware EngineerFull-timeRajshahi45334154602E0383Sylhet"/>
        <s v="E0507Tania AlamMaleCustomer SuccessSupport SpecialistFull-timeRemote45858126712E0226Sylhet"/>
        <s v="E0508Shafiq SadiqMaleOperationsSupply Chain AnalystFull-timeSylhet4505981788E0449Sylhet"/>
        <s v="E0509Farhan ChowdhuryMaleCustomer SuccessSupport SpecialistFull-timeRemote4483891568E0122Sylhet"/>
        <s v="E0510Nabila UddinMaleFinanceSenior Financial AnalystFull-timeSylhet42985165555E0158Sylhet"/>
        <s v="E0511Lamia ChowdhuryMaleHRHR ManagerContractDhaka43735112094Sylhet"/>
        <s v="E0512Rafi SarkerMaleSalesSenior Account ExecutiveFull-timeRemote42703166948E0913Sylhet"/>
        <s v="E0513Zahid ParvinFemaleCustomer SuccessCustomer Success ManagerFull-timeKhulna4475665373E0927Sylhet"/>
        <s v="E0514Rahim IslamMaleOperationsOperations AssociateFull-timeRajshahi4508858569E0927Sylhet"/>
        <s v="E0515Tania RanaFemaleEngineeringJunior Software EngineerFull-timeRemote42949157572E0242Sylhet"/>
        <s v="E0516Noman HaiderFemaleEngineeringJunior Software EngineerFull-timeKhulna43802136343E0123Sylhet"/>
        <s v="E0517Priya MahmudMaleSalesSenior Account ExecutiveContractKhulna43640151280E0742Sylhet"/>
        <s v="E0518Sadia ChowdhuryMaleOperationsOperations ManagerFull-timeRajshahi45057135072E0640Sylhet"/>
        <s v="E0519Ayesha MorshedMaleCustomer SuccessSupport AssociateFull-timeDhaka4523094916E0665Sylhet"/>
        <s v="E0520Jannat HossainMaleEngineeringEngineering ManagerFull-timeKhulna45082161279E0954Sylhet"/>
        <s v="E0521Ayesha AhmedPrefer not to sayHRHR AssociateFull-timeChattogram43975117086E0545Sylhet"/>
        <s v="E0522Sumaiya ShahMaleSalesSales ManagerContractRemote42898114723E0559Sylhet"/>
        <s v="E0523Karim SharminFemaleCustomer SuccessSupport AssociateInternRemote4480793005E0349Sylhet"/>
        <s v="E0524Nafiz ParvinFemaleOperationsOperations AssociateFull-timeKhulna4527355063E0210Sylhet"/>
        <s v="E0525Tamanna MiahFemaleOperationsSupply Chain AnalystFull-timeDhaka4271760800E0449Sylhet"/>
        <s v="E0526Farhan SharminFemaleSalesSales AssociateFull-timeSylhet43638127247E0416Sylhet"/>
        <s v="E0527Rashed RanaFemaleSalesSales AssociateFull-timeRemote44659135545E0273Sylhet"/>
        <s v="E0528Sadia BanuMaleProductAssociate Product ManagerFull-timeSylhet43912322943Sylhet"/>
        <s v="E0529Nabila IslamMaleEngineeringDevOps EngineerFull-timeRemote45005168822E0801Sylhet"/>
        <s v="E0530Fahim IslamMaleOperationsSupply Chain AnalystFull-timeRajshahi45612162991E0349Sylhet"/>
        <s v="E0531Nafiz AlamMaleOperationsOperations AssociateContractRemote4371555182E0554Sylhet"/>
        <s v="E0532Mahin AkterFemaleCustomer SuccessSupport SpecialistFull-timeChattogram45700101249Sylhet"/>
        <s v="E0533Farhan SarkerFemaleCustomer SuccessCustomer Success ManagerFull-timeRemote42893139243E0801Sylhet"/>
        <s v="E0534Sumaiya SultanaMaleMarketingContent SpecialistFull-timeRemote45114158489E0012Sylhet"/>
        <s v="E0535Nabila RahmanFemaleFinanceFinancial AnalystFull-timeDhaka4524880148E0855Sylhet"/>
        <s v="E0536Priya ChowdhuryFemaleCustomer SuccessSupport AssociateContractSylhet45765119007E0214Sylhet"/>
        <s v="E0537Nabila BanuMaleOperationsOperations AssociateContractSylhet45396131744E0574Sylhet"/>
        <s v="E0538Priya HossainFemaleProductProduct ManagerFull-timeChattogram45177321281E0416Sylhet"/>
        <s v="E0539Nafiz FerdousFemaleSalesSales AssociateFull-timeChattogram44526113727E0445Sylhet"/>
        <s v="E0540Rashed MiahMaleEngineeringSenior Software EngineerFull-timeSylhet42752280400E0152Sylhet"/>
        <s v="E0541Arif KabirFemaleCustomer SuccessSupport SpecialistContractRemote45016102186E0682Sylhet"/>
        <s v="E0542Ayesha TalukderFemaleHRHR AssociateFull-timeKhulna4511688171E0371Sylhet"/>
        <s v="E0543Nadia HasanMaleProductAssociate Product ManagerFull-timeRajshahi44104271579E0075Sylhet"/>
        <s v="E0544Tania AminMaleFinanceAccounts ExecutiveFull-timeRajshahi44452167921E0224Sylhet"/>
        <s v="E0545Tania SultanaMaleHRHR ManagerFull-timeSylhet43852132186E0861Sylhet"/>
        <s v="E0546Arif AnjumFemaleSalesAccount ExecutiveFull-timeSylhet42444135670E0865Sylhet"/>
        <s v="E0547Sadia TalukderFemaleEngineeringDevOps EngineerFull-timeDhaka43855144190E0242Sylhet"/>
        <s v="E0548Mahin SarkerMaleFinanceFinancial AnalystFull-timeRajshahi43635198074E0782Sylhet"/>
        <s v="E0549Rafi SadiqFemaleMarketingMarketing AssociateFull-timeKhulna43108140744E0241Sylhet"/>
        <s v="E0550Nafiz RasheedMaleOperationsSupply Chain AnalystFull-timeRemote43247141122E0909Sylhet"/>
        <s v="E0551Fahim AlamFemaleMarketingMarketing ManagerFull-timeRemote43769157660Sylhet"/>
        <s v="E0552Rahim HasanFemaleOperationsSupply Chain AnalystFull-timeRajshahi4550854791E0104Sylhet"/>
        <s v="E0553Tania RanaMaleMarketingSEO SpecialistFull-timeDhaka44361144565E0657Sylhet"/>
        <s v="E0554Shafiq RasheedFemaleMarketingMarketing ManagerFull-timeChattogram43156118399E0749Sylhet"/>
        <s v="E0555Noman ShahFemaleOperationsOperations AssociateFull-timeRajshahi4329796262E0172Sylhet"/>
        <s v="E0556Jannat BanuFemaleSalesSales AssociateFull-timeSylhet42933120796E0142Sylhet"/>
        <s v="E0557Sumaiya ChowdhuryMaleEngineeringSenior Software EngineerInternSylhet43004239730Sylhet"/>
        <s v="E0558Ovi ShahNon-binaryEngineeringSoftware EngineerFull-timeSylhet42686185256E0167Sylhet"/>
        <s v="E0559Rahim RahmanFemaleFinanceFinance ManagerFull-timeSylhet43581253912E0249Sylhet"/>
        <s v="E0560Nafiz UddinMaleHRHR ManagerFull-timeRajshahi45828210488E0762Sylhet"/>
        <s v="E0561Tasnim HasanMaleFinanceFinancial AnalystFull-timeDhaka45598155423E0012Sylhet"/>
        <s v="E0562Farhan AlamMaleEngineeringSoftware EngineerContractChattogram42784100233E0142Sylhet"/>
        <s v="E0563Shawon SultanaMaleEngineeringDevOps EngineerFull-timeDhaka44449211477Sylhet"/>
        <s v="E0564Rashed MorshedMaleEngineeringSoftware EngineerFull-timeRajshahi45527224909E0425Sylhet"/>
        <s v="E0565Sadia AkterFemaleSalesSales ManagerFull-timeKhulna44580238998E0861Sylhet"/>
        <s v="E0566Rahim KhanFemaleMarketingContent SpecialistFull-timeDhaka45790150971E0368Sylhet"/>
        <s v="E0567Shawon RahmanMaleSalesSenior Account ExecutiveFull-timeRemote45395211829E0852Sylhet"/>
        <s v="E0568Zahid TalukderFemaleSalesSales AssociateFull-timeChattogram44526145287Sylhet"/>
        <s v="E0569Sumaiya ChowdhuryFemaleCustomer SuccessSupport SpecialistFull-timeChattogram4252458483Sylhet"/>
        <s v="E0570Rashed AhmedFemaleSalesAccount ExecutiveFull-timeKhulna45081101081E0141Sylhet"/>
        <s v="E0571Jannat AminFemaleMarketingGrowth MarketerFull-timeRemote4374989872Sylhet"/>
        <s v="E0572Tania HossainMaleOperationsOperations AssociateFull-timeRemote4550862383E0063Sylhet"/>
        <s v="E0573Tamanna SarkerFemaleSalesSenior Account ExecutiveFull-timeDhaka44901139985E0166Sylhet"/>
        <s v="E0574Shawon AkterFemaleHRHR ManagerInternKhulna42906102751E0897Sylhet"/>
        <s v="E0575Sajid ParvinMaleOperationsOperations AssociateFull-timeChattogram4481659718E0376Sylhet"/>
        <s v="E0576Shawon KabirFemaleCustomer SuccessSupport AssociateFull-timeChattogram4391356617E0111Sylhet"/>
        <s v="E0577Fahim JahanMaleEngineeringJunior Software EngineerContractSylhet4300178598E0756Sylhet"/>
        <s v="E0578Ovi MorshedMaleCustomer SuccessSupport SpecialistFull-timeKhulna43034101482E0828Sylhet"/>
        <s v="E0579Shawon SarkerMaleMarketingGrowth MarketerContractDhaka4311075797E0226Sylhet"/>
        <s v="E0580Sadia KhanFemaleProductAssociate Product ManagerFull-timeRemote45775243494E0025Sylhet"/>
        <s v="E0581Shawon SarkerMaleSalesSales AssociateFull-timeDhaka4520786634E0777Sylhet"/>
        <s v="E0582Tania SarkerFemaleCustomer SuccessSupport SpecialistFull-timeRemote4552872541E0543Sylhet"/>
        <s v="E0583Shawon KabirFemaleMarketingGrowth MarketerFull-timeSylhet44928156742E0190Sylhet"/>
        <s v="E0584Noman HasanMaleSalesAccount ExecutiveFull-timeKhulna45683155431E0719Sylhet"/>
        <s v="E0585Mitu MorshedFemaleHRHR ManagerFull-timeChattogram43048205608E0997Sylhet"/>
        <s v="E0586Nadia HossainMaleProductProduct AnalystFull-timeSylhet45323157460E0665Sylhet"/>
        <s v="E0587Jannat ParvinMaleEngineeringQA EngineerFull-timeRajshahi44162144619E0782Sylhet"/>
        <s v="E0588Jannat RahmanFemaleEngineeringSoftware EngineerFull-timeChattogram42548182892E0543Sylhet"/>
        <s v="E0589Tamanna KabirMaleEngineeringSoftware EngineerFull-timeChattogram44052171884E0488Sylhet"/>
        <s v="E0590Shafiq HasanMaleEngineeringQA EngineerFull-timeKhulna4386285557E0181Sylhet"/>
        <s v="E0591Zahid SultanaFemaleEngineeringQA EngineerContractKhulna45140125670E0053Sylhet"/>
        <s v="E0592Rafi ChowdhuryMaleHRHR ManagerFull-timeKhulna45317159972E0197Sylhet"/>
        <s v="E0593Mitu UddinMaleEngineeringJunior Software EngineerFull-timeRemote43342141698E0221Sylhet"/>
        <s v="E0594Shafiq AkterFemaleSalesSales AssociateFull-timeKhulna44189149831E0323Sylhet"/>
        <s v="E0595Shawon HasanMaleOperationsOperations ManagerFull-timeRajshahi44870186586Sylhet"/>
        <s v="E0596Nafiz UddinFemaleMarketingGrowth MarketerContractDhaka4353769151E0630Sylhet"/>
        <s v="E0597Imran HasanFemaleHRHR AssociateContractChattogram45451104195E0852Sylhet"/>
        <s v="E0598Shawon IslamMaleEngineeringJunior Software EngineerFull-timeRajshahi45436157968E0045Sylhet"/>
        <s v="E0599Rahim SharminMaleEngineeringJunior Software EngineerFull-timeDhaka45580198433E0736Sylhet"/>
        <s v="E0600Sajid RahmanFemaleEngineeringDevOps EngineerFull-timeRemote44208163236E0640Sylhet"/>
        <s v="E0601Imran IslamMaleEngineeringJunior Software EngineerContractRemote43328148806E0828Sylhet"/>
        <s v="E0602Tania AnjumFemaleProductAssociate Product ManagerContractDhaka44557175181Sylhet"/>
        <s v="E0603Rafi AkterMaleEngineeringSoftware EngineerFull-timeChattogram43349153747E0085Sylhet"/>
        <s v="E0604Farhan ChowdhuryFemaleEngineeringSoftware EngineerFull-timeKhulna43637170491E0334Sylhet"/>
        <s v="E0605Sadia BiswasFemaleEngineeringJunior Software EngineerContractRemote45682177297E0801Sylhet"/>
        <s v="E0606Nadia MorshedFemaleSalesAccount ExecutiveFull-timeChattogram4558264256E0055Sylhet"/>
        <s v="E0607Tasnim SultanaMaleEngineeringJunior Software EngineerInternSylhet44291171159E0144Sylhet"/>
        <s v="E0608Sumaiya RanaFemaleSalesSenior Account ExecutiveFull-timeRemote45790202406E0852Sylhet"/>
        <s v="E0609Rashed HaiderMaleMarketingMarketing AssociateFull-timeKhulna43164153772E0500Sylhet"/>
        <s v="E0610Priya MorshedMaleFinanceFinancial AnalystFull-timeChattogram43876133813E0585Sylhet"/>
        <s v="E0611Sumaiya ParvinFemaleEngineeringDevOps EngineerFull-timeKhulna45148228212E0797Sylhet"/>
        <s v="E0612Lamia AnjumMaleOperationsSupply Chain AnalystFull-timeRajshahi44706154087E0963Sylhet"/>
        <s v="E0613Nadia HossainFemaleHRRecruiterFull-timeRajshahi4417499530E0179Sylhet"/>
        <s v="E0614Farhan AnjumMaleEngineeringSoftware EngineerFull-timeDhaka44261105296Sylhet"/>
        <s v="E0615Mahin BanuMaleOperationsOperations AssociateContractDhaka4552176276E0772Sylhet"/>
        <s v="E0616Noman HasanMaleCustomer SuccessSupport SpecialistFull-timeSylhet4352468846E0968Sylhet"/>
        <s v="E0617Sajid BanuFemaleEngineeringEngineering ManagerContractRajshahi45557124898Sylhet"/>
        <s v="E0618Esha AkterMaleProductProduct ManagerFull-timeChattogram43934316684E0592Sylhet"/>
        <s v="E0619Imran AhmedFemaleOperationsSupply Chain AnalystFull-timeRemote44429104626E0742Sylhet"/>
        <s v="E0620Shawon KabirMaleFinanceSenior Financial AnalystFull-timeRajshahi44530254832E0602Sylhet"/>
        <s v="E0621Shawon AnjumMaleEngineeringSenior Software EngineerInternSylhet44084235691E0351Sylhet"/>
        <s v="E0622Nadia SarkerMaleEngineeringJunior Software EngineerFull-timeDhaka43033107528E0470Sylhet"/>
        <s v="E0623Shawon KabirMaleSalesAccount ExecutiveFull-timeRemote45715125443E0881Sylhet"/>
        <s v="E0624Sajid SarkerMaleMarketingMarketing ManagerInternKhulna43187229318E0917Sylhet"/>
        <s v="E0625Tamanna ShahMaleHRHR AssociateFull-timeKhulna4565169161E0062Sylhet"/>
        <s v="E0626Sajid IslamFemaleSalesSenior Account ExecutiveFull-timeChattogram44846162546E0456Sylhet"/>
        <s v="E0627Zahid ParvinMaleSalesSales AssociateContractSylhet42936113537E0239Sylhet"/>
        <s v="E0628Tamanna AhmedMaleFinanceFinancial AnalystFull-timeDhaka43394162823E0465Sylhet"/>
        <s v="E0629Farhan RahmanMaleEngineeringJunior Software EngineerFull-timeRajshahi42583156024Sylhet"/>
        <s v="E0630Rahim BanuFemaleProductAssociate Product ManagerContractRemote44996143628E0376Sylhet"/>
        <s v="E0631Shawon SadiqNon-binaryFinanceSenior Financial AnalystFull-timeRemote44338250336E0955Sylhet"/>
        <s v="E0632Mahin RahmanMaleOperationsOperations AssociateFull-timeRajshahi43890126833Sylhet"/>
        <s v="E0633Farhan AminMaleMarketingGrowth MarketerFull-timeKhulna4464198625E0831Sylhet"/>
        <s v="E0634Mitu BanuMaleMarketingSEO SpecialistFull-timeChattogram42790181577E0314Sylhet"/>
        <s v="E0635Rashed RanaMaleEngineeringEngineering ManagerInternSylhet45283264639E0688Sylhet"/>
        <s v="E0636Nabila FerdousMaleSalesSales AssociateFull-timeDhaka4583449291E0871Sylhet"/>
        <s v="E0637Tania AkterMaleMarketingContent SpecialistFull-timeKhulna44483128115E0545Sylhet"/>
        <s v="E0638Jannat SarkerMaleProductProduct AnalystContractKhulna45856188148E0816Sylhet"/>
        <s v="E0639Karim TalukderMaleProductSenior Product ManagerFull-timeDhaka42880138471E0656Sylhet"/>
        <s v="E0640Sadia AhmedMaleSalesSales ManagerFull-timeRemote43537133251E0407Sylhet"/>
        <s v="E0641Nabila JahanNon-binaryEngineeringSenior Software EngineerFull-timeRajshahi42713229364E0104Sylhet"/>
        <s v="E0642Farhan HasanFemaleSalesSales ManagerFull-timeRajshahi45495135297Sylhet"/>
        <s v="E0643Shafiq UddinFemaleEngineeringSenior Software EngineerFull-timeDhaka43026215631E0049Sylhet"/>
        <s v="E0644Tasnim SarkerMaleSalesSenior Account ExecutiveFull-timeChattogram43487125647E0122Sylhet"/>
        <s v="E0645Nafiz HossainFemaleEngineeringJunior Software EngineerFull-timeKhulna44210129283E0025Sylhet"/>
        <s v="E0646Ayesha BanuMaleOperationsOperations ManagerFull-timeChattogram44472144222E0500Sylhet"/>
        <s v="E0647Ovi MiahFemaleHRHR AssociateFull-timeRemote4297398071E0025Sylhet"/>
        <s v="E0648Sumaiya SharminFemaleFinanceFinance ManagerFull-timeRajshahi45773198142E0893Sylhet"/>
        <s v="E0649Rafi AnjumMaleOperationsOperations ManagerFull-timeSylhet44161143186E0511Sylhet"/>
        <s v="E0650Sajid JahanMaleMarketingSEO SpecialistFull-timeSylhet42745107440E0745Sylhet"/>
        <s v="E0651Sajid AhmedMaleEngineeringJunior Software EngineerFull-timeSylhet43279139534E0051Sylhet"/>
        <s v="E0652Rafi AkterMaleMarketingContent SpecialistFull-timeChattogram45715140432E0648Sylhet"/>
        <s v="E0653Sadia IslamFemaleMarketingContent SpecialistFull-timeSylhet44217163230E0013Sylhet"/>
        <s v="E0654Noman SharminMaleFinanceFinancial AnalystFull-timeKhulna43801116495E0190Sylhet"/>
        <s v="E0655Mitu ChowdhuryFemaleSalesSales AssociateFull-timeKhulna42479129832E0990Sylhet"/>
        <s v="E0656Rashed AnjumMaleEngineeringEngineering ManagerFull-timeSylhet44069156323E0075Sylhet"/>
        <s v="E0657Arif HaiderMaleProductAssociate Product ManagerFull-timeDhaka42588284958E0672Sylhet"/>
        <s v="E0658Rafi SharminFemaleSalesAccount ExecutiveFull-timeRajshahi43993189635Sylhet"/>
        <s v="E0659Nafiz AhmedMaleHRRecruiterFull-timeRajshahi44426101750E0997Sylhet"/>
        <s v="E0660Noman HaiderMaleMarketingContent SpecialistFull-timeRemote43901129219E0874Sylhet"/>
        <s v="E0661Karim MahmudFemaleSalesSenior Account ExecutiveFull-timeSylhet43335223274E0755Sylhet"/>
        <s v="E0662Tamanna SharminMaleCustomer SuccessSupport SpecialistFull-timeRajshahi4395168587Sylhet"/>
        <s v="E0663Shawon AminPrefer not to sayHRHR ManagerFull-timeRajshahi42704140584E0551Sylhet"/>
        <s v="E0664Rahim MiahMaleProductAssociate Product ManagerFull-timeChattogram43905219962Sylhet"/>
        <s v="E0665Farhan SadiqFemaleEngineeringEngineering ManagerFull-timeDhaka43289115007Sylhet"/>
        <s v="E0666Imran SharminFemaleEngineeringDevOps EngineerFull-timeDhaka42485214063E0197Sylhet"/>
        <s v="E0667Priya TalukderFemaleProductProduct AnalystFull-timeRemote43675185866E0089Sylhet"/>
        <s v="E0668Sajid RanaMaleEngineeringEngineering ManagerFull-timeRajshahi42775152869E0214Sylhet"/>
        <s v="E0669Fahim RanaMaleEngineeringJunior Software EngineerFull-timeRemote4580798911E0172Sylhet"/>
        <s v="E0670Ovi HossainMaleProductSenior Product ManagerFull-timeChattogram45297220530E0688Sylhet"/>
        <s v="E0671Priya MorshedMaleEngineeringSoftware EngineerContractKhulna45032173326E0664Sylhet"/>
        <s v="E0672Shawon JahanFemaleOperationsOperations ManagerContractRemote43743202760E0585Sylhet"/>
        <s v="E0673Zahid RahmanPrefer not to sayEngineeringDevOps EngineerInternChattogram45611163043E0420Sylhet"/>
        <s v="E0674Mahin ShahMaleMarketingSEO SpecialistFull-timeDhaka42968111351E0816Sylhet"/>
        <s v="E0675Ovi UddinFemaleSalesSenior Account ExecutiveFull-timeKhulna42933226302E0357Sylhet"/>
        <s v="E0676Tamanna RahmanFemaleCustomer SuccessSupport AssociateFull-timeRemote4252666924E0745Sylhet"/>
        <s v="E0677Tania MahmudFemaleEngineeringJunior Software EngineerFull-timeKhulna43545105800E0955Sylhet"/>
        <s v="E0678Arif AkterFemaleSalesAccount ExecutiveFull-timeKhulna4576896400E0852Sylhet"/>
        <s v="E0679Priya RahmanMaleCustomer SuccessSupport AssociateFull-timeRajshahi44305108900E0396Sylhet"/>
        <s v="E0680Arif UddinMaleOperationsSupply Chain AnalystFull-timeRajshahi45221101913E0687Sylhet"/>
        <s v="E0681Sumaiya HaiderFemaleOperationsOperations AssociateFull-timeKhulna4577487577E0642Sylhet"/>
        <s v="E0682Lamia SharminMaleProductSenior Product ManagerFull-timeKhulna42938211968E0356Sylhet"/>
        <s v="E0683Karim TalukderMaleEngineeringQA EngineerFull-timeRajshahi45478201850E0574Sylhet"/>
        <s v="E0684Nabila SadiqMaleHRHR ManagerFull-timeRemote45259114025E0323Sylhet"/>
        <s v="E0685Fahim IslamMaleCustomer SuccessSupport AssociateFull-timeChattogram44291121728E0416Sylhet"/>
        <s v="E0686Shawon SarkerMaleMarketingMarketing ManagerFull-timeSylhet44207230250E0441Sylhet"/>
        <s v="E0687Lamia KhanFemaleMarketingMarketing ManagerFull-timeSylhet44890145443E0314Sylhet"/>
        <s v="E0688Nafiz BanuMaleProductAssociate Product ManagerFull-timeDhaka42391344942E0595Sylhet"/>
        <s v="E0689Shawon SadiqMaleFinanceSenior Financial AnalystFull-timeKhulna42694230193E0371Sylhet"/>
        <s v="E0690Sajid AnjumFemaleEngineeringQA EngineerFull-timeRajshahi42447104109E0990Sylhet"/>
        <s v="E0691Nabila HasanFemaleSalesSales AssociateFull-timeChattogram43418123664E0361Sylhet"/>
        <s v="E0692Sadia JahanMaleSalesAccount ExecutiveContractKhulna4325379430E0453Sylhet"/>
        <s v="E0693Sadia SarkerFemaleMarketingContent SpecialistFull-timeChattogram45790156229E0003Sylhet"/>
        <s v="E0694Shawon UddinFemaleProductProduct AnalystFull-timeRajshahi42982121916E0249Sylhet"/>
        <s v="E0695Tamanna AlamFemaleEngineeringSoftware EngineerFull-timeKhulna44617208355E0538Sylhet"/>
        <s v="E0696Mahin RasheedFemaleHRHR AssociateFull-timeRemote4534897862E0956Sylhet"/>
        <s v="E0697Farhan AlamFemaleProductProduct AnalystFull-timeKhulna44863130480E0272Sylhet"/>
        <s v="E0698Rahim HossainFemaleMarketingMarketing AssociateFull-timeRajshahi4453159947E0196Sylhet"/>
        <s v="E0699Arif UddinMaleEngineeringEngineering ManagerContractRemote44103296169E0019Sylhet"/>
        <s v="E0700Rafi BanuMaleMarketingGrowth MarketerInternRemote42825110392E0736Sylhet"/>
        <s v="E0701Mahin AminFemaleMarketingMarketing ManagerFull-timeRemote45549234854E0989Sylhet"/>
        <s v="E0702Esha KhanFemaleEngineeringSoftware EngineerFull-timeChattogram4355086771E0585Sylhet"/>
        <s v="E0703Jannat SharminFemaleSalesAccount ExecutiveContractDhaka43343152242E0617Sylhet"/>
        <s v="E0704Lamia RasheedMaleEngineeringSenior Software EngineerFull-timeDhaka43603246659E0037Sylhet"/>
        <s v="E0705Esha TalukderMaleEngineeringSoftware EngineerFull-timeChattogram42869176602E0144Sylhet"/>
        <s v="E0706Tamanna MiahMaleCustomer SuccessSupport AssociateInternKhulna4256591420E0365Sylhet"/>
        <s v="E0707Rafi SultanaFemaleSalesSenior Account ExecutiveInternKhulna43346117598E0226Sylhet"/>
        <s v="E0708Arif RanaFemaleOperationsOperations AssociateFull-timeChattogram44089124911E0866Sylhet"/>
        <s v="E0709Ovi SharminMaleProductProduct ManagerFull-timeKhulna44987171022E0617Sylhet"/>
        <s v="E0710Rashed MorshedMaleFinanceSenior Financial AnalystFull-timeSylhet45621219044E0980Sylhet"/>
        <s v="E0711Karim HasanFemaleFinanceAccounts ExecutiveFull-timeDhaka44921112993E0065Sylhet"/>
        <s v="E0712Tamanna MorshedFemaleHRHR AssociateFull-timeSylhet4424290401E0852Sylhet"/>
        <s v="E0713Rafi HossainFemaleMarketingSEO SpecialistFull-timeKhulna4262774498E0500Sylhet"/>
        <s v="E0714Karim MahmudMaleSalesAccount ExecutiveFull-timeChattogram42824189759E0736Sylhet"/>
        <s v="E0715Tamanna ChowdhuryMaleSalesSales AssociateFull-timeKhulna4579793826E0871Sylhet"/>
        <s v="E0716Tasnim HossainMaleCustomer SuccessCustomer Success ManagerFull-timeChattogram44417171523E0640Sylhet"/>
        <s v="E0717Tania ChowdhuryMaleOperationsOperations AssociateFull-timeChattogram4481489249E0037Sylhet"/>
        <s v="E0718Imran KhanMaleCustomer SuccessSupport SpecialistFull-timeChattogram4456548538E0618Sylhet"/>
        <s v="E0719Nabila IslamMaleEngineeringEngineering ManagerFull-timeRemote42437122096E0845Sylhet"/>
        <s v="E0720Jannat IslamMaleFinanceAccounts ExecutiveFull-timeSylhet4495878350Sylhet"/>
        <s v="E0721Noman HasanMaleCustomer SuccessSupport AssociateFull-timeRemote44480109085E0351Sylhet"/>
        <s v="E0722Mahin HaiderFemaleEngineeringJunior Software EngineerContractRajshahi44725112504E0445Sylhet"/>
        <s v="E0723Ayesha MiahFemaleEngineeringSoftware EngineerFull-timeRemote43360140797E0927Sylhet"/>
        <s v="E0724Farhan RasheedFemaleFinanceAccounts ExecutiveFull-timeDhaka45313131619E0828Sylhet"/>
        <s v="E0725Lamia ShahFemaleMarketingSEO SpecialistFull-timeRemote42958173103E0686Sylhet"/>
        <s v="E0726Shafiq BanuPrefer not to sayOperationsOperations AssociateFull-timeRajshahi4356392825E0990Sylhet"/>
        <s v="E0727Arif KabirFemaleEngineeringSenior Software EngineerFull-timeRemote44128290782Sylhet"/>
        <s v="E0728Rafi JahanMaleOperationsOperations ManagerFull-timeSylhet42376120139E0376Sylhet"/>
        <s v="E0729Nafiz AhmedMaleEngineeringDevOps EngineerFull-timeChattogram44888144862Sylhet"/>
        <s v="E0730Tasnim HasanFemaleEngineeringSenior Software EngineerFull-timeDhaka43815201682E0310Sylhet"/>
        <s v="E0731Karim AhmedMaleEngineeringSoftware EngineerFull-timeRemote43355197277E0142Sylhet"/>
        <s v="E0732Noman RanaFemaleOperationsSupply Chain AnalystFull-timeDhaka44707135986E0742Sylhet"/>
        <s v="E0733Nadia FerdousFemaleHRRecruiterFull-timeChattogram4407656897E0051Sylhet"/>
        <s v="E0734Mahin HaiderMaleMarketingContent SpecialistFull-timeSylhet43137155461E0387Sylhet"/>
        <s v="E0735Shawon KabirFemaleSalesSales AssociateFull-timeRajshahi4509167760E0786Sylhet"/>
        <s v="E0736Sajid BiswasFemaleOperationsOperations ManagerFull-timeRemote45107180002E0522Sylhet"/>
        <s v="E0737Nafiz HaiderMaleSalesAccount ExecutiveFull-timeSylhet42720134875Sylhet"/>
        <s v="E0738Rashed BiswasMaleOperationsOperations AssociateInternChattogram4451468992E0849Sylhet"/>
        <s v="E0739Jannat ParvinMaleSalesAccount ExecutiveFull-timeKhulna43847154293E0122Sylhet"/>
        <s v="E0740Ovi SharminMaleSalesAccount ExecutiveFull-timeKhulna4264791470E0479Sylhet"/>
        <s v="E0741Mahin FerdousFemaleSalesSales ManagerFull-timeSylhet44524179692E0051Sylhet"/>
        <s v="E0742Lamia AkterFemaleProductProduct ManagerContractRajshahi44598182793E0239Sylhet"/>
        <s v="E0743Rafi MiahMaleFinanceSenior Financial AnalystFull-timeChattogram44448125899Sylhet"/>
        <s v="E0744Sajid IslamFemaleMarketingMarketing AssociateFull-timeRajshahi4559173942E0831Sylhet"/>
        <s v="E0745Tamanna RanaMaleProductAssociate Product ManagerFull-timeDhaka44449264211E0816Sylhet"/>
        <s v="E0746Tasnim ChowdhuryFemaleOperationsSupply Chain AnalystFull-timeChattogram4463998638E0592Sylhet"/>
        <s v="E0747Rashed AlamFemaleSalesSales AssociateContractKhulna42453154415E0389Sylhet"/>
        <s v="E0748Nadia BanuFemaleMarketingContent SpecialistFull-timeChattogram4396974270E0181Sylhet"/>
        <s v="E0749Arif MiahMaleCustomer SuccessCustomer Success ManagerFull-timeKhulna4429564708E0780Sylhet"/>
        <s v="E0750Sadia AnjumMaleHRHR AssociateFull-timeSylhet4254850950E0225Sylhet"/>
        <s v="E0751Rahim IslamMaleEngineeringSenior Software EngineerFull-timeKhulna44973251186Sylhet"/>
        <s v="E0752Arif MiahNon-binaryCustomer SuccessSupport AssociateFull-timeDhaka4395450074E0314Sylhet"/>
        <s v="E0753Rafi ChowdhuryMaleHRHR AssociateFull-timeRajshahi4389998914E0618Sylhet"/>
        <s v="E0754Priya ShahMaleSalesSales AssociateFull-timeRajshahi43408151850Sylhet"/>
        <s v="E0755Sumaiya SharminNon-binaryEngineeringEngineering ManagerFull-timeSylhet45431150316E0426Sylhet"/>
        <s v="E0756Lamia MiahFemaleOperationsOperations ManagerInternRemote42436117567E0172Sylhet"/>
        <s v="E0757Sumaiya ChowdhuryMaleHRHR ManagerFull-timeSylhet43832101630E0640Sylhet"/>
        <s v="E0758Esha SharminMaleMarketingContent SpecialistFull-timeDhaka45599124782E0828Sylhet"/>
        <s v="E0759Nabila MorshedMaleOperationsOperations AssociateFull-timeChattogram4264662160E0351Sylhet"/>
        <s v="E0760Ovi RanaMaleOperationsSupply Chain AnalystInternSylhet43782128604E0861Sylhet"/>
        <s v="E0761Shafiq ChowdhuryFemaleEngineeringSenior Software EngineerFull-timeDhaka43357138156E0141Sylhet"/>
        <s v="E0762Nadia KhanFemaleProductSenior Product ManagerFull-timeChattogram45372131666E0990Sylhet"/>
        <s v="E0763Rahim BiswasFemaleProductProduct AnalystFull-timeKhulna45061181764E0184Sylhet"/>
        <s v="E0764Sajid IslamMaleFinanceFinancial AnalystFull-timeChattogram44943156370E0144Sylhet"/>
        <s v="E0765Rafi AlamMaleEngineeringJunior Software EngineerFull-timeKhulna42794154905E0909Sylhet"/>
        <s v="E0766Arif ChowdhuryFemaleMarketingContent SpecialistFull-timeRajshahi4553064730Sylhet"/>
        <s v="E0767Fahim TalukderMaleFinanceSenior Financial AnalystFull-timeChattogram44753198501E0225Sylhet"/>
        <s v="E0768Nabila RahmanFemaleOperationsSupply Chain AnalystFull-timeKhulna4538182662E0990Sylhet"/>
        <s v="E0769Ovi BiswasMaleSalesAccount ExecutiveFull-timeSylhet45469148154E0882Sylhet"/>
        <s v="E0770Arif IslamNon-binaryOperationsSupply Chain AnalystFull-timeDhaka43731139764E0013Sylhet"/>
        <s v="E0771Arif AkterFemaleEngineeringSenior Software EngineerFull-timeSylhet42916280370E0861Sylhet"/>
        <s v="E0772Lamia ChowdhuryMaleOperationsOperations ManagerFull-timeRajshahi4255185715E0456Sylhet"/>
        <s v="E0773Lamia MiahMaleEngineeringDevOps EngineerFull-timeChattogram43813149792E0325Sylhet"/>
        <s v="E0774Tania ShahFemaleSalesSales ManagerFull-timeKhulna4460690066E0559Sylhet"/>
        <s v="E0775Ayesha MahmudFemaleOperationsOperations ManagerFull-timeChattogram43756209353E0565Sylhet"/>
        <s v="E0776Zahid BanuMaleEngineeringSoftware EngineerFull-timeChattogram4570293583E0237Sylhet"/>
        <s v="E0777Sadia IslamPrefer not to sayProductProduct ManagerInternKhulna45002273469E0663Sylhet"/>
        <s v="E0778Rafi ShahFemaleFinanceFinancial AnalystFull-timeRajshahi4308792989E0132Sylhet"/>
        <s v="E0779Shawon IslamMaleFinanceAccounts ExecutiveContractSylhet45771191081E0701Sylhet"/>
        <s v="E0780Ayesha JahanMaleHRHR ManagerFull-timeRemote45561146560Sylhet"/>
        <s v="E0781Lamia AminFemaleFinanceAccounts ExecutiveFull-timeRemote45174151301E0688Sylhet"/>
        <s v="E0782Shawon HaiderMaleMarketingMarketing ManagerFull-timeSylhet44273217008E0231Sylhet"/>
        <s v="E0783Nabila MiahFemaleProductAssociate Product ManagerFull-timeRemote45218134842E0249Sylhet"/>
        <s v="E0784Jannat MorshedMaleSalesSenior Account ExecutiveFull-timeSylhet44330173458E0742Sylhet"/>
        <s v="E0785Tasnim SadiqMaleEngineeringQA EngineerFull-timeChattogram44957163741E0053Sylhet"/>
        <s v="E0786Sajid RasheedFemaleCustomer SuccessCustomer Success ManagerFull-timeRemote4311693910E0012Sylhet"/>
        <s v="E0787Shafiq RanaNon-binaryMarketingGrowth MarketerFull-timeRemote45693129991Sylhet"/>
        <s v="E0788Sajid JahanMaleSalesSenior Account ExecutiveFull-timeSylhet42922144722E0688Sylhet"/>
        <s v="E0789Zahid ShahFemaleSalesSales AssociateFull-timeChattogram42628112327E0687Sylhet"/>
        <s v="E0790Rafi BiswasMaleCustomer SuccessSupport SpecialistFull-timeKhulna4530268406E0103Sylhet"/>
        <s v="E0791Nabila KhanFemaleEngineeringJunior Software EngineerFull-timeDhaka45549187804Sylhet"/>
        <s v="E0792Shawon BanuMaleMarketingSEO SpecialistContractKhulna44244175256E0684Sylhet"/>
        <s v="E0793Tamanna RahmanFemaleMarketingGrowth MarketerFull-timeRajshahi42521149101E0376Sylhet"/>
        <s v="E0794Shafiq RasheedFemaleHRHR Business PartnerFull-timeChattogram4357164223E0755Sylhet"/>
        <s v="E0795Lamia KhanMaleEngineeringJunior Software EngineerFull-timeSylhet43195103668Sylhet"/>
        <s v="E0796Tasnim AhmedFemaleOperationsOperations AssociateInternRajshahi4254998984E0917Sylhet"/>
        <s v="E0797Mitu SultanaMaleCustomer SuccessCustomer Success ManagerFull-timeDhaka4561096703E0081Sylhet"/>
        <s v="E0798Esha SarkerFemaleMarketingMarketing AssociateFull-timeRemote4318756576E0520Sylhet"/>
        <s v="E0799Rafi UddinMaleFinanceAccounts ExecutiveFull-timeChattogram42541160461E0592Sylhet"/>
        <s v="E0800Karim BiswasFemaleCustomer SuccessSupport AssociateFull-timeRajshahi4366286429E0019Sylhet"/>
        <s v="E0801Rahim SultanaMaleFinanceFinance ManagerContractDhaka43640121309Sylhet"/>
        <s v="E0802Nafiz HasanMaleEngineeringQA EngineerFull-timeRemote44481128635E0278Sylhet"/>
        <s v="E0803Sajid AminFemaleMarketingContent SpecialistFull-timeRajshahi44001135705E0387Sylhet"/>
        <s v="E0804Nadia RanaPrefer not to sayHRRecruiterFull-timeRajshahi4570980489E0016Sylhet"/>
        <s v="E0805Zahid SadiqMaleSalesAccount ExecutiveFull-timeDhaka44594101359E0356Sylhet"/>
        <s v="E0806Imran HasanMaleFinanceSenior Financial AnalystFull-timeKhulna44309196965E0273Sylhet"/>
        <s v="E0807Ayesha HossainMaleCustomer SuccessSupport SpecialistFull-timeSylhet4340787246E0520Sylhet"/>
        <s v="E0808Lamia AnjumMaleCustomer SuccessSupport AssociateFull-timeSylhet4251957975E0055Sylhet"/>
        <s v="E0809Rafi RasheedFemaleSalesSales AssociateFull-timeRajshahi45455148174E0938Sylhet"/>
        <s v="E0810Ovi HossainMaleEngineeringJunior Software EngineerFull-timeSylhet45019102328E0870Sylhet"/>
        <s v="E0811Mahin MahmudMaleCustomer SuccessSupport SpecialistFull-timeDhaka4315276816E0585Sylhet"/>
        <s v="E0812Fahim BanuMaleOperationsOperations ManagerFull-timeKhulna43541153074E0199Sylhet"/>
        <s v="E0813Shawon SultanaMaleEngineeringSoftware EngineerFull-timeRajshahi43832120062E0965Sylhet"/>
        <s v="E0814Priya AminFemaleCustomer SuccessSupport AssociateFull-timeChattogram4590198793E0125Sylhet"/>
        <s v="E0815Rahim ShahFemaleOperationsOperations AssociateFull-timeRajshahi4556862931Sylhet"/>
        <s v="E0816Ovi UddinMaleMarketingMarketing ManagerFull-timeRajshahi42565138080E0716Sylhet"/>
        <s v="E0817Mitu IslamFemaleHRRecruiterFull-timeChattogram45055113462E0664Sylhet"/>
        <s v="E0818Nabila AnjumMaleSalesSenior Account ExecutiveContractRajshahi43729197390E0420Sylhet"/>
        <s v="E0819Farhan UddinFemaleEngineeringQA EngineerFull-timeDhaka43489152107E0144Sylhet"/>
        <s v="E0820Mitu UddinFemaleSalesAccount ExecutiveFull-timeKhulna4287997743E0302Sylhet"/>
        <s v="E0821Ayesha MiahFemaleOperationsOperations AssociateFull-timeDhaka45644134335E0325Sylhet"/>
        <s v="E0822Arif UddinMaleEngineeringJunior Software EngineerFull-timeKhulna43877169541E0122Sylhet"/>
        <s v="E0823Tasnim AkterFemaleSalesSenior Account ExecutiveContractDhaka44159138411E0125Sylhet"/>
        <s v="E0824Noman TalukderFemaleSalesSenior Account ExecutiveFull-timeDhaka44008233575E0728Sylhet"/>
        <s v="E0825Karim HasanNon-binaryMarketingGrowth MarketerFull-timeDhaka4541477744E0913Sylhet"/>
        <s v="E0826Shawon MorshedMaleCustomer SuccessSupport SpecialistFull-timeChattogram4417166009E0736Sylhet"/>
        <s v="E0827Rafi JahanMaleSalesSales AssociateFull-timeChattogram43953163219E0545Sylhet"/>
        <s v="E0828Farhan RanaMaleSalesSales ManagerFull-timeChattogram43758222625E0441Sylhet"/>
        <s v="E0829Rafi MiahFemaleFinanceSenior Financial AnalystFull-timeRajshahi43135286329E0828Sylhet"/>
        <s v="E0830Sumaiya RanaFemaleSalesAccount ExecutiveContractChattogram4440273250E0991Sylhet"/>
        <s v="E0831Shawon MorshedFemaleProductSenior Product ManagerFull-timeKhulna45204261849E0150Sylhet"/>
        <s v="E0832Farhan JahanMaleSalesSenior Account ExecutiveFull-timeChattogram44407199928E0585Sylhet"/>
        <s v="E0833Tamanna KabirMaleEngineeringSenior Software EngineerFull-timeDhaka43874292571E0762Sylhet"/>
        <s v="E0834Shafiq FerdousMaleEngineeringQA EngineerFull-timeSylhet45635118097E0310Sylhet"/>
        <s v="E0835Sajid SultanaFemaleMarketingSEO SpecialistFull-timeChattogram44496162297E0141Sylhet"/>
        <s v="E0836Karim IslamMaleSalesSenior Account ExecutiveFull-timeRemote43462139606E0812Sylhet"/>
        <s v="E0837Fahim MiahFemaleCustomer SuccessSupport AssociateFull-timeChattogram45651112331E0416Sylhet"/>
        <s v="E0838Jannat AnjumMaleSalesAccount ExecutiveFull-timeDhaka42708124819E0273Sylhet"/>
        <s v="E0839Mahin BiswasMaleMarketingMarketing ManagerFull-timeKhulna45348164021E0997Sylhet"/>
        <s v="E0840Karim ShahFemaleHRHR AssociateFull-timeRemote4410887187E0670Sylhet"/>
        <s v="E0841Sajid SadiqMaleEngineeringSoftware EngineerFull-timeRemote42693176530E0243Sylhet"/>
        <s v="E0842Mitu HossainFemaleHRRecruiterFull-timeKhulna4413368510E0172Sylhet"/>
        <s v="E0843Ayesha KabirFemaleEngineeringSoftware EngineerFull-timeDhaka44837221794E0167Sylhet"/>
        <s v="E0844Nafiz ShahFemaleCustomer SuccessSupport SpecialistFull-timeDhaka4573850021Sylhet"/>
        <s v="E0845Imran KabirFemaleEngineeringEngineering ManagerFull-timeRajshahi43109192891E0656Sylhet"/>
        <s v="E0846Sumaiya TalukderFemaleSalesSales AssociateFull-timeKhulna4460491390E0602Sylhet"/>
        <s v="E0847Rafi SharminMaleEngineeringJunior Software EngineerFull-timeDhaka43573171843E0640Sylhet"/>
        <s v="E0848Sajid SadiqMaleCustomer SuccessSupport AssociateFull-timeChattogram43685109974E0728Sylhet"/>
        <s v="E0849Zahid IslamFemaleMarketingMarketing ManagerFull-timeChattogram42790115083Sylhet"/>
        <s v="E0850Fahim ChowdhuryFemaleHRHR Business PartnerInternRemote4269757385Sylhet"/>
        <s v="E0851Esha MahmudFemaleEngineeringSoftware EngineerFull-timeChattogram43713206117E0123Sylhet"/>
        <s v="E0852Tasnim TalukderMaleFinanceFinance ManagerFull-timeSylhet45077237253E0646Sylhet"/>
        <s v="E0853Jannat RahmanMaleEngineeringDevOps EngineerFull-timeDhaka43580154315E0684Sylhet"/>
        <s v="E0854Esha FerdousFemaleOperationsOperations ManagerFull-timeChattogram43625198624E0912Sylhet"/>
        <s v="E0855Tasnim FerdousFemaleEngineeringEngineering ManagerFull-timeDhaka44196183621E0479Sylhet"/>
        <s v="E0856Sajid MiahPrefer not to sayEngineeringSoftware EngineerFull-timeChattogram44838119454E0179Sylhet"/>
        <s v="E0857Jannat TalukderFemaleEngineeringQA EngineerFull-timeKhulna45309220349E0407Sylhet"/>
        <s v="E0858Shawon AkterMaleMarketingContent SpecialistFull-timeChattogram44115106040E0013Sylhet"/>
        <s v="E0859Nadia AhmedMaleMarketingSEO SpecialistFull-timeKhulna43052131677E0416Sylhet"/>
        <s v="E0860Rashed AhmedFemaleEngineeringQA EngineerFull-timeDhaka45195190765E0701Sylhet"/>
        <s v="E0861Shafiq AlamFemaleOperationsOperations ManagerInternKhulna44188104645E0797Sylhet"/>
        <s v="E0862Tasnim HaiderMaleSalesSenior Account ExecutiveFull-timeDhaka43809224247E0161Sylhet"/>
        <s v="E0863Esha HaiderFemaleMarketingMarketing AssociateFull-timeRemote44201107673E0448Sylhet"/>
        <s v="E0864Jannat KhanFemaleSalesAccount ExecutiveFull-timeRajshahi42543164002E0511Sylhet"/>
        <s v="E0865Nafiz RasheedMaleSalesSales ManagerFull-timeChattogram4534789730E0927Sylhet"/>
        <s v="E0866Tamanna MiahFemaleMarketingMarketing ManagerContractSylhet43814196595E0226Sylhet"/>
        <s v="E0867Farhan ChowdhuryMaleEngineeringJunior Software EngineerFull-timeSylhet44888157668E0831Sylhet"/>
        <s v="E0868Jannat ShahMaleEngineeringJunior Software EngineerFull-timeRajshahi4415192728Sylhet"/>
        <s v="E0869Nabila HaiderMaleOperationsOperations AssociateFull-timeRemote4349499636E0376Sylhet"/>
        <s v="E0870Nadia AhmedMaleCustomer SuccessCustomer Success ManagerFull-timeDhaka44989162213E0387Sylhet"/>
        <s v="E0871Tania SadiqFemaleSalesSales ManagerFull-timeKhulna45611119877E0782Sylhet"/>
        <s v="E0872Imran BanuFemaleProductProduct AnalystFull-timeChattogram42604182719E0559Sylhet"/>
        <s v="E0873Karim SultanaMaleHRRecruiterFull-timeSylhet4267788094E0938Sylhet"/>
        <s v="E0874Shawon UddinMaleSalesSales ManagerFull-timeRemote45119290910E0037Sylhet"/>
        <s v="E0875Sajid BanuFemaleEngineeringQA EngineerFull-timeChattogram44981120440E0456Sylhet"/>
        <s v="E0876Sajid KabirFemaleEngineeringSenior Software EngineerFull-timeSylhet44033282635E0938Sylhet"/>
        <s v="E0877Noman AlamMaleFinanceSenior Financial AnalystFull-timeRemote43858197092Sylhet"/>
        <s v="E0878Nafiz RasheedFemaleHRRecruiterFull-timeKhulna4447159548E0538Sylhet"/>
        <s v="E0879Jannat SharminMaleEngineeringSoftware EngineerFull-timeRajshahi45651104355E0777Sylhet"/>
        <s v="E0880Esha KhanMaleProductAssociate Product ManagerFull-timeKhulna45441170251Sylhet"/>
        <s v="E0881Arif AminMaleProductProduct ManagerFull-timeDhaka45152139832E0812Sylhet"/>
        <s v="E0882Shawon ParvinMaleFinanceFinance ManagerContractKhulna43025266975E0051Sylhet"/>
        <s v="E0883Ayesha AnjumMaleEngineeringQA EngineerFull-timeDhaka4249794532E0448Sylhet"/>
        <s v="E0884Imran ChowdhuryFemaleEngineeringQA EngineerContractRemote42954143737E0273Sylhet"/>
        <s v="E0885Sajid RahmanFemaleOperationsOperations AssociateFull-timeDhaka45846111594E0251Sylhet"/>
        <s v="E0886Shafiq BiswasFemaleEngineeringSenior Software EngineerFull-timeSylhet44858114726E0426Sylhet"/>
        <s v="E0887Rafi MorshedMaleHRHR AssociateFull-timeRajshahi4514747603E0982Sylhet"/>
        <s v="E0888Nabila IslamMaleProductProduct AnalystInternKhulna45570210895Sylhet"/>
        <s v="E0889Arif ChowdhuryMaleEngineeringQA EngineerFull-timeKhulna4416499615E0132Sylhet"/>
        <s v="E0890Rahim AlamFemaleProductSenior Product ManagerContractChattogram42512132104E0682Sylhet"/>
        <s v="E0891Arif KabirFemaleFinanceAccounts ExecutiveFull-timeSylhet42887136774E0762Sylhet"/>
        <s v="E0892Nafiz ShahMaleOperationsSupply Chain AnalystFull-timeSylhet42645103522E0166Sylhet"/>
        <s v="E0893Arif RahmanMaleOperationsOperations ManagerInternDhaka43336198114E0965Sylhet"/>
        <s v="E0894Tasnim MiahFemaleSalesSales AssociateFull-timeKhulna45558161772E0123Sylhet"/>
        <s v="E0895Mahin HaiderMaleHRRecruiterFull-timeRemote4501285586E0314Sylhet"/>
        <s v="E0896Zahid HossainMaleEngineeringQA EngineerFull-timeRemote43870106488E0161Sylhet"/>
        <s v="E0897Mahin HasanMaleProductProduct ManagerFull-timeDhaka43853136448E0968Sylhet"/>
        <s v="E0898Sadia HaiderMaleOperationsOperations AssociateInternRemote4393852388E0184Sylhet"/>
        <s v="E0899Sumaiya SadiqFemaleEngineeringSoftware EngineerFull-timeDhaka44693111622E0085Sylhet"/>
        <s v="E0900Tania SultanaFemaleEngineeringDevOps EngineerFull-timeSylhet4250292293E0741Sylhet"/>
        <s v="E0901Sadia ChowdhuryPrefer not to sayEngineeringSenior Software EngineerFull-timeDhaka44848181738E0756Sylhet"/>
        <s v="E0902Lamia BiswasMaleEngineeringJunior Software EngineerFull-timeChattogram42998146796E0757Sylhet"/>
        <s v="E0903Noman BiswasNon-binaryEngineeringQA EngineerFull-timeChattogram45151129546E0085Sylhet"/>
        <s v="E0904Esha AnjumFemaleMarketingMarketing AssociateFull-timeKhulna4421289567E0456Sylhet"/>
        <s v="E0905Ovi RanaMaleSalesSenior Account ExecutiveFull-timeKhulna43889205212E0080Sylhet"/>
        <s v="E0906Tasnim AlamFemaleOperationsOperations AssociateFull-timeKhulna43893129144E0380Sylhet"/>
        <s v="E0907Ovi SharminFemaleOperationsOperations ManagerFull-timeRajshahi44188175765E0528Sylhet"/>
        <s v="E0908Nabila UddinFemaleSalesAccount ExecutiveFull-timeRajshahi4549569496E0150Sylhet"/>
        <s v="E0909Tania TalukderMaleProductAssociate Product ManagerFull-timeRemote42684284203E0376Sylhet"/>
        <s v="E0910Sajid UddinFemaleSalesSales AssociateFull-timeKhulna44720150980Sylhet"/>
        <s v="E0911Esha IslamMaleHRRecruiterFull-timeSylhet42933122176E0330Sylhet"/>
        <s v="E0912Ayesha IslamFemaleProductSenior Product ManagerFull-timeRajshahi44538241079E0687Sylhet"/>
        <s v="E0913Mahin MiahMaleHRHR ManagerFull-timeKhulna43873144906E0152Sylhet"/>
        <s v="E0914Arif SadiqFemaleSalesAccount ExecutiveFull-timeDhaka44000109791E0161Sylhet"/>
        <s v="E0915Jannat KabirFemaleMarketingContent SpecialistFull-timeRajshahi43657121425E0053Sylhet"/>
        <s v="E0916Shawon ShahMaleSalesSenior Account ExecutiveFull-timeChattogram4503088941E0302Sylhet"/>
        <s v="E0917Zahid ChowdhuryFemaleProductSenior Product ManagerFull-timeSylhet43511320505E0453Sylhet"/>
        <s v="E0918Tania HasanFemaleCustomer SuccessSupport SpecialistContractKhulna43392103974E0166Sylhet"/>
        <s v="E0919Shafiq AminFemaleFinanceFinancial AnalystInternSylhet4283479692E0122Sylhet"/>
        <s v="E0920Nadia FerdousFemaleEngineeringSoftware EngineerFull-timeRemote42476224389E0003Sylhet"/>
        <s v="E0921Fahim RanaFemaleOperationsSupply Chain AnalystFull-timeRajshahi4538373928E0229Sylhet"/>
        <s v="E0922Tamanna TalukderFemaleMarketingMarketing AssociateInternRemote4313269077Sylhet"/>
        <s v="E0923Priya SharminFemaleOperationsSupply Chain AnalystFull-timeDhaka4441472855E0518Sylhet"/>
        <s v="E0924Esha AminFemaleOperationsSupply Chain AnalystContractRajshahi44490123718E0008Sylhet"/>
        <s v="E0925Noman TalukderFemaleSalesSenior Account ExecutiveInternDhaka43955216552E0513Sylhet"/>
        <s v="E0926Nabila TalukderMaleEngineeringJunior Software EngineerContractRemote4467089519E0635Sylhet"/>
        <s v="E0927Nabila SadiqMaleProductProduct ManagerFull-timeRemote42852222698E0465Sylhet"/>
        <s v="E0928Rashed KhanFemaleMarketingContent SpecialistContractRemote43442105766E0075Sylhet"/>
        <s v="E0929Farhan AkterFemaleHRHR Business PartnerFull-timeDhaka45544129868E0008Sylhet"/>
        <s v="E0930Zahid HossainMaleProductProduct AnalystFull-timeSylhet43436169924E0574Sylhet"/>
        <s v="E0931Tania FerdousMaleEngineeringSenior Software EngineerContractChattogram45253109277E0664Sylhet"/>
        <s v="E0932Shafiq ShahFemaleOperationsSupply Chain AnalystFull-timeRemote4419785515E0880Sylhet"/>
        <s v="E0933Ayesha BanuMaleCustomer SuccessSupport SpecialistFull-timeDhaka4324880134E0167Sylhet"/>
        <s v="E0934Arif MiahMaleMarketingGrowth MarketerFull-timeChattogram44876124051E0686Sylhet"/>
        <s v="E0935Nabila UddinMaleEngineeringQA EngineerFull-timeRajshahi43539103259E0141Sylhet"/>
        <s v="E0936Shafiq FerdousNon-binaryProductProduct ManagerFull-timeSylhet45212126702E0699Sylhet"/>
        <s v="E0937Rafi MorshedMaleEngineeringSoftware EngineerFull-timeChattogram44381138106E0646Sylhet"/>
        <s v="E0938Priya AminFemaleCustomer SuccessCustomer Success ManagerFull-timeSylhet43189159288E0989Sylhet"/>
        <s v="E0939Sadia BiswasFemaleEngineeringSenior Software EngineerFull-timeKhulna42872212363Sylhet"/>
        <s v="E0940Sumaiya SharminMaleMarketingMarketing AssociateContractSylhet42925131958E0161Sylhet"/>
        <s v="E0941Tasnim AhmedFemaleProductProduct AnalystFull-timeRemote45863201934E0249Sylhet"/>
        <s v="E0942Shawon FerdousMaleMarketingContent SpecialistFull-timeSylhet42673113918E0741Sylhet"/>
        <s v="E0943Tania SarkerFemaleHRHR Business PartnerFull-timeDhaka44221131275E0617Sylhet"/>
        <s v="E0944Shafiq AnjumFemaleOperationsSupply Chain AnalystContractSylhet4307796665E0161Sylhet"/>
        <s v="E0945Nabila IslamMaleEngineeringDevOps EngineerFull-timeRajshahi45291146827E0783Sylhet"/>
        <s v="E0946Nabila SarkerMaleEngineeringSenior Software EngineerContractDhaka44193188623E0991Sylhet"/>
        <s v="E0947Tasnim IslamFemaleEngineeringSenior Software EngineerFull-timeSylhet42729145234Sylhet"/>
        <s v="E0948Fahim IslamMaleCustomer SuccessSupport AssociateFull-timeRajshahi4568992688E0314Sylhet"/>
        <s v="E0949Karim KabirFemaleOperationsOperations AssociateFull-timeDhaka45163126711E0376Sylhet"/>
        <s v="E0950Nabila SadiqFemaleHRRecruiterFull-timeDhaka45833116465E0801Sylhet"/>
        <s v="E0951Rashed KhanFemaleHRHR AssociateFull-timeRajshahi4367960918E0574Sylhet"/>
        <s v="E0952Karim AhmedNon-binaryHRHR AssociateFull-timeRajshahi4510558459Sylhet"/>
        <s v="E0953Sadia BanuFemaleEngineeringSenior Software EngineerFull-timeChattogram43793291785E0111Sylhet"/>
        <s v="E0954Sadia KabirFemaleCustomer SuccessCustomer Success ManagerFull-timeRajshahi45276166404E0243Sylhet"/>
        <s v="E0955Rahim HasanMaleSalesSales ManagerFull-timeChattogram42635250368E0416Sylhet"/>
        <s v="E0956Tania RahmanFemaleSalesSales ManagerFull-timeKhulna44622161678E0742Sylhet"/>
        <s v="E0957Rashed RasheedMaleMarketingGrowth MarketerFull-timeRemote44590166372E0054Sylhet"/>
        <s v="E0958Mahin ParvinMaleEngineeringSoftware EngineerFull-timeSylhet43559202206E0774Sylhet"/>
        <s v="E0959Rahim BanuMaleEngineeringQA EngineerFull-timeDhaka43598121015E0551Sylhet"/>
        <s v="E0960Tania ShahFemaleFinanceSenior Financial AnalystFull-timeChattogram45857102582E0488Sylhet"/>
        <s v="E0961Imran RahmanFemaleEngineeringJunior Software EngineerContractSylhet43015138102E0646Sylhet"/>
        <s v="E0962Karim MiahFemaleHRRecruiterFull-timeRajshahi45285122797E0749Sylhet"/>
        <s v="E0963Ovi AhmedFemaleProductSenior Product ManagerFull-timeRajshahi45276128328E0648Sylhet"/>
        <s v="E0964Sadia KhanFemaleSalesAccount ExecutiveFull-timeSylhet4523874624E0237Sylhet"/>
        <s v="E0965Rashed KhanMaleProductProduct ManagerFull-timeRajshahi44982239646E0663Sylhet"/>
        <s v="E0966Zahid SultanaMaleSalesSenior Account ExecutiveFull-timeKhulna43083142527E0122Sylhet"/>
        <s v="E0967Fahim ParvinMaleFinanceAccounts ExecutiveFull-timeDhaka45620179296E0518Sylhet"/>
        <s v="E0968Tamanna HasanFemaleProductAssociate Product ManagerFull-timeKhulna43850186569E0665Sylhet"/>
        <s v="E0969Sumaiya RasheedFemaleMarketingContent SpecialistFull-timeChattogram44453176225E0865Sylhet"/>
        <s v="E0970Arif AhmedFemaleMarketingMarketing AssociateFull-timeSylhet43288119654E0649Sylhet"/>
        <s v="E0971Karim IslamMaleHRHR AssociateFull-timeKhulna4286771564E0262Sylhet"/>
        <s v="E0972Noman JahanMaleCustomer SuccessCustomer Success ManagerFull-timeRemote43193143911E0003Sylhet"/>
        <s v="E0973Imran ParvinFemaleFinanceAccounts ExecutiveContractChattogram45614153176E0470Sylhet"/>
        <s v="E0974Arif UddinFemaleEngineeringSenior Software EngineerFull-timeRajshahi42938260181E0109Sylhet"/>
        <s v="E0975Sumaiya AnjumMaleEngineeringSoftware EngineerFull-timeKhulna4333998827E0190Sylhet"/>
        <s v="E0976Mahin SadiqMaleProductSenior Product ManagerContractDhaka45607189403E0420Sylhet"/>
        <s v="E0977Shawon SultanaMaleHRHR AssociateFull-timeDhaka4439399341E0330Sylhet"/>
        <s v="E0978Nadia AminFemaleEngineeringSoftware EngineerFull-timeDhaka42477191401E0865Sylhet"/>
        <s v="E0979Sajid HossainMaleMarketingMarketing ManagerFull-timeKhulna43848226360E0012Sylhet"/>
        <s v="E0980Tania FerdousMaleHRHR ManagerFull-timeKhulna44639153159E0736Sylhet"/>
        <s v="E0981Sajid SadiqMaleSalesSales AssociateFull-timeDhaka4471458321E0852Sylhet"/>
        <s v="E0982Ayesha AminFemaleOperationsOperations ManagerContractRajshahi43881125677Sylhet"/>
        <s v="E0983Fahim SharminMaleEngineeringSenior Software EngineerFull-timeChattogram44284298647E0574Sylhet"/>
        <s v="E0984Fahim MiahMaleEngineeringSenior Software EngineerFull-timeRemote45661318169E0008Sylhet"/>
        <s v="E0985Sumaiya MorshedFemaleFinanceAccounts ExecutiveFull-timeSylhet44629148986E0330Sylhet"/>
        <s v="E0986Sadia TalukderFemaleMarketingMarketing AssociateFull-timeSylhet42901164446E0772Sylhet"/>
        <s v="E0987Ayesha JahanFemaleFinanceSenior Financial AnalystContractKhulna44876207869E0024Sylhet"/>
        <s v="E0988Tania ShahMaleSalesAccount ExecutiveFull-timeKhulna42723101036E0179Sylhet"/>
        <s v="E0989Fahim ShahFemaleProductAssociate Product ManagerFull-timeDhaka42639274370E0334Sylhet"/>
        <s v="E0990Mahin AnjumMaleOperationsOperations ManagerFull-timeSylhet43636203573E0481Sylhet"/>
        <s v="E0991Nabila BanuMaleOperationsOperations ManagerFull-timeRemote44000175386E0855Sylhet"/>
        <s v="E0992Arif SharminMaleFinanceAccounts ExecutiveFull-timeRemote45306183865Sylhet"/>
        <s v="E0993Sajid ChowdhuryMaleProductProduct ManagerFull-timeRajshahi45314260780E0144Sylhet"/>
        <s v="E0994Rafi RasheedMaleHRHR AssociateFull-timeKhulna4433070605E0963Sylhet"/>
        <s v="E0995Tania ChowdhuryFemaleSalesSenior Account ExecutiveFull-timeSylhet44523167288E0965Sylhet"/>
        <s v="E0996Esha UddinMaleEngineeringQA EngineerFull-timeRajshahi44052131175E0845Sylhet"/>
        <s v="E0997Mitu KabirMaleCustomer SuccessCustomer Success ManagerFull-timeRemote4552089756E0990Sylhet"/>
        <s v="E0998Fahim AminMaleEngineeringJunior Software EngineerFull-timeDhaka44047150479E0882Sylhet"/>
        <s v="E0999Nadia KabirFemaleCustomer SuccessSupport AssociateFull-timeSylhet4574271076E0595Sylhet"/>
        <s v="E1000Tania SadiqFemaleSalesSales AssociateFull-timeRajshahi44724108334E0306Sylhet"/>
        <m/>
      </sharedItems>
    </cacheField>
    <cacheField name="Median" numFmtId="0">
      <sharedItems containsString="0" containsBlank="1" containsNumber="1" minValue="89705" maxValue="165867" count="116">
        <n v="134130"/>
        <n v="134271"/>
        <n v="134276"/>
        <n v="133989"/>
        <n v="133901"/>
        <n v="133813"/>
        <n v="133779.5"/>
        <n v="133746"/>
        <n v="133741"/>
        <n v="133736"/>
        <n v="133493.5"/>
        <n v="133251"/>
        <n v="133075.5"/>
        <n v="132900"/>
        <n v="132820"/>
        <n v="132740"/>
        <n v="132553"/>
        <n v="132366"/>
        <n v="132359"/>
        <n v="132352"/>
        <n v="132269"/>
        <n v="132186"/>
        <n v="132145"/>
        <n v="132104"/>
        <n v="132031"/>
        <n v="131958"/>
        <n v="131899"/>
        <n v="131840"/>
        <n v="131792"/>
        <n v="131744"/>
        <n v="131710.5"/>
        <n v="131677"/>
        <n v="131671.5"/>
        <n v="132276"/>
        <n v="132808.5"/>
        <n v="133498.5"/>
        <n v="134135"/>
        <n v="134281"/>
        <n v="134308"/>
        <n v="134335"/>
        <n v="134588.5"/>
        <n v="134842"/>
        <n v="134858.5"/>
        <n v="134047"/>
        <n v="134875"/>
        <n v="134973.5"/>
        <n v="135072"/>
        <n v="135184.5"/>
        <n v="135297"/>
        <n v="135421"/>
        <n v="135545"/>
        <n v="135607.5"/>
        <n v="135670"/>
        <n v="135687.5"/>
        <n v="135705"/>
        <n v="135845.5"/>
        <n v="135986"/>
        <n v="136164.5"/>
        <n v="136343"/>
        <n v="136395.5"/>
        <n v="136217"/>
        <n v="136448"/>
        <n v="136611"/>
        <n v="136774"/>
        <n v="137427"/>
        <n v="138080"/>
        <n v="138091"/>
        <n v="138102"/>
        <n v="138104"/>
        <n v="135501"/>
        <n v="135086"/>
        <n v="133793"/>
        <n v="133219.5"/>
        <n v="131817.5"/>
        <n v="131666"/>
        <n v="131642.5"/>
        <n v="131619"/>
        <n v="135273.5"/>
        <n v="136076.5"/>
        <n v="135020"/>
        <n v="135391.5"/>
        <n v="137438"/>
        <n v="131616.5"/>
        <n v="134203"/>
        <n v="135030"/>
        <n v="138106"/>
        <n v="140316.5"/>
        <n v="142527"/>
        <n v="143219"/>
        <n v="143911"/>
        <n v="144572.5"/>
        <n v="145234"/>
        <n v="146030.5"/>
        <n v="146827"/>
        <n v="147906.5"/>
        <n v="148986"/>
        <n v="149732.5"/>
        <n v="150479"/>
        <n v="151819"/>
        <n v="153159"/>
        <n v="153167.5"/>
        <n v="153176"/>
        <n v="157427"/>
        <n v="158811"/>
        <n v="164446"/>
        <n v="158802.5"/>
        <n v="157462.5"/>
        <n v="165867"/>
        <n v="158883.5"/>
        <n v="140827"/>
        <n v="131175"/>
        <n v="119754.5"/>
        <n v="108334"/>
        <n v="99045"/>
        <n v="89705"/>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5" refreshedVersion="5" minRefreshableVersion="3" refreshedDate="46098.4669097222" refreshedBy="HP" recordCount="1000">
  <cacheSource type="worksheet">
    <worksheetSource ref="A1:M1001" sheet="abc_inc_employees_master"/>
  </cacheSource>
  <cacheFields count="13">
    <cacheField name="employee_id" numFmtId="0">
      <sharedItems count="1000">
        <s v="E0001"/>
        <s v="E0002"/>
        <s v="E0003"/>
        <s v="E0004"/>
        <s v="E0005"/>
        <s v="E0006"/>
        <s v="E0007"/>
        <s v="E0008"/>
        <s v="E0009"/>
        <s v="E0010"/>
        <s v="E0011"/>
        <s v="E0012"/>
        <s v="E0013"/>
        <s v="E0014"/>
        <s v="E0015"/>
        <s v="E0016"/>
        <s v="E0017"/>
        <s v="E0018"/>
        <s v="E0019"/>
        <s v="E0020"/>
        <s v="E0021"/>
        <s v="E0022"/>
        <s v="E0023"/>
        <s v="E0024"/>
        <s v="E0025"/>
        <s v="E0026"/>
        <s v="E0027"/>
        <s v="E0028"/>
        <s v="E0029"/>
        <s v="E0030"/>
        <s v="E0031"/>
        <s v="E0032"/>
        <s v="E0033"/>
        <s v="E0034"/>
        <s v="E0035"/>
        <s v="E0036"/>
        <s v="E0037"/>
        <s v="E0038"/>
        <s v="E0039"/>
        <s v="E0040"/>
        <s v="E0041"/>
        <s v="E0042"/>
        <s v="E0043"/>
        <s v="E0044"/>
        <s v="E0045"/>
        <s v="E0046"/>
        <s v="E0047"/>
        <s v="E0048"/>
        <s v="E0049"/>
        <s v="E0050"/>
        <s v="E0051"/>
        <s v="E0052"/>
        <s v="E0053"/>
        <s v="E0054"/>
        <s v="E0055"/>
        <s v="E0056"/>
        <s v="E0057"/>
        <s v="E0058"/>
        <s v="E0059"/>
        <s v="E0060"/>
        <s v="E0061"/>
        <s v="E0062"/>
        <s v="E0063"/>
        <s v="E0064"/>
        <s v="E0065"/>
        <s v="E0066"/>
        <s v="E0067"/>
        <s v="E0068"/>
        <s v="E0069"/>
        <s v="E0070"/>
        <s v="E0071"/>
        <s v="E0072"/>
        <s v="E0073"/>
        <s v="E0074"/>
        <s v="E0075"/>
        <s v="E0076"/>
        <s v="E0077"/>
        <s v="E0078"/>
        <s v="E0079"/>
        <s v="E0080"/>
        <s v="E0081"/>
        <s v="E0082"/>
        <s v="E0083"/>
        <s v="E0084"/>
        <s v="E0085"/>
        <s v="E0086"/>
        <s v="E0087"/>
        <s v="E0088"/>
        <s v="E0089"/>
        <s v="E0090"/>
        <s v="E0091"/>
        <s v="E0092"/>
        <s v="E0093"/>
        <s v="E0094"/>
        <s v="E0095"/>
        <s v="E0096"/>
        <s v="E0097"/>
        <s v="E0098"/>
        <s v="E0099"/>
        <s v="E0100"/>
        <s v="E0101"/>
        <s v="E0102"/>
        <s v="E0103"/>
        <s v="E0104"/>
        <s v="E0105"/>
        <s v="E0106"/>
        <s v="E0107"/>
        <s v="E0108"/>
        <s v="E0109"/>
        <s v="E0110"/>
        <s v="E0111"/>
        <s v="E0112"/>
        <s v="E0113"/>
        <s v="E0114"/>
        <s v="E0115"/>
        <s v="E0116"/>
        <s v="E0117"/>
        <s v="E0118"/>
        <s v="E0119"/>
        <s v="E0120"/>
        <s v="E0121"/>
        <s v="E0122"/>
        <s v="E0123"/>
        <s v="E0124"/>
        <s v="E0125"/>
        <s v="E0126"/>
        <s v="E0127"/>
        <s v="E0128"/>
        <s v="E0129"/>
        <s v="E0130"/>
        <s v="E0131"/>
        <s v="E0132"/>
        <s v="E0133"/>
        <s v="E0134"/>
        <s v="E0135"/>
        <s v="E0136"/>
        <s v="E0137"/>
        <s v="E0138"/>
        <s v="E0139"/>
        <s v="E0140"/>
        <s v="E0141"/>
        <s v="E0142"/>
        <s v="E0143"/>
        <s v="E0144"/>
        <s v="E0145"/>
        <s v="E0146"/>
        <s v="E0147"/>
        <s v="E0148"/>
        <s v="E0149"/>
        <s v="E0150"/>
        <s v="E0151"/>
        <s v="E0152"/>
        <s v="E0153"/>
        <s v="E0154"/>
        <s v="E0155"/>
        <s v="E0156"/>
        <s v="E0157"/>
        <s v="E0158"/>
        <s v="E0159"/>
        <s v="E0160"/>
        <s v="E0161"/>
        <s v="E0162"/>
        <s v="E0163"/>
        <s v="E0164"/>
        <s v="E0165"/>
        <s v="E0166"/>
        <s v="E0167"/>
        <s v="E0168"/>
        <s v="E0169"/>
        <s v="E0170"/>
        <s v="E0171"/>
        <s v="E0172"/>
        <s v="E0173"/>
        <s v="E0174"/>
        <s v="E0175"/>
        <s v="E0176"/>
        <s v="E0177"/>
        <s v="E0178"/>
        <s v="E0179"/>
        <s v="E0180"/>
        <s v="E0181"/>
        <s v="E0182"/>
        <s v="E0183"/>
        <s v="E0184"/>
        <s v="E0185"/>
        <s v="E0186"/>
        <s v="E0187"/>
        <s v="E0188"/>
        <s v="E0189"/>
        <s v="E0190"/>
        <s v="E0191"/>
        <s v="E0192"/>
        <s v="E0193"/>
        <s v="E0194"/>
        <s v="E0195"/>
        <s v="E0196"/>
        <s v="E0197"/>
        <s v="E0198"/>
        <s v="E0199"/>
        <s v="E0200"/>
        <s v="E0201"/>
        <s v="E0202"/>
        <s v="E0203"/>
        <s v="E0204"/>
        <s v="E0205"/>
        <s v="E0206"/>
        <s v="E0207"/>
        <s v="E0208"/>
        <s v="E0209"/>
        <s v="E0210"/>
        <s v="E0211"/>
        <s v="E0212"/>
        <s v="E0213"/>
        <s v="E0214"/>
        <s v="E0215"/>
        <s v="E0216"/>
        <s v="E0217"/>
        <s v="E0218"/>
        <s v="E0219"/>
        <s v="E0220"/>
        <s v="E0221"/>
        <s v="E0222"/>
        <s v="E0223"/>
        <s v="E0224"/>
        <s v="E0225"/>
        <s v="E0226"/>
        <s v="E0227"/>
        <s v="E0228"/>
        <s v="E0229"/>
        <s v="E0230"/>
        <s v="E0231"/>
        <s v="E0232"/>
        <s v="E0233"/>
        <s v="E0234"/>
        <s v="E0235"/>
        <s v="E0236"/>
        <s v="E0237"/>
        <s v="E0238"/>
        <s v="E0239"/>
        <s v="E0240"/>
        <s v="E0241"/>
        <s v="E0242"/>
        <s v="E0243"/>
        <s v="E0244"/>
        <s v="E0245"/>
        <s v="E0246"/>
        <s v="E0247"/>
        <s v="E0248"/>
        <s v="E0249"/>
        <s v="E0250"/>
        <s v="E0251"/>
        <s v="E0252"/>
        <s v="E0253"/>
        <s v="E0254"/>
        <s v="E0255"/>
        <s v="E0256"/>
        <s v="E0257"/>
        <s v="E0258"/>
        <s v="E0259"/>
        <s v="E0260"/>
        <s v="E0261"/>
        <s v="E0262"/>
        <s v="E0263"/>
        <s v="E0264"/>
        <s v="E0265"/>
        <s v="E0266"/>
        <s v="E0267"/>
        <s v="E0268"/>
        <s v="E0269"/>
        <s v="E0270"/>
        <s v="E0271"/>
        <s v="E0272"/>
        <s v="E0273"/>
        <s v="E0274"/>
        <s v="E0275"/>
        <s v="E0276"/>
        <s v="E0277"/>
        <s v="E0278"/>
        <s v="E0279"/>
        <s v="E0280"/>
        <s v="E0281"/>
        <s v="E0282"/>
        <s v="E0283"/>
        <s v="E0284"/>
        <s v="E0285"/>
        <s v="E0286"/>
        <s v="E0287"/>
        <s v="E0288"/>
        <s v="E0289"/>
        <s v="E0290"/>
        <s v="E0291"/>
        <s v="E0292"/>
        <s v="E0293"/>
        <s v="E0294"/>
        <s v="E0295"/>
        <s v="E0296"/>
        <s v="E0297"/>
        <s v="E0298"/>
        <s v="E0299"/>
        <s v="E0300"/>
        <s v="E0301"/>
        <s v="E0302"/>
        <s v="E0303"/>
        <s v="E0304"/>
        <s v="E0305"/>
        <s v="E0306"/>
        <s v="E0307"/>
        <s v="E0308"/>
        <s v="E0309"/>
        <s v="E0310"/>
        <s v="E0311"/>
        <s v="E0312"/>
        <s v="E0313"/>
        <s v="E0314"/>
        <s v="E0315"/>
        <s v="E0316"/>
        <s v="E0317"/>
        <s v="E0318"/>
        <s v="E0319"/>
        <s v="E0320"/>
        <s v="E0321"/>
        <s v="E0322"/>
        <s v="E0323"/>
        <s v="E0324"/>
        <s v="E0325"/>
        <s v="E0326"/>
        <s v="E0327"/>
        <s v="E0328"/>
        <s v="E0329"/>
        <s v="E0330"/>
        <s v="E0331"/>
        <s v="E0332"/>
        <s v="E0333"/>
        <s v="E0334"/>
        <s v="E0335"/>
        <s v="E0336"/>
        <s v="E0337"/>
        <s v="E0338"/>
        <s v="E0339"/>
        <s v="E0340"/>
        <s v="E0341"/>
        <s v="E0342"/>
        <s v="E0343"/>
        <s v="E0344"/>
        <s v="E0345"/>
        <s v="E0346"/>
        <s v="E0347"/>
        <s v="E0348"/>
        <s v="E0349"/>
        <s v="E0350"/>
        <s v="E0351"/>
        <s v="E0352"/>
        <s v="E0353"/>
        <s v="E0354"/>
        <s v="E0355"/>
        <s v="E0356"/>
        <s v="E0357"/>
        <s v="E0358"/>
        <s v="E0359"/>
        <s v="E0360"/>
        <s v="E0361"/>
        <s v="E0362"/>
        <s v="E0363"/>
        <s v="E0364"/>
        <s v="E0365"/>
        <s v="E0366"/>
        <s v="E0367"/>
        <s v="E0368"/>
        <s v="E0369"/>
        <s v="E0370"/>
        <s v="E0371"/>
        <s v="E0372"/>
        <s v="E0373"/>
        <s v="E0374"/>
        <s v="E0375"/>
        <s v="E0376"/>
        <s v="E0377"/>
        <s v="E0378"/>
        <s v="E0379"/>
        <s v="E0380"/>
        <s v="E0381"/>
        <s v="E0382"/>
        <s v="E0383"/>
        <s v="E0384"/>
        <s v="E0385"/>
        <s v="E0386"/>
        <s v="E0387"/>
        <s v="E0388"/>
        <s v="E0389"/>
        <s v="E0390"/>
        <s v="E0391"/>
        <s v="E0392"/>
        <s v="E0393"/>
        <s v="E0394"/>
        <s v="E0395"/>
        <s v="E0396"/>
        <s v="E0397"/>
        <s v="E0398"/>
        <s v="E0399"/>
        <s v="E0400"/>
        <s v="E0401"/>
        <s v="E0402"/>
        <s v="E0403"/>
        <s v="E0404"/>
        <s v="E0405"/>
        <s v="E0406"/>
        <s v="E0407"/>
        <s v="E0408"/>
        <s v="E0409"/>
        <s v="E0410"/>
        <s v="E0411"/>
        <s v="E0412"/>
        <s v="E0413"/>
        <s v="E0414"/>
        <s v="E0415"/>
        <s v="E0416"/>
        <s v="E0417"/>
        <s v="E0418"/>
        <s v="E0419"/>
        <s v="E0420"/>
        <s v="E0421"/>
        <s v="E0422"/>
        <s v="E0423"/>
        <s v="E0424"/>
        <s v="E0425"/>
        <s v="E0426"/>
        <s v="E0427"/>
        <s v="E0428"/>
        <s v="E0429"/>
        <s v="E0430"/>
        <s v="E0431"/>
        <s v="E0432"/>
        <s v="E0433"/>
        <s v="E0434"/>
        <s v="E0435"/>
        <s v="E0436"/>
        <s v="E0437"/>
        <s v="E0438"/>
        <s v="E0439"/>
        <s v="E0440"/>
        <s v="E0441"/>
        <s v="E0442"/>
        <s v="E0443"/>
        <s v="E0444"/>
        <s v="E0445"/>
        <s v="E0446"/>
        <s v="E0447"/>
        <s v="E0448"/>
        <s v="E0449"/>
        <s v="E0450"/>
        <s v="E0451"/>
        <s v="E0452"/>
        <s v="E0453"/>
        <s v="E0454"/>
        <s v="E0455"/>
        <s v="E0456"/>
        <s v="E0457"/>
        <s v="E0458"/>
        <s v="E0459"/>
        <s v="E0460"/>
        <s v="E0461"/>
        <s v="E0462"/>
        <s v="E0463"/>
        <s v="E0464"/>
        <s v="E0465"/>
        <s v="E0466"/>
        <s v="E0467"/>
        <s v="E0468"/>
        <s v="E0469"/>
        <s v="E0470"/>
        <s v="E0471"/>
        <s v="E0472"/>
        <s v="E0473"/>
        <s v="E0474"/>
        <s v="E0475"/>
        <s v="E0476"/>
        <s v="E0477"/>
        <s v="E0478"/>
        <s v="E0479"/>
        <s v="E0480"/>
        <s v="E0481"/>
        <s v="E0482"/>
        <s v="E0483"/>
        <s v="E0484"/>
        <s v="E0485"/>
        <s v="E0486"/>
        <s v="E0487"/>
        <s v="E0488"/>
        <s v="E0489"/>
        <s v="E0490"/>
        <s v="E0491"/>
        <s v="E0492"/>
        <s v="E0493"/>
        <s v="E0494"/>
        <s v="E0495"/>
        <s v="E0496"/>
        <s v="E0497"/>
        <s v="E0498"/>
        <s v="E0499"/>
        <s v="E0500"/>
        <s v="E0501"/>
        <s v="E0502"/>
        <s v="E0503"/>
        <s v="E0504"/>
        <s v="E0505"/>
        <s v="E0506"/>
        <s v="E0507"/>
        <s v="E0508"/>
        <s v="E0509"/>
        <s v="E0510"/>
        <s v="E0511"/>
        <s v="E0512"/>
        <s v="E0513"/>
        <s v="E0514"/>
        <s v="E0515"/>
        <s v="E0516"/>
        <s v="E0517"/>
        <s v="E0518"/>
        <s v="E0519"/>
        <s v="E0520"/>
        <s v="E0521"/>
        <s v="E0522"/>
        <s v="E0523"/>
        <s v="E0524"/>
        <s v="E0525"/>
        <s v="E0526"/>
        <s v="E0527"/>
        <s v="E0528"/>
        <s v="E0529"/>
        <s v="E0530"/>
        <s v="E0531"/>
        <s v="E0532"/>
        <s v="E0533"/>
        <s v="E0534"/>
        <s v="E0535"/>
        <s v="E0536"/>
        <s v="E0537"/>
        <s v="E0538"/>
        <s v="E0539"/>
        <s v="E0540"/>
        <s v="E0541"/>
        <s v="E0542"/>
        <s v="E0543"/>
        <s v="E0544"/>
        <s v="E0545"/>
        <s v="E0546"/>
        <s v="E0547"/>
        <s v="E0548"/>
        <s v="E0549"/>
        <s v="E0550"/>
        <s v="E0551"/>
        <s v="E0552"/>
        <s v="E0553"/>
        <s v="E0554"/>
        <s v="E0555"/>
        <s v="E0556"/>
        <s v="E0557"/>
        <s v="E0558"/>
        <s v="E0559"/>
        <s v="E0560"/>
        <s v="E0561"/>
        <s v="E0562"/>
        <s v="E0563"/>
        <s v="E0564"/>
        <s v="E0565"/>
        <s v="E0566"/>
        <s v="E0567"/>
        <s v="E0568"/>
        <s v="E0569"/>
        <s v="E0570"/>
        <s v="E0571"/>
        <s v="E0572"/>
        <s v="E0573"/>
        <s v="E0574"/>
        <s v="E0575"/>
        <s v="E0576"/>
        <s v="E0577"/>
        <s v="E0578"/>
        <s v="E0579"/>
        <s v="E0580"/>
        <s v="E0581"/>
        <s v="E0582"/>
        <s v="E0583"/>
        <s v="E0584"/>
        <s v="E0585"/>
        <s v="E0586"/>
        <s v="E0587"/>
        <s v="E0588"/>
        <s v="E0589"/>
        <s v="E0590"/>
        <s v="E0591"/>
        <s v="E0592"/>
        <s v="E0593"/>
        <s v="E0594"/>
        <s v="E0595"/>
        <s v="E0596"/>
        <s v="E0597"/>
        <s v="E0598"/>
        <s v="E0599"/>
        <s v="E0600"/>
        <s v="E0601"/>
        <s v="E0602"/>
        <s v="E0603"/>
        <s v="E0604"/>
        <s v="E0605"/>
        <s v="E0606"/>
        <s v="E0607"/>
        <s v="E0608"/>
        <s v="E0609"/>
        <s v="E0610"/>
        <s v="E0611"/>
        <s v="E0612"/>
        <s v="E0613"/>
        <s v="E0614"/>
        <s v="E0615"/>
        <s v="E0616"/>
        <s v="E0617"/>
        <s v="E0618"/>
        <s v="E0619"/>
        <s v="E0620"/>
        <s v="E0621"/>
        <s v="E0622"/>
        <s v="E0623"/>
        <s v="E0624"/>
        <s v="E0625"/>
        <s v="E0626"/>
        <s v="E0627"/>
        <s v="E0628"/>
        <s v="E0629"/>
        <s v="E0630"/>
        <s v="E0631"/>
        <s v="E0632"/>
        <s v="E0633"/>
        <s v="E0634"/>
        <s v="E0635"/>
        <s v="E0636"/>
        <s v="E0637"/>
        <s v="E0638"/>
        <s v="E0639"/>
        <s v="E0640"/>
        <s v="E0641"/>
        <s v="E0642"/>
        <s v="E0643"/>
        <s v="E0644"/>
        <s v="E0645"/>
        <s v="E0646"/>
        <s v="E0647"/>
        <s v="E0648"/>
        <s v="E0649"/>
        <s v="E0650"/>
        <s v="E0651"/>
        <s v="E0652"/>
        <s v="E0653"/>
        <s v="E0654"/>
        <s v="E0655"/>
        <s v="E0656"/>
        <s v="E0657"/>
        <s v="E0658"/>
        <s v="E0659"/>
        <s v="E0660"/>
        <s v="E0661"/>
        <s v="E0662"/>
        <s v="E0663"/>
        <s v="E0664"/>
        <s v="E0665"/>
        <s v="E0666"/>
        <s v="E0667"/>
        <s v="E0668"/>
        <s v="E0669"/>
        <s v="E0670"/>
        <s v="E0671"/>
        <s v="E0672"/>
        <s v="E0673"/>
        <s v="E0674"/>
        <s v="E0675"/>
        <s v="E0676"/>
        <s v="E0677"/>
        <s v="E0678"/>
        <s v="E0679"/>
        <s v="E0680"/>
        <s v="E0681"/>
        <s v="E0682"/>
        <s v="E0683"/>
        <s v="E0684"/>
        <s v="E0685"/>
        <s v="E0686"/>
        <s v="E0687"/>
        <s v="E0688"/>
        <s v="E0689"/>
        <s v="E0690"/>
        <s v="E0691"/>
        <s v="E0692"/>
        <s v="E0693"/>
        <s v="E0694"/>
        <s v="E0695"/>
        <s v="E0696"/>
        <s v="E0697"/>
        <s v="E0698"/>
        <s v="E0699"/>
        <s v="E0700"/>
        <s v="E0701"/>
        <s v="E0702"/>
        <s v="E0703"/>
        <s v="E0704"/>
        <s v="E0705"/>
        <s v="E0706"/>
        <s v="E0707"/>
        <s v="E0708"/>
        <s v="E0709"/>
        <s v="E0710"/>
        <s v="E0711"/>
        <s v="E0712"/>
        <s v="E0713"/>
        <s v="E0714"/>
        <s v="E0715"/>
        <s v="E0716"/>
        <s v="E0717"/>
        <s v="E0718"/>
        <s v="E0719"/>
        <s v="E0720"/>
        <s v="E0721"/>
        <s v="E0722"/>
        <s v="E0723"/>
        <s v="E0724"/>
        <s v="E0725"/>
        <s v="E0726"/>
        <s v="E0727"/>
        <s v="E0728"/>
        <s v="E0729"/>
        <s v="E0730"/>
        <s v="E0731"/>
        <s v="E0732"/>
        <s v="E0733"/>
        <s v="E0734"/>
        <s v="E0735"/>
        <s v="E0736"/>
        <s v="E0737"/>
        <s v="E0738"/>
        <s v="E0739"/>
        <s v="E0740"/>
        <s v="E0741"/>
        <s v="E0742"/>
        <s v="E0743"/>
        <s v="E0744"/>
        <s v="E0745"/>
        <s v="E0746"/>
        <s v="E0747"/>
        <s v="E0748"/>
        <s v="E0749"/>
        <s v="E0750"/>
        <s v="E0751"/>
        <s v="E0752"/>
        <s v="E0753"/>
        <s v="E0754"/>
        <s v="E0755"/>
        <s v="E0756"/>
        <s v="E0757"/>
        <s v="E0758"/>
        <s v="E0759"/>
        <s v="E0760"/>
        <s v="E0761"/>
        <s v="E0762"/>
        <s v="E0763"/>
        <s v="E0764"/>
        <s v="E0765"/>
        <s v="E0766"/>
        <s v="E0767"/>
        <s v="E0768"/>
        <s v="E0769"/>
        <s v="E0770"/>
        <s v="E0771"/>
        <s v="E0772"/>
        <s v="E0773"/>
        <s v="E0774"/>
        <s v="E0775"/>
        <s v="E0776"/>
        <s v="E0777"/>
        <s v="E0778"/>
        <s v="E0779"/>
        <s v="E0780"/>
        <s v="E0781"/>
        <s v="E0782"/>
        <s v="E0783"/>
        <s v="E0784"/>
        <s v="E0785"/>
        <s v="E0786"/>
        <s v="E0787"/>
        <s v="E0788"/>
        <s v="E0789"/>
        <s v="E0790"/>
        <s v="E0791"/>
        <s v="E0792"/>
        <s v="E0793"/>
        <s v="E0794"/>
        <s v="E0795"/>
        <s v="E0796"/>
        <s v="E0797"/>
        <s v="E0798"/>
        <s v="E0799"/>
        <s v="E0800"/>
        <s v="E0801"/>
        <s v="E0802"/>
        <s v="E0803"/>
        <s v="E0804"/>
        <s v="E0805"/>
        <s v="E0806"/>
        <s v="E0807"/>
        <s v="E0808"/>
        <s v="E0809"/>
        <s v="E0810"/>
        <s v="E0811"/>
        <s v="E0812"/>
        <s v="E0813"/>
        <s v="E0814"/>
        <s v="E0815"/>
        <s v="E0816"/>
        <s v="E0817"/>
        <s v="E0818"/>
        <s v="E0819"/>
        <s v="E0820"/>
        <s v="E0821"/>
        <s v="E0822"/>
        <s v="E0823"/>
        <s v="E0824"/>
        <s v="E0825"/>
        <s v="E0826"/>
        <s v="E0827"/>
        <s v="E0828"/>
        <s v="E0829"/>
        <s v="E0830"/>
        <s v="E0831"/>
        <s v="E0832"/>
        <s v="E0833"/>
        <s v="E0834"/>
        <s v="E0835"/>
        <s v="E0836"/>
        <s v="E0837"/>
        <s v="E0838"/>
        <s v="E0839"/>
        <s v="E0840"/>
        <s v="E0841"/>
        <s v="E0842"/>
        <s v="E0843"/>
        <s v="E0844"/>
        <s v="E0845"/>
        <s v="E0846"/>
        <s v="E0847"/>
        <s v="E0848"/>
        <s v="E0849"/>
        <s v="E0850"/>
        <s v="E0851"/>
        <s v="E0852"/>
        <s v="E0853"/>
        <s v="E0854"/>
        <s v="E0855"/>
        <s v="E0856"/>
        <s v="E0857"/>
        <s v="E0858"/>
        <s v="E0859"/>
        <s v="E0860"/>
        <s v="E0861"/>
        <s v="E0862"/>
        <s v="E0863"/>
        <s v="E0864"/>
        <s v="E0865"/>
        <s v="E0866"/>
        <s v="E0867"/>
        <s v="E0868"/>
        <s v="E0869"/>
        <s v="E0870"/>
        <s v="E0871"/>
        <s v="E0872"/>
        <s v="E0873"/>
        <s v="E0874"/>
        <s v="E0875"/>
        <s v="E0876"/>
        <s v="E0877"/>
        <s v="E0878"/>
        <s v="E0879"/>
        <s v="E0880"/>
        <s v="E0881"/>
        <s v="E0882"/>
        <s v="E0883"/>
        <s v="E0884"/>
        <s v="E0885"/>
        <s v="E0886"/>
        <s v="E0887"/>
        <s v="E0888"/>
        <s v="E0889"/>
        <s v="E0890"/>
        <s v="E0891"/>
        <s v="E0892"/>
        <s v="E0893"/>
        <s v="E0894"/>
        <s v="E0895"/>
        <s v="E0896"/>
        <s v="E0897"/>
        <s v="E0898"/>
        <s v="E0899"/>
        <s v="E0900"/>
        <s v="E0901"/>
        <s v="E0902"/>
        <s v="E0903"/>
        <s v="E0904"/>
        <s v="E0905"/>
        <s v="E0906"/>
        <s v="E0907"/>
        <s v="E0908"/>
        <s v="E0909"/>
        <s v="E0910"/>
        <s v="E0911"/>
        <s v="E0912"/>
        <s v="E0913"/>
        <s v="E0914"/>
        <s v="E0915"/>
        <s v="E0916"/>
        <s v="E0917"/>
        <s v="E0918"/>
        <s v="E0919"/>
        <s v="E0920"/>
        <s v="E0921"/>
        <s v="E0922"/>
        <s v="E0923"/>
        <s v="E0924"/>
        <s v="E0925"/>
        <s v="E0926"/>
        <s v="E0927"/>
        <s v="E0928"/>
        <s v="E0929"/>
        <s v="E0930"/>
        <s v="E0931"/>
        <s v="E0932"/>
        <s v="E0933"/>
        <s v="E0934"/>
        <s v="E0935"/>
        <s v="E0936"/>
        <s v="E0937"/>
        <s v="E0938"/>
        <s v="E0939"/>
        <s v="E0940"/>
        <s v="E0941"/>
        <s v="E0942"/>
        <s v="E0943"/>
        <s v="E0944"/>
        <s v="E0945"/>
        <s v="E0946"/>
        <s v="E0947"/>
        <s v="E0948"/>
        <s v="E0949"/>
        <s v="E0950"/>
        <s v="E0951"/>
        <s v="E0952"/>
        <s v="E0953"/>
        <s v="E0954"/>
        <s v="E0955"/>
        <s v="E0956"/>
        <s v="E0957"/>
        <s v="E0958"/>
        <s v="E0959"/>
        <s v="E0960"/>
        <s v="E0961"/>
        <s v="E0962"/>
        <s v="E0963"/>
        <s v="E0964"/>
        <s v="E0965"/>
        <s v="E0966"/>
        <s v="E0967"/>
        <s v="E0968"/>
        <s v="E0969"/>
        <s v="E0970"/>
        <s v="E0971"/>
        <s v="E0972"/>
        <s v="E0973"/>
        <s v="E0974"/>
        <s v="E0975"/>
        <s v="E0976"/>
        <s v="E0977"/>
        <s v="E0978"/>
        <s v="E0979"/>
        <s v="E0980"/>
        <s v="E0981"/>
        <s v="E0982"/>
        <s v="E0983"/>
        <s v="E0984"/>
        <s v="E0985"/>
        <s v="E0986"/>
        <s v="E0987"/>
        <s v="E0988"/>
        <s v="E0989"/>
        <s v="E0990"/>
        <s v="E0991"/>
        <s v="E0992"/>
        <s v="E0993"/>
        <s v="E0994"/>
        <s v="E0995"/>
        <s v="E0996"/>
        <s v="E0997"/>
        <s v="E0998"/>
        <s v="E0999"/>
        <s v="E1000"/>
      </sharedItems>
    </cacheField>
    <cacheField name="full_name" numFmtId="0">
      <sharedItems count="579">
        <s v="Lamia Talukder"/>
        <s v="Ayesha Hasan"/>
        <s v="Sajid Rasheed"/>
        <s v="Shawon Rana"/>
        <s v="Zahid Morshed"/>
        <s v="Rashed Uddin"/>
        <s v="Karim Islam"/>
        <s v="Imran Ferdous"/>
        <s v="Ayesha Biswas"/>
        <s v="Mitu Haider"/>
        <s v="Lamia Ferdous"/>
        <s v="Sumaiya Parvin"/>
        <s v="Priya Mahmud"/>
        <s v="Sumaiya Sultana"/>
        <s v="Tania Anjum"/>
        <s v="Rashed Sadiq"/>
        <s v="Tasnim Sharmin"/>
        <s v="Noman Biswas"/>
        <s v="Nabila Rahman"/>
        <s v="Imran Kabir"/>
        <s v="Karim Banu"/>
        <s v="Tamanna Sarker"/>
        <s v="Arif Akter"/>
        <s v="Esha Miah"/>
        <s v="Fahim Amin"/>
        <s v="Tasnim Chowdhury"/>
        <s v="Tania Uddin"/>
        <s v="Rashed Rahman"/>
        <s v="Sadia Hasan"/>
        <s v="Zahid Hossain"/>
        <s v="Rafi Amin"/>
        <s v="Ayesha Rana"/>
        <s v="Jannat Morshed"/>
        <s v="Mahin Islam"/>
        <s v="Fahim Biswas"/>
        <s v="Zahid Banu"/>
        <s v="Shawon Anjum"/>
        <s v="Mahin Miah"/>
        <s v="Sadia Biswas"/>
        <s v="Shafiq Sadiq"/>
        <s v="Noman Khan"/>
        <s v="Esha Amin"/>
        <s v="Ovi Islam"/>
        <s v="Fahim Jahan"/>
        <s v="Rahim Akter"/>
        <s v="Mitu Sharmin"/>
        <s v="Noman Amin"/>
        <s v="Tania Ahmed"/>
        <s v="Tasnim Shah"/>
        <s v="Rahim Rasheed"/>
        <s v="Noman Sultana"/>
        <s v="Noman Hossain"/>
        <s v="Shawon Akter"/>
        <s v="Tamanna Rahman"/>
        <s v="Tania Amin"/>
        <s v="Sadia Rasheed"/>
        <s v="Shawon Miah"/>
        <s v="Ayesha Parvin"/>
        <s v="Sadia Miah"/>
        <s v="Nafiz Morshed"/>
        <s v="Fahim Hasan"/>
        <s v="Tasnim Alam"/>
        <s v="Lamia Biswas"/>
        <s v="Sadia Akter"/>
        <s v="Ovi Khan"/>
        <s v="Imran Islam"/>
        <s v="Sumaiya Alam"/>
        <s v="Priya Talukder"/>
        <s v="Mahin Khan"/>
        <s v="Fahim Talukder"/>
        <s v="Arif Talukder"/>
        <s v="Shawon Alam"/>
        <s v="Shafiq Sharmin"/>
        <s v="Rashed Miah"/>
        <s v="Sajid Sarker"/>
        <s v="Sumaiya Hossain"/>
        <s v="Tasnim Sultana"/>
        <s v="Tamanna Biswas"/>
        <s v="Lamia Akter"/>
        <s v="Rahim Islam"/>
        <s v="Ayesha Banu"/>
        <s v="Tamanna Rasheed"/>
        <s v="Rahim Khan"/>
        <s v="Mitu Rahman"/>
        <s v="Karim Kabir"/>
        <s v="Mitu Chowdhury"/>
        <s v="Nabila Sultana"/>
        <s v="Tamanna Parvin"/>
        <s v="Nafiz Ferdous"/>
        <s v="Nabila Sharmin"/>
        <s v="Rafi Sultana"/>
        <s v="Arif Miah"/>
        <s v="Shawon Ferdous"/>
        <s v="Fahim Sharmin"/>
        <s v="Rashed Talukder"/>
        <s v="Karim Shah"/>
        <s v="Sadia Sadiq"/>
        <s v="Rafi Parvin"/>
        <s v="Shafiq Hossain"/>
        <s v="Esha Rana"/>
        <s v="Zahid Sharmin"/>
        <s v="Rafi Khan"/>
        <s v="Rafi Miah"/>
        <s v="Ovi Haider"/>
        <s v="Nabila Sadiq"/>
        <s v="Rafi Banu"/>
        <s v="Nadia Sarker"/>
        <s v="Shafiq Anjum"/>
        <s v="Tamanna Sultana"/>
        <s v="Imran Shah"/>
        <s v="Arif Mahmud"/>
        <s v="Sumaiya Sharmin"/>
        <s v="Zahid Rasheed"/>
        <s v="Noman Morshed"/>
        <s v="Jannat Ahmed"/>
        <s v="Jannat Akter"/>
        <s v="Noman Chowdhury"/>
        <s v="Tasnim Sadiq"/>
        <s v="Arif Sultana"/>
        <s v="Sajid Islam"/>
        <s v="Mitu Ferdous"/>
        <s v="Nabila Rana"/>
        <s v="Tania Biswas"/>
        <s v="Lamia Haider"/>
        <s v="Karim Rana"/>
        <s v="Tasnim Talukder"/>
        <s v="Rafi Mahmud"/>
        <s v="Sajid Kabir"/>
        <s v="Nadia Sultana"/>
        <s v="Nadia Talukder"/>
        <s v="Sumaiya Banu"/>
        <s v="Mitu Hossain"/>
        <s v="Shawon Hasan"/>
        <s v="Esha Sharmin"/>
        <s v="Rashed Kabir"/>
        <s v="Sajid Rana"/>
        <s v="Shawon Talukder"/>
        <s v="Nabila Sarker"/>
        <s v="Sumaiya Rasheed"/>
        <s v="Ovi Hossain"/>
        <s v="Shawon Shah"/>
        <s v="Nabila Parvin"/>
        <s v="Esha Banu"/>
        <s v="Tania Parvin"/>
        <s v="Priya Akter"/>
        <s v="Tania Ferdous"/>
        <s v="Rafi Chowdhury"/>
        <s v="Tasnim Mahmud"/>
        <s v="Karim Sultana"/>
        <s v="Tania Rasheed"/>
        <s v="Esha Sultana"/>
        <s v="Sadia Ferdous"/>
        <s v="Mitu Biswas"/>
        <s v="Jannat Haider"/>
        <s v="Ovi Rahman"/>
        <s v="Karim Hasan"/>
        <s v="Esha Islam"/>
        <s v="Tamanna Sadiq"/>
        <s v="Nafiz Rana"/>
        <s v="Ayesha Sadiq"/>
        <s v="Shafiq Rasheed"/>
        <s v="Shafiq Akter"/>
        <s v="Lamia Miah"/>
        <s v="Mitu Sultana"/>
        <s v="Sajid Akter"/>
        <s v="Ovi Morshed"/>
        <s v="Zahid Kabir"/>
        <s v="Nabila Shah"/>
        <s v="Arif Hossain"/>
        <s v="Sajid Ahmed"/>
        <s v="Priya Amin"/>
        <s v="Mitu Anjum"/>
        <s v="Tasnim Rahman"/>
        <s v="Arif Morshed"/>
        <s v="Lamia Rahman"/>
        <s v="Ayesha Sharmin"/>
        <s v="Arif Khan"/>
        <s v="Noman Miah"/>
        <s v="Noman Ahmed"/>
        <s v="Nadia Kabir"/>
        <s v="Shawon Sharmin"/>
        <s v="Mitu Mahmud"/>
        <s v="Mitu Kabir"/>
        <s v="Lamia Hasan"/>
        <s v="Ovi Chowdhury"/>
        <s v="Jannat Islam"/>
        <s v="Zahid Uddin"/>
        <s v="Esha Kabir"/>
        <s v="Shafiq Miah"/>
        <s v="Noman Rasheed"/>
        <s v="Shafiq Islam"/>
        <s v="Ayesha Hossain"/>
        <s v="Nafiz Ahmed"/>
        <s v="Shafiq Jahan"/>
        <s v="Tamanna Banu"/>
        <s v="Ovi Kabir"/>
        <s v="Shafiq Haider"/>
        <s v="Noman Akter"/>
        <s v="Tamanna Rana"/>
        <s v="Priya Chowdhury"/>
        <s v="Farhan Talukder"/>
        <s v="Esha Akter"/>
        <s v="Mitu Uddin"/>
        <s v="Nadia Chowdhury"/>
        <s v="Farhan Sultana"/>
        <s v="Jannat Anjum"/>
        <s v="Shawon Sarker"/>
        <s v="Nabila Amin"/>
        <s v="Zahid Talukder"/>
        <s v="Sajid Uddin"/>
        <s v="Rahim Rahman"/>
        <s v="Sajid Banu"/>
        <s v="Nabila Uddin"/>
        <s v="Jannat Sharmin"/>
        <s v="Shawon Jahan"/>
        <s v="Mahin Anjum"/>
        <s v="Imran Akter"/>
        <s v="Mahin Hossain"/>
        <s v="Mahin Morshed"/>
        <s v="Priya Hossain"/>
        <s v="Nadia Banu"/>
        <s v="Nafiz Jahan"/>
        <s v="Ovi Rasheed"/>
        <s v="Karim Rasheed"/>
        <s v="Nafiz Talukder"/>
        <s v="Rashed Parvin"/>
        <s v="Rahim Morshed"/>
        <s v="Sadia Ahmed"/>
        <s v="Jannat Parvin"/>
        <s v="Shawon Biswas"/>
        <s v="Farhan Uddin"/>
        <s v="Rahim Sharmin"/>
        <s v="Zahid Sultana"/>
        <s v="Sajid Alam"/>
        <s v="Rahim Haider"/>
        <s v="Tasnim Rana"/>
        <s v="Shawon Sultana"/>
        <s v="Ayesha Miah"/>
        <s v="Jannat Hossain"/>
        <s v="Shafiq Amin"/>
        <s v="Karim Anjum"/>
        <s v="Rashed Alam"/>
        <s v="Priya Alam"/>
        <s v="Imran Anjum"/>
        <s v="Imran Ahmed"/>
        <s v="Shawon Khan"/>
        <s v="Zahid Parvin"/>
        <s v="Shawon Islam"/>
        <s v="Ovi Akter"/>
        <s v="Arif Rana"/>
        <s v="Rashed Sharmin"/>
        <s v="Sumaiya Rana"/>
        <s v="Rahim Biswas"/>
        <s v="Priya Shah"/>
        <s v="Sadia Kabir"/>
        <s v="Sadia Mahmud"/>
        <s v="Nadia Rasheed"/>
        <s v="Rafi Jahan"/>
        <s v="Nafiz Chowdhury"/>
        <s v="Fahim Parvin"/>
        <s v="Arif Rahman"/>
        <s v="Nafiz Alam"/>
        <s v="Tania Rahman"/>
        <s v="Sumaiya Akter"/>
        <s v="Mitu Banu"/>
        <s v="Tasnim Banu"/>
        <s v="Shawon Sadiq"/>
        <s v="Nadia Mahmud"/>
        <s v="Ovi Sharmin"/>
        <s v="Farhan Ahmed"/>
        <s v="Rashed Akter"/>
        <s v="Mitu Rasheed"/>
        <s v="Shawon Amin"/>
        <s v="Tania Shah"/>
        <s v="Arif Anjum"/>
        <s v="Zahid Haider"/>
        <s v="Noman Alam"/>
        <s v="Imran Rana"/>
        <s v="Tania Alam"/>
        <s v="Nafiz Parvin"/>
        <s v="Mitu Akter"/>
        <s v="Shawon Rasheed"/>
        <s v="Sajid Sadiq"/>
        <s v="Nabila Chowdhury"/>
        <s v="Ayesha Rasheed"/>
        <s v="Ayesha Ferdous"/>
        <s v="Karim Ahmed"/>
        <s v="Farhan Khan"/>
        <s v="Arif Sarker"/>
        <s v="Imran Hasan"/>
        <s v="Rahim Ahmed"/>
        <s v="Rahim Sultana"/>
        <s v="Esha Hasan"/>
        <s v="Priya Haider"/>
        <s v="Tania Sharmin"/>
        <s v="Tania Hossain"/>
        <s v="Shafiq Mahmud"/>
        <s v="Ovi Sadiq"/>
        <s v="Tamanna Haider"/>
        <s v="Sumaiya Morshed"/>
        <s v="Tasnim Akter"/>
        <s v="Ovi Shah"/>
        <s v="Karim Haider"/>
        <s v="Rafi Shah"/>
        <s v="Imran Sadiq"/>
        <s v="Farhan Sharmin"/>
        <s v="Sumaiya Sadiq"/>
        <s v="Karim Alam"/>
        <s v="Sadia Rahman"/>
        <s v="Shawon Rahman"/>
        <s v="Imran Chowdhury"/>
        <s v="Rafi Hossain"/>
        <s v="Jannat Shah"/>
        <s v="Fahim Sultana"/>
        <s v="Nafiz Banu"/>
        <s v="Tania Islam"/>
        <s v="Lamia Sadiq"/>
        <s v="Farhan Hasan"/>
        <s v="Rafi Sharmin"/>
        <s v="Imran Khan"/>
        <s v="Rahim Hossain"/>
        <s v="Karim Parvin"/>
        <s v="Ayesha Morshed"/>
        <s v="Nafiz Haider"/>
        <s v="Ayesha Shah"/>
        <s v="Mitu Alam"/>
        <s v="Shawon Morshed"/>
        <s v="Mitu Parvin"/>
        <s v="Ayesha Amin"/>
        <s v="Jannat Banu"/>
        <s v="Farhan Mahmud"/>
        <s v="Noman Jahan"/>
        <s v="Sadia Rana"/>
        <s v="Rashed Hossain"/>
        <s v="Lamia Sarker"/>
        <s v="Ayesha Mahmud"/>
        <s v="Nabila Ferdous"/>
        <s v="Sadia Banu"/>
        <s v="Lamia Shah"/>
        <s v="Arif Biswas"/>
        <s v="Ovi Miah"/>
        <s v="Karim Uddin"/>
        <s v="Lamia Anjum"/>
        <s v="Shawon Hossain"/>
        <s v="Tasnim Haider"/>
        <s v="Fahim Chowdhury"/>
        <s v="Fahim Miah"/>
        <s v="Nabila Mahmud"/>
        <s v="Tamanna Khan"/>
        <s v="Nafiz Sharmin"/>
        <s v="Arif Banu"/>
        <s v="Karim Morshed"/>
        <s v="Nafiz Akter"/>
        <s v="Shafiq Rahman"/>
        <s v="Fahim Ahmed"/>
        <s v="Shawon Parvin"/>
        <s v="Nafiz Miah"/>
        <s v="Jannat Talukder"/>
        <s v="Rafi Ahmed"/>
        <s v="Rashed Jahan"/>
        <s v="Rahim Mahmud"/>
        <s v="Tania Hasan"/>
        <s v="Rashed Haider"/>
        <s v="Ovi Amin"/>
        <s v="Rafi Rasheed"/>
        <s v="Noman Anjum"/>
        <s v="Lamia Islam"/>
        <s v="Nadia Shah"/>
        <s v="Karim Rahman"/>
        <s v="Zahid Shah"/>
        <s v="Priya Rahman"/>
        <s v="Nadia Sharmin"/>
        <s v="Nafiz Islam"/>
        <s v="Ayesha Chowdhury"/>
        <s v="Nafiz Rahman"/>
        <s v="Tamanna Miah"/>
        <s v="Tania Akter"/>
        <s v="Esha Parvin"/>
        <s v="Karim Ferdous"/>
        <s v="Esha Khan"/>
        <s v="Tania Banu"/>
        <s v="Priya Rana"/>
        <s v="Priya Sarker"/>
        <s v="Fahim Kabir"/>
        <s v="Esha Jahan"/>
        <s v="Ovi Mahmud"/>
        <s v="Ovi Parvin"/>
        <s v="Rashed Hasan"/>
        <s v="Sajid Chowdhury"/>
        <s v="Farhan Chowdhury"/>
        <s v="Lamia Chowdhury"/>
        <s v="Rafi Sarker"/>
        <s v="Tania Rana"/>
        <s v="Noman Haider"/>
        <s v="Sadia Chowdhury"/>
        <s v="Ayesha Ahmed"/>
        <s v="Sumaiya Shah"/>
        <s v="Karim Sharmin"/>
        <s v="Rashed Rana"/>
        <s v="Nabila Islam"/>
        <s v="Fahim Islam"/>
        <s v="Mahin Akter"/>
        <s v="Farhan Sarker"/>
        <s v="Nabila Banu"/>
        <s v="Arif Kabir"/>
        <s v="Ayesha Talukder"/>
        <s v="Nadia Hasan"/>
        <s v="Tania Sultana"/>
        <s v="Sadia Talukder"/>
        <s v="Mahin Sarker"/>
        <s v="Rafi Sadiq"/>
        <s v="Nafiz Rasheed"/>
        <s v="Fahim Alam"/>
        <s v="Rahim Hasan"/>
        <s v="Noman Shah"/>
        <s v="Sumaiya Chowdhury"/>
        <s v="Nafiz Uddin"/>
        <s v="Tasnim Hasan"/>
        <s v="Farhan Alam"/>
        <s v="Rashed Morshed"/>
        <s v="Rashed Ahmed"/>
        <s v="Jannat Amin"/>
        <s v="Sajid Parvin"/>
        <s v="Shawon Kabir"/>
        <s v="Sadia Khan"/>
        <s v="Tania Sarker"/>
        <s v="Noman Hasan"/>
        <s v="Mitu Morshed"/>
        <s v="Nadia Hossain"/>
        <s v="Jannat Rahman"/>
        <s v="Tamanna Kabir"/>
        <s v="Shafiq Hasan"/>
        <s v="Sajid Rahman"/>
        <s v="Rafi Akter"/>
        <s v="Nadia Morshed"/>
        <s v="Priya Morshed"/>
        <s v="Farhan Anjum"/>
        <s v="Mahin Banu"/>
        <s v="Tamanna Shah"/>
        <s v="Tamanna Ahmed"/>
        <s v="Farhan Rahman"/>
        <s v="Rahim Banu"/>
        <s v="Mahin Rahman"/>
        <s v="Farhan Amin"/>
        <s v="Jannat Sarker"/>
        <s v="Karim Talukder"/>
        <s v="Nabila Jahan"/>
        <s v="Shafiq Uddin"/>
        <s v="Tasnim Sarker"/>
        <s v="Nafiz Hossain"/>
        <s v="Rafi Anjum"/>
        <s v="Sajid Jahan"/>
        <s v="Sadia Islam"/>
        <s v="Noman Sharmin"/>
        <s v="Rashed Anjum"/>
        <s v="Arif Haider"/>
        <s v="Karim Mahmud"/>
        <s v="Tamanna Sharmin"/>
        <s v="Rahim Miah"/>
        <s v="Farhan Sadiq"/>
        <s v="Imran Sharmin"/>
        <s v="Fahim Rana"/>
        <s v="Zahid Rahman"/>
        <s v="Mahin Shah"/>
        <s v="Ovi Uddin"/>
        <s v="Tania Mahmud"/>
        <s v="Arif Uddin"/>
        <s v="Sumaiya Haider"/>
        <s v="Lamia Sharmin"/>
        <s v="Lamia Khan"/>
        <s v="Sajid Anjum"/>
        <s v="Nabila Hasan"/>
        <s v="Sadia Jahan"/>
        <s v="Sadia Sarker"/>
        <s v="Shawon Uddin"/>
        <s v="Tamanna Alam"/>
        <s v="Mahin Rasheed"/>
        <s v="Mahin Amin"/>
        <s v="Lamia Rasheed"/>
        <s v="Esha Talukder"/>
        <s v="Tamanna Morshed"/>
        <s v="Tamanna Chowdhury"/>
        <s v="Tasnim Hossain"/>
        <s v="Tania Chowdhury"/>
        <s v="Mahin Haider"/>
        <s v="Farhan Rasheed"/>
        <s v="Shafiq Banu"/>
        <s v="Noman Rana"/>
        <s v="Nadia Ferdous"/>
        <s v="Sajid Biswas"/>
        <s v="Rashed Biswas"/>
        <s v="Mahin Ferdous"/>
        <s v="Sadia Anjum"/>
        <s v="Nabila Morshed"/>
        <s v="Ovi Rana"/>
        <s v="Shafiq Chowdhury"/>
        <s v="Nadia Khan"/>
        <s v="Rafi Alam"/>
        <s v="Arif Chowdhury"/>
        <s v="Ovi Biswas"/>
        <s v="Arif Islam"/>
        <s v="Ayesha Jahan"/>
        <s v="Lamia Amin"/>
        <s v="Shawon Haider"/>
        <s v="Nabila Miah"/>
        <s v="Shafiq Rana"/>
        <s v="Rafi Biswas"/>
        <s v="Nabila Khan"/>
        <s v="Shawon Banu"/>
        <s v="Tasnim Ahmed"/>
        <s v="Esha Sarker"/>
        <s v="Rafi Uddin"/>
        <s v="Karim Biswas"/>
        <s v="Nafiz Hasan"/>
        <s v="Sajid Amin"/>
        <s v="Nadia Rana"/>
        <s v="Zahid Sadiq"/>
        <s v="Mahin Mahmud"/>
        <s v="Fahim Banu"/>
        <s v="Rahim Shah"/>
        <s v="Mitu Islam"/>
        <s v="Nabila Anjum"/>
        <s v="Noman Talukder"/>
        <s v="Farhan Rana"/>
        <s v="Farhan Jahan"/>
        <s v="Shafiq Ferdous"/>
        <s v="Sajid Sultana"/>
        <s v="Mahin Biswas"/>
        <s v="Ayesha Kabir"/>
        <s v="Nafiz Shah"/>
        <s v="Sumaiya Talukder"/>
        <s v="Zahid Islam"/>
        <s v="Esha Mahmud"/>
        <s v="Esha Ferdous"/>
        <s v="Tasnim Ferdous"/>
        <s v="Sajid Miah"/>
        <s v="Nadia Ahmed"/>
        <s v="Shafiq Alam"/>
        <s v="Esha Haider"/>
        <s v="Jannat Khan"/>
        <s v="Nabila Haider"/>
        <s v="Tania Sadiq"/>
        <s v="Imran Banu"/>
        <s v="Arif Amin"/>
        <s v="Ayesha Anjum"/>
        <s v="Shafiq Biswas"/>
        <s v="Rafi Morshed"/>
        <s v="Rahim Alam"/>
        <s v="Tasnim Miah"/>
        <s v="Mahin Hasan"/>
        <s v="Sadia Haider"/>
        <s v="Esha Anjum"/>
        <s v="Tania Talukder"/>
        <s v="Ayesha Islam"/>
        <s v="Arif Sadiq"/>
        <s v="Jannat Kabir"/>
        <s v="Zahid Chowdhury"/>
        <s v="Tamanna Talukder"/>
        <s v="Priya Sharmin"/>
        <s v="Nabila Talukder"/>
        <s v="Rashed Khan"/>
        <s v="Farhan Akter"/>
        <s v="Shafiq Shah"/>
        <s v="Tasnim Islam"/>
        <s v="Rashed Rasheed"/>
        <s v="Mahin Parvin"/>
        <s v="Imran Rahman"/>
        <s v="Karim Miah"/>
        <s v="Ovi Ahmed"/>
        <s v="Tamanna Hasan"/>
        <s v="Arif Ahmed"/>
        <s v="Imran Parvin"/>
        <s v="Sumaiya Anjum"/>
        <s v="Mahin Sadiq"/>
        <s v="Nadia Amin"/>
        <s v="Sajid Hossain"/>
        <s v="Fahim Shah"/>
        <s v="Arif Sharmin"/>
        <s v="Esha Uddin"/>
      </sharedItems>
    </cacheField>
    <cacheField name="gender" numFmtId="0">
      <sharedItems count="4">
        <s v="Female"/>
        <s v="Male"/>
        <s v="Non-binary"/>
        <s v="Prefer not to say"/>
      </sharedItems>
    </cacheField>
    <cacheField name="department" numFmtId="0">
      <sharedItems count="8">
        <s v="Sales"/>
        <s v="Customer Success"/>
        <s v="Finance"/>
        <s v="HR"/>
        <s v="Engineering"/>
        <s v="Operations"/>
        <s v="Product"/>
        <s v="Marketing"/>
      </sharedItems>
    </cacheField>
    <cacheField name="job_title" numFmtId="0">
      <sharedItems count="33">
        <s v="Sales Associate"/>
        <s v="Support Specialist"/>
        <s v="Finance Manager"/>
        <s v="HR Business Partner"/>
        <s v="DevOps Engineer"/>
        <s v="QA Engineer"/>
        <s v="Operations Manager"/>
        <s v="HR Associate"/>
        <s v="Financial Analyst"/>
        <s v="Software Engineer"/>
        <s v="Customer Success Manager"/>
        <s v="Junior Software Engineer"/>
        <s v="Engineering Manager"/>
        <s v="Product Analyst"/>
        <s v="Growth Marketer"/>
        <s v="Sales Manager"/>
        <s v="Senior Product Manager"/>
        <s v="Supply Chain Analyst"/>
        <s v="SEO Specialist"/>
        <s v="Recruiter"/>
        <s v="Senior Software Engineer"/>
        <s v="Support Associate"/>
        <s v="Associate Product Manager"/>
        <s v="Accounts Executive"/>
        <s v="Account Executive"/>
        <s v="Marketing Associate"/>
        <s v="Marketing Manager"/>
        <s v="HR Manager"/>
        <s v="Senior Account Executive"/>
        <s v="Operations Associate"/>
        <s v="Senior Financial Analyst"/>
        <s v="Product Manager"/>
        <s v="Content Specialist"/>
      </sharedItems>
    </cacheField>
    <cacheField name="employment_type" numFmtId="0">
      <sharedItems count="3">
        <s v="Full-time"/>
        <s v="Intern"/>
        <s v="Contract"/>
      </sharedItems>
    </cacheField>
    <cacheField name="location" numFmtId="0">
      <sharedItems count="6">
        <s v="Khulna"/>
        <s v="Remote"/>
        <s v="Sylhet"/>
        <s v="Dhaka"/>
        <s v="Chattogram"/>
        <s v="Rajshahi"/>
      </sharedItems>
    </cacheField>
    <cacheField name="hire_date" numFmtId="183">
      <sharedItems containsSemiMixedTypes="0" containsString="0" containsNonDate="0" containsDate="1" minDate="2016-01-07T00:00:00" maxDate="2025-09-01T00:00:00" count="864">
        <d v="2017-02-10T00:00:00"/>
        <d v="2023-09-09T00:00:00"/>
        <d v="2020-02-13T00:00:00"/>
        <d v="2022-02-08T00:00:00"/>
        <d v="2023-03-26T00:00:00"/>
        <d v="2020-01-09T00:00:00"/>
        <d v="2016-09-05T00:00:00"/>
        <d v="2020-06-18T00:00:00"/>
        <d v="2019-02-04T00:00:00"/>
        <d v="2018-02-16T00:00:00"/>
        <d v="2017-05-15T00:00:00"/>
        <d v="2025-07-05T00:00:00"/>
        <d v="2025-03-29T00:00:00"/>
        <d v="2021-02-05T00:00:00"/>
        <d v="2017-01-10T00:00:00"/>
        <d v="2023-06-07T00:00:00"/>
        <d v="2018-05-18T00:00:00"/>
        <d v="2023-03-13T00:00:00"/>
        <d v="2023-03-04T00:00:00"/>
        <d v="2022-09-11T00:00:00"/>
        <d v="2016-03-28T00:00:00"/>
        <d v="2016-07-26T00:00:00"/>
        <d v="2024-10-27T00:00:00"/>
        <d v="2019-09-28T00:00:00"/>
        <d v="2018-09-24T00:00:00"/>
        <d v="2017-05-30T00:00:00"/>
        <d v="2024-10-28T00:00:00"/>
        <d v="2022-05-01T00:00:00"/>
        <d v="2018-04-20T00:00:00"/>
        <d v="2016-10-08T00:00:00"/>
        <d v="2025-04-21T00:00:00"/>
        <d v="2024-07-31T00:00:00"/>
        <d v="2022-03-20T00:00:00"/>
        <d v="2018-04-28T00:00:00"/>
        <d v="2022-07-29T00:00:00"/>
        <d v="2018-06-03T00:00:00"/>
        <d v="2025-02-12T00:00:00"/>
        <d v="2018-08-12T00:00:00"/>
        <d v="2019-09-07T00:00:00"/>
        <d v="2024-09-06T00:00:00"/>
        <d v="2017-08-27T00:00:00"/>
        <d v="2024-11-04T00:00:00"/>
        <d v="2022-09-07T00:00:00"/>
        <d v="2016-01-12T00:00:00"/>
        <d v="2019-02-09T00:00:00"/>
        <d v="2025-08-17T00:00:00"/>
        <d v="2017-08-15T00:00:00"/>
        <d v="2017-06-16T00:00:00"/>
        <d v="2022-01-21T00:00:00"/>
        <d v="2018-10-23T00:00:00"/>
        <d v="2024-12-14T00:00:00"/>
        <d v="2017-12-15T00:00:00"/>
        <d v="2017-03-26T00:00:00"/>
        <d v="2023-05-31T00:00:00"/>
        <d v="2016-04-15T00:00:00"/>
        <d v="2017-06-23T00:00:00"/>
        <d v="2016-03-01T00:00:00"/>
        <d v="2020-01-07T00:00:00"/>
        <d v="2024-11-09T00:00:00"/>
        <d v="2024-11-03T00:00:00"/>
        <d v="2018-09-01T00:00:00"/>
        <d v="2022-08-08T00:00:00"/>
        <d v="2019-08-19T00:00:00"/>
        <d v="2016-03-05T00:00:00"/>
        <d v="2017-12-14T00:00:00"/>
        <d v="2018-12-22T00:00:00"/>
        <d v="2016-08-02T00:00:00"/>
        <d v="2017-06-03T00:00:00"/>
        <d v="2024-04-26T00:00:00"/>
        <d v="2020-09-20T00:00:00"/>
        <d v="2021-11-24T00:00:00"/>
        <d v="2017-04-10T00:00:00"/>
        <d v="2024-05-12T00:00:00"/>
        <d v="2016-09-17T00:00:00"/>
        <d v="2021-05-04T00:00:00"/>
        <d v="2021-01-10T00:00:00"/>
        <d v="2024-09-21T00:00:00"/>
        <d v="2020-01-22T00:00:00"/>
        <d v="2021-10-03T00:00:00"/>
        <d v="2022-08-28T00:00:00"/>
        <d v="2017-03-22T00:00:00"/>
        <d v="2021-01-25T00:00:00"/>
        <d v="2021-08-25T00:00:00"/>
        <d v="2018-06-26T00:00:00"/>
        <d v="2022-11-24T00:00:00"/>
        <d v="2016-06-26T00:00:00"/>
        <d v="2024-02-26T00:00:00"/>
        <d v="2024-10-13T00:00:00"/>
        <d v="2023-05-22T00:00:00"/>
        <d v="2021-11-05T00:00:00"/>
        <d v="2019-05-20T00:00:00"/>
        <d v="2021-02-19T00:00:00"/>
        <d v="2023-03-20T00:00:00"/>
        <d v="2016-05-07T00:00:00"/>
        <d v="2016-09-06T00:00:00"/>
        <d v="2021-05-15T00:00:00"/>
        <d v="2025-07-02T00:00:00"/>
        <d v="2020-07-03T00:00:00"/>
        <d v="2020-10-12T00:00:00"/>
        <d v="2023-09-11T00:00:00"/>
        <d v="2017-03-18T00:00:00"/>
        <d v="2021-07-01T00:00:00"/>
        <d v="2023-12-27T00:00:00"/>
        <d v="2020-12-21T00:00:00"/>
        <d v="2016-10-28T00:00:00"/>
        <d v="2016-11-26T00:00:00"/>
        <d v="2019-08-12T00:00:00"/>
        <d v="2022-10-27T00:00:00"/>
        <d v="2017-08-30T00:00:00"/>
        <d v="2016-09-26T00:00:00"/>
        <d v="2017-05-31T00:00:00"/>
        <d v="2019-01-31T00:00:00"/>
        <d v="2023-01-01T00:00:00"/>
        <d v="2023-02-06T00:00:00"/>
        <d v="2022-07-25T00:00:00"/>
        <d v="2022-02-24T00:00:00"/>
        <d v="2023-12-26T00:00:00"/>
        <d v="2019-08-24T00:00:00"/>
        <d v="2020-04-09T00:00:00"/>
        <d v="2022-09-12T00:00:00"/>
        <d v="2021-12-13T00:00:00"/>
        <d v="2019-04-22T00:00:00"/>
        <d v="2021-02-01T00:00:00"/>
        <d v="2021-09-01T00:00:00"/>
        <d v="2022-10-15T00:00:00"/>
        <d v="2020-10-28T00:00:00"/>
        <d v="2024-11-22T00:00:00"/>
        <d v="2023-11-14T00:00:00"/>
        <d v="2017-04-13T00:00:00"/>
        <d v="2025-07-25T00:00:00"/>
        <d v="2023-05-05T00:00:00"/>
        <d v="2023-04-20T00:00:00"/>
        <d v="2024-08-15T00:00:00"/>
        <d v="2022-03-08T00:00:00"/>
        <d v="2024-01-31T00:00:00"/>
        <d v="2018-05-30T00:00:00"/>
        <d v="2020-10-27T00:00:00"/>
        <d v="2021-01-23T00:00:00"/>
        <d v="2018-07-24T00:00:00"/>
        <d v="2020-08-21T00:00:00"/>
        <d v="2019-10-20T00:00:00"/>
        <d v="2025-04-12T00:00:00"/>
        <d v="2021-01-31T00:00:00"/>
        <d v="2020-06-21T00:00:00"/>
        <d v="2020-08-30T00:00:00"/>
        <d v="2024-03-07T00:00:00"/>
        <d v="2017-01-24T00:00:00"/>
        <d v="2019-07-04T00:00:00"/>
        <d v="2020-10-14T00:00:00"/>
        <d v="2023-06-17T00:00:00"/>
        <d v="2018-11-10T00:00:00"/>
        <d v="2020-03-13T00:00:00"/>
        <d v="2017-09-17T00:00:00"/>
        <d v="2023-09-14T00:00:00"/>
        <d v="2021-04-26T00:00:00"/>
        <d v="2016-10-01T00:00:00"/>
        <d v="2017-01-08T00:00:00"/>
        <d v="2025-04-29T00:00:00"/>
        <d v="2016-12-15T00:00:00"/>
        <d v="2017-01-16T00:00:00"/>
        <d v="2020-11-03T00:00:00"/>
        <d v="2017-01-30T00:00:00"/>
        <d v="2024-05-07T00:00:00"/>
        <d v="2024-04-14T00:00:00"/>
        <d v="2020-03-06T00:00:00"/>
        <d v="2025-02-07T00:00:00"/>
        <d v="2022-03-28T00:00:00"/>
        <d v="2016-09-02T00:00:00"/>
        <d v="2022-07-30T00:00:00"/>
        <d v="2022-04-19T00:00:00"/>
        <d v="2019-09-12T00:00:00"/>
        <d v="2023-07-07T00:00:00"/>
        <d v="2020-08-09T00:00:00"/>
        <d v="2019-12-19T00:00:00"/>
        <d v="2023-06-18T00:00:00"/>
        <d v="2024-05-31T00:00:00"/>
        <d v="2020-09-28T00:00:00"/>
        <d v="2024-02-01T00:00:00"/>
        <d v="2016-07-29T00:00:00"/>
        <d v="2019-03-24T00:00:00"/>
        <d v="2022-09-25T00:00:00"/>
        <d v="2019-07-03T00:00:00"/>
        <d v="2019-12-11T00:00:00"/>
        <d v="2017-02-28T00:00:00"/>
        <d v="2022-06-25T00:00:00"/>
        <d v="2021-09-09T00:00:00"/>
        <d v="2018-05-21T00:00:00"/>
        <d v="2017-09-25T00:00:00"/>
        <d v="2023-05-13T00:00:00"/>
        <d v="2021-05-29T00:00:00"/>
        <d v="2018-07-07T00:00:00"/>
        <d v="2017-03-19T00:00:00"/>
        <d v="2019-12-05T00:00:00"/>
        <d v="2025-06-24T00:00:00"/>
        <d v="2020-02-14T00:00:00"/>
        <d v="2017-04-15T00:00:00"/>
        <d v="2024-07-20T00:00:00"/>
        <d v="2019-02-15T00:00:00"/>
        <d v="2022-06-09T00:00:00"/>
        <d v="2018-07-15T00:00:00"/>
        <d v="2025-01-19T00:00:00"/>
        <d v="2020-10-23T00:00:00"/>
        <d v="2025-06-23T00:00:00"/>
        <d v="2022-04-16T00:00:00"/>
        <d v="2024-08-09T00:00:00"/>
        <d v="2025-03-06T00:00:00"/>
        <d v="2022-12-21T00:00:00"/>
        <d v="2022-11-18T00:00:00"/>
        <d v="2023-07-27T00:00:00"/>
        <d v="2023-03-17T00:00:00"/>
        <d v="2022-03-30T00:00:00"/>
        <d v="2016-04-17T00:00:00"/>
        <d v="2022-10-30T00:00:00"/>
        <d v="2023-05-18T00:00:00"/>
        <d v="2025-04-20T00:00:00"/>
        <d v="2023-10-11T00:00:00"/>
        <d v="2018-12-31T00:00:00"/>
        <d v="2016-04-28T00:00:00"/>
        <d v="2018-01-08T00:00:00"/>
        <d v="2019-01-24T00:00:00"/>
        <d v="2023-11-18T00:00:00"/>
        <d v="2024-07-19T00:00:00"/>
        <d v="2019-06-19T00:00:00"/>
        <d v="2019-10-23T00:00:00"/>
        <d v="2019-12-08T00:00:00"/>
        <d v="2016-01-26T00:00:00"/>
        <d v="2018-01-13T00:00:00"/>
        <d v="2017-08-09T00:00:00"/>
        <d v="2022-05-08T00:00:00"/>
        <d v="2023-05-16T00:00:00"/>
        <d v="2020-06-29T00:00:00"/>
        <d v="2016-10-12T00:00:00"/>
        <d v="2017-08-04T00:00:00"/>
        <d v="2024-04-23T00:00:00"/>
        <d v="2016-05-05T00:00:00"/>
        <d v="2024-05-14T00:00:00"/>
        <d v="2021-12-12T00:00:00"/>
        <d v="2018-05-31T00:00:00"/>
        <d v="2020-03-20T00:00:00"/>
        <d v="2020-09-15T00:00:00"/>
        <d v="2019-10-28T00:00:00"/>
        <d v="2017-10-06T00:00:00"/>
        <d v="2020-02-24T00:00:00"/>
        <d v="2019-06-30T00:00:00"/>
        <d v="2024-02-03T00:00:00"/>
        <d v="2019-08-21T00:00:00"/>
        <d v="2024-09-16T00:00:00"/>
        <d v="2022-05-13T00:00:00"/>
        <d v="2022-09-08T00:00:00"/>
        <d v="2016-12-13T00:00:00"/>
        <d v="2016-08-03T00:00:00"/>
        <d v="2017-09-29T00:00:00"/>
        <d v="2024-06-17T00:00:00"/>
        <d v="2022-12-05T00:00:00"/>
        <d v="2016-07-22T00:00:00"/>
        <d v="2023-07-23T00:00:00"/>
        <d v="2016-11-30T00:00:00"/>
        <d v="2019-01-19T00:00:00"/>
        <d v="2020-12-19T00:00:00"/>
        <d v="2023-06-04T00:00:00"/>
        <d v="2020-10-02T00:00:00"/>
        <d v="2021-06-12T00:00:00"/>
        <d v="2022-10-22T00:00:00"/>
        <d v="2020-12-15T00:00:00"/>
        <d v="2020-08-23T00:00:00"/>
        <d v="2019-01-23T00:00:00"/>
        <d v="2018-06-01T00:00:00"/>
        <d v="2024-06-19T00:00:00"/>
        <d v="2021-09-29T00:00:00"/>
        <d v="2017-04-11T00:00:00"/>
        <d v="2019-11-14T00:00:00"/>
        <d v="2020-10-26T00:00:00"/>
        <d v="2017-03-30T00:00:00"/>
        <d v="2019-03-06T00:00:00"/>
        <d v="2023-08-09T00:00:00"/>
        <d v="2023-08-11T00:00:00"/>
        <d v="2022-08-26T00:00:00"/>
        <d v="2021-06-16T00:00:00"/>
        <d v="2021-11-28T00:00:00"/>
        <d v="2023-06-25T00:00:00"/>
        <d v="2019-06-17T00:00:00"/>
        <d v="2016-07-05T00:00:00"/>
        <d v="2018-06-22T00:00:00"/>
        <d v="2020-06-06T00:00:00"/>
        <d v="2022-09-20T00:00:00"/>
        <d v="2016-08-12T00:00:00"/>
        <d v="2016-02-01T00:00:00"/>
        <d v="2018-04-17T00:00:00"/>
        <d v="2019-05-19T00:00:00"/>
        <d v="2018-05-15T00:00:00"/>
        <d v="2017-07-16T00:00:00"/>
        <d v="2024-07-27T00:00:00"/>
        <d v="2018-11-12T00:00:00"/>
        <d v="2019-03-31T00:00:00"/>
        <d v="2019-09-05T00:00:00"/>
        <d v="2017-05-06T00:00:00"/>
        <d v="2021-07-30T00:00:00"/>
        <d v="2024-05-17T00:00:00"/>
        <d v="2020-10-29T00:00:00"/>
        <d v="2017-12-20T00:00:00"/>
        <d v="2017-06-13T00:00:00"/>
        <d v="2020-04-06T00:00:00"/>
        <d v="2021-12-21T00:00:00"/>
        <d v="2023-11-22T00:00:00"/>
        <d v="2018-07-31T00:00:00"/>
        <d v="2021-08-11T00:00:00"/>
        <d v="2022-04-07T00:00:00"/>
        <d v="2025-05-06T00:00:00"/>
        <d v="2023-06-29T00:00:00"/>
        <d v="2025-01-15T00:00:00"/>
        <d v="2019-12-21T00:00:00"/>
        <d v="2016-10-22T00:00:00"/>
        <d v="2020-06-14T00:00:00"/>
        <d v="2025-08-30T00:00:00"/>
        <d v="2024-04-27T00:00:00"/>
        <d v="2016-06-22T00:00:00"/>
        <d v="2020-11-21T00:00:00"/>
        <d v="2016-03-17T00:00:00"/>
        <d v="2021-02-26T00:00:00"/>
        <d v="2016-11-14T00:00:00"/>
        <d v="2025-09-01T00:00:00"/>
        <d v="2019-07-06T00:00:00"/>
        <d v="2022-06-16T00:00:00"/>
        <d v="2020-10-24T00:00:00"/>
        <d v="2022-06-06T00:00:00"/>
        <d v="2020-07-14T00:00:00"/>
        <d v="2023-12-16T00:00:00"/>
        <d v="2023-03-07T00:00:00"/>
        <d v="2020-09-06T00:00:00"/>
        <d v="2017-04-16T00:00:00"/>
        <d v="2020-07-17T00:00:00"/>
        <d v="2016-03-26T00:00:00"/>
        <d v="2019-08-23T00:00:00"/>
        <d v="2017-12-04T00:00:00"/>
        <d v="2024-12-26T00:00:00"/>
        <d v="2022-12-06T00:00:00"/>
        <d v="2021-02-27T00:00:00"/>
        <d v="2025-04-30T00:00:00"/>
        <d v="2023-09-25T00:00:00"/>
        <d v="2016-12-26T00:00:00"/>
        <d v="2020-11-23T00:00:00"/>
        <d v="2025-06-21T00:00:00"/>
        <d v="2017-03-09T00:00:00"/>
        <d v="2018-09-23T00:00:00"/>
        <d v="2020-11-19T00:00:00"/>
        <d v="2022-08-09T00:00:00"/>
        <d v="2020-06-28T00:00:00"/>
        <d v="2021-11-16T00:00:00"/>
        <d v="2016-11-18T00:00:00"/>
        <d v="2020-06-09T00:00:00"/>
        <d v="2019-06-24T00:00:00"/>
        <d v="2019-10-22T00:00:00"/>
        <d v="2019-09-26T00:00:00"/>
        <d v="2024-09-26T00:00:00"/>
        <d v="2017-11-19T00:00:00"/>
        <d v="2016-11-08T00:00:00"/>
        <d v="2021-09-21T00:00:00"/>
        <d v="2017-04-12T00:00:00"/>
        <d v="2021-09-19T00:00:00"/>
        <d v="2018-03-05T00:00:00"/>
        <d v="2024-09-14T00:00:00"/>
        <d v="2019-12-02T00:00:00"/>
        <d v="2019-12-09T00:00:00"/>
        <d v="2024-02-27T00:00:00"/>
        <d v="2025-03-08T00:00:00"/>
        <d v="2023-03-28T00:00:00"/>
        <d v="2025-02-20T00:00:00"/>
        <d v="2018-08-25T00:00:00"/>
        <d v="2017-02-25T00:00:00"/>
        <d v="2017-08-22T00:00:00"/>
        <d v="2018-11-14T00:00:00"/>
        <d v="2018-03-19T00:00:00"/>
        <d v="2017-12-11T00:00:00"/>
        <d v="2022-10-03T00:00:00"/>
        <d v="2017-09-18T00:00:00"/>
        <d v="2024-07-10T00:00:00"/>
        <d v="2024-07-06T00:00:00"/>
        <d v="2023-05-08T00:00:00"/>
        <d v="2016-11-04T00:00:00"/>
        <d v="2017-12-26T00:00:00"/>
        <d v="2024-08-31T00:00:00"/>
        <d v="2023-01-16T00:00:00"/>
        <d v="2021-07-16T00:00:00"/>
        <d v="2021-03-15T00:00:00"/>
        <d v="2022-04-28T00:00:00"/>
        <d v="2024-07-09T00:00:00"/>
        <d v="2022-07-01T00:00:00"/>
        <d v="2021-01-12T00:00:00"/>
        <d v="2023-08-21T00:00:00"/>
        <d v="2023-03-18T00:00:00"/>
        <d v="2023-02-15T00:00:00"/>
        <d v="2023-01-02T00:00:00"/>
        <d v="2019-08-16T00:00:00"/>
        <d v="2023-01-13T00:00:00"/>
        <d v="2019-07-18T00:00:00"/>
        <d v="2017-09-10T00:00:00"/>
        <d v="2020-12-06T00:00:00"/>
        <d v="2016-10-06T00:00:00"/>
        <d v="2021-04-04T00:00:00"/>
        <d v="2020-12-16T00:00:00"/>
        <d v="2023-01-30T00:00:00"/>
        <d v="2019-05-25T00:00:00"/>
        <d v="2024-12-05T00:00:00"/>
        <d v="2019-01-30T00:00:00"/>
        <d v="2022-08-19T00:00:00"/>
        <d v="2016-08-18T00:00:00"/>
        <d v="2019-12-12T00:00:00"/>
        <d v="2016-10-30T00:00:00"/>
        <d v="2019-06-25T00:00:00"/>
        <d v="2021-03-06T00:00:00"/>
        <d v="2016-06-03T00:00:00"/>
        <d v="2016-08-21T00:00:00"/>
        <d v="2020-02-19T00:00:00"/>
        <d v="2019-03-21T00:00:00"/>
        <d v="2016-11-10T00:00:00"/>
        <d v="2023-03-25T00:00:00"/>
        <d v="2025-08-04T00:00:00"/>
        <d v="2017-01-04T00:00:00"/>
        <d v="2022-08-30T00:00:00"/>
        <d v="2021-09-07T00:00:00"/>
        <d v="2020-04-23T00:00:00"/>
        <d v="2021-03-10T00:00:00"/>
        <d v="2022-07-05T00:00:00"/>
        <d v="2024-11-17T00:00:00"/>
        <d v="2016-06-17T00:00:00"/>
        <d v="2021-01-16T00:00:00"/>
        <d v="2025-01-30T00:00:00"/>
        <d v="2022-05-30T00:00:00"/>
        <d v="2023-04-23T00:00:00"/>
        <d v="2018-02-10T00:00:00"/>
        <d v="2019-08-09T00:00:00"/>
        <d v="2022-10-14T00:00:00"/>
        <d v="2021-05-02T00:00:00"/>
        <d v="2021-08-15T00:00:00"/>
        <d v="2017-09-09T00:00:00"/>
        <d v="2016-09-10T00:00:00"/>
        <d v="2021-01-19T00:00:00"/>
        <d v="2017-02-27T00:00:00"/>
        <d v="2025-02-03T00:00:00"/>
        <d v="2025-05-22T00:00:00"/>
        <d v="2019-11-07T00:00:00"/>
        <d v="2024-01-04T00:00:00"/>
        <d v="2016-12-11T00:00:00"/>
        <d v="2021-08-28T00:00:00"/>
        <d v="2023-03-31T00:00:00"/>
        <d v="2017-12-07T00:00:00"/>
        <d v="2016-06-09T00:00:00"/>
        <d v="2018-10-11T00:00:00"/>
        <d v="2023-12-08T00:00:00"/>
        <d v="2020-11-28T00:00:00"/>
        <d v="2020-12-04T00:00:00"/>
        <d v="2021-11-11T00:00:00"/>
        <d v="2022-11-02T00:00:00"/>
        <d v="2017-10-12T00:00:00"/>
        <d v="2020-01-30T00:00:00"/>
        <d v="2020-03-07T00:00:00"/>
        <d v="2019-03-04T00:00:00"/>
        <d v="2020-05-05T00:00:00"/>
        <d v="2020-08-01T00:00:00"/>
        <d v="2024-09-07T00:00:00"/>
        <d v="2019-10-17T00:00:00"/>
        <d v="2023-08-12T00:00:00"/>
        <d v="2022-09-14T00:00:00"/>
        <d v="2024-11-06T00:00:00"/>
        <d v="2023-01-28T00:00:00"/>
        <d v="2023-04-05T00:00:00"/>
        <d v="2019-10-02T00:00:00"/>
        <d v="2017-01-22T00:00:00"/>
        <d v="2022-04-04T00:00:00"/>
        <d v="2023-08-10T00:00:00"/>
        <d v="2020-05-02T00:00:00"/>
        <d v="2019-03-09T00:00:00"/>
        <d v="2018-10-29T00:00:00"/>
        <d v="2024-02-12T00:00:00"/>
        <d v="2025-07-20T00:00:00"/>
        <d v="2022-10-04T00:00:00"/>
        <d v="2017-09-07T00:00:00"/>
        <d v="2019-09-27T00:00:00"/>
        <d v="2016-11-29T00:00:00"/>
        <d v="2022-07-14T00:00:00"/>
        <d v="2023-06-11T00:00:00"/>
        <d v="2017-08-02T00:00:00"/>
        <d v="2019-12-03T00:00:00"/>
        <d v="2023-05-11T00:00:00"/>
        <d v="2023-10-31T00:00:00"/>
        <d v="2023-06-05T00:00:00"/>
        <d v="2020-05-24T00:00:00"/>
        <d v="2017-06-12T00:00:00"/>
        <d v="2022-09-03T00:00:00"/>
        <d v="2023-12-13T00:00:00"/>
        <d v="2019-06-22T00:00:00"/>
        <d v="2022-04-08T00:00:00"/>
        <d v="2020-03-22T00:00:00"/>
        <d v="2024-11-16T00:00:00"/>
        <d v="2017-06-07T00:00:00"/>
        <d v="2025-04-18T00:00:00"/>
        <d v="2023-09-08T00:00:00"/>
        <d v="2021-11-26T00:00:00"/>
        <d v="2017-01-17T00:00:00"/>
        <d v="2023-07-09T00:00:00"/>
        <d v="2020-09-30T00:00:00"/>
        <d v="2021-09-13T00:00:00"/>
        <d v="2016-03-15T00:00:00"/>
        <d v="2020-01-25T00:00:00"/>
        <d v="2018-05-27T00:00:00"/>
        <d v="2019-10-31T00:00:00"/>
        <d v="2024-08-04T00:00:00"/>
        <d v="2021-06-14T00:00:00"/>
        <d v="2018-02-25T00:00:00"/>
        <d v="2018-07-16T00:00:00"/>
        <d v="2017-07-17T00:00:00"/>
        <d v="2017-09-26T00:00:00"/>
        <d v="2016-11-12T00:00:00"/>
        <d v="2019-04-26T00:00:00"/>
        <d v="2025-06-20T00:00:00"/>
        <d v="2024-11-02T00:00:00"/>
        <d v="2017-02-18T00:00:00"/>
        <d v="2021-09-10T00:00:00"/>
        <d v="2024-08-23T00:00:00"/>
        <d v="2022-01-19T00:00:00"/>
        <d v="2025-05-13T00:00:00"/>
        <d v="2024-04-13T00:00:00"/>
        <d v="2019-10-11T00:00:00"/>
        <d v="2017-06-20T00:00:00"/>
        <d v="2020-03-23T00:00:00"/>
        <d v="2017-09-23T00:00:00"/>
        <d v="2017-10-26T00:00:00"/>
        <d v="2018-01-10T00:00:00"/>
        <d v="2025-04-28T00:00:00"/>
        <d v="2023-10-08T00:00:00"/>
        <d v="2024-08-24T00:00:00"/>
        <d v="2025-01-26T00:00:00"/>
        <d v="2017-11-09T00:00:00"/>
        <d v="2020-11-27T00:00:00"/>
        <d v="2016-06-27T00:00:00"/>
        <d v="2020-02-01T00:00:00"/>
        <d v="2023-08-02T00:00:00"/>
        <d v="2024-01-26T00:00:00"/>
        <d v="2018-08-30T00:00:00"/>
        <d v="2020-12-24T00:00:00"/>
        <d v="2022-11-05T00:00:00"/>
        <d v="2019-03-13T00:00:00"/>
        <d v="2024-06-08T00:00:00"/>
        <d v="2024-05-24T00:00:00"/>
        <d v="2024-10-15T00:00:00"/>
        <d v="2018-08-16T00:00:00"/>
        <d v="2021-12-27T00:00:00"/>
        <d v="2018-09-06T00:00:00"/>
        <d v="2019-06-21T00:00:00"/>
        <d v="2025-01-25T00:00:00"/>
        <d v="2024-10-17T00:00:00"/>
        <d v="2021-04-05T00:00:00"/>
        <d v="2020-02-15T00:00:00"/>
        <d v="2022-05-25T00:00:00"/>
        <d v="2020-12-09T00:00:00"/>
        <d v="2024-08-17T00:00:00"/>
        <d v="2019-02-28T00:00:00"/>
        <d v="2024-09-22T00:00:00"/>
        <d v="2020-04-13T00:00:00"/>
        <d v="2021-08-21T00:00:00"/>
        <d v="2021-11-30T00:00:00"/>
        <d v="2020-09-10T00:00:00"/>
        <d v="2017-10-25T00:00:00"/>
        <d v="2025-02-27T00:00:00"/>
        <d v="2018-03-28T00:00:00"/>
        <d v="2024-12-25T00:00:00"/>
        <d v="2022-10-12T00:00:00"/>
        <d v="2017-07-20T00:00:00"/>
        <d v="2018-10-21T00:00:00"/>
        <d v="2016-08-01T00:00:00"/>
        <d v="2023-03-11T00:00:00"/>
        <d v="2021-05-22T00:00:00"/>
        <d v="2020-02-29T00:00:00"/>
        <d v="2022-03-21T00:00:00"/>
        <d v="2017-02-24T00:00:00"/>
        <d v="2023-12-23T00:00:00"/>
        <d v="2025-06-26T00:00:00"/>
        <d v="2021-10-14T00:00:00"/>
        <d v="2025-07-18T00:00:00"/>
        <d v="2017-05-25T00:00:00"/>
        <d v="2016-12-09T00:00:00"/>
        <d v="2024-07-22T00:00:00"/>
        <d v="2017-10-18T00:00:00"/>
        <d v="2019-01-22T00:00:00"/>
        <d v="2021-01-14T00:00:00"/>
        <d v="2017-08-26T00:00:00"/>
        <d v="2025-04-26T00:00:00"/>
        <d v="2020-11-26T00:00:00"/>
        <d v="2018-06-28T00:00:00"/>
        <d v="2021-01-21T00:00:00"/>
        <d v="2016-04-19T00:00:00"/>
        <d v="2020-08-26T00:00:00"/>
        <d v="2016-08-06T00:00:00"/>
        <d v="2020-06-11T00:00:00"/>
        <d v="2021-08-18T00:00:00"/>
        <d v="2020-03-11T00:00:00"/>
        <d v="2018-08-23T00:00:00"/>
        <d v="2020-04-30T00:00:00"/>
        <d v="2020-03-15T00:00:00"/>
        <d v="2018-07-08T00:00:00"/>
        <d v="2016-04-25T00:00:00"/>
        <d v="2019-07-29T00:00:00"/>
        <d v="2017-02-09T00:00:00"/>
        <d v="2025-05-30T00:00:00"/>
        <d v="2024-01-06T00:00:00"/>
        <d v="2023-04-16T00:00:00"/>
        <d v="2019-10-05T00:00:00"/>
        <d v="2024-11-15T00:00:00"/>
        <d v="2017-08-21T00:00:00"/>
        <d v="2016-06-05T00:00:00"/>
        <d v="2021-04-19T00:00:00"/>
        <d v="2023-10-22T00:00:00"/>
        <d v="2025-04-27T00:00:00"/>
        <d v="2017-07-22T00:00:00"/>
        <d v="2024-07-05T00:00:00"/>
        <d v="2023-11-29T00:00:00"/>
        <d v="2021-01-11T00:00:00"/>
        <d v="2022-11-25T00:00:00"/>
        <d v="2016-01-22T00:00:00"/>
        <d v="2016-11-20T00:00:00"/>
        <d v="2016-03-18T00:00:00"/>
        <d v="2018-06-02T00:00:00"/>
        <d v="2017-09-04T00:00:00"/>
        <d v="2022-02-25T00:00:00"/>
        <d v="2022-10-29T00:00:00"/>
        <d v="2021-12-01T00:00:00"/>
        <d v="2020-09-29T00:00:00"/>
        <d v="2017-03-31T00:00:00"/>
        <d v="2019-03-26T00:00:00"/>
        <d v="2018-08-31T00:00:00"/>
        <d v="2019-05-18T00:00:00"/>
        <d v="2017-05-14T00:00:00"/>
        <d v="2016-07-14T00:00:00"/>
        <d v="2018-09-03T00:00:00"/>
        <d v="2023-03-02T00:00:00"/>
        <d v="2024-11-25T00:00:00"/>
        <d v="2022-12-26T00:00:00"/>
        <d v="2021-02-15T00:00:00"/>
        <d v="2016-09-14T00:00:00"/>
        <d v="2025-05-20T00:00:00"/>
        <d v="2021-08-09T00:00:00"/>
        <d v="2022-09-10T00:00:00"/>
        <d v="2022-01-04T00:00:00"/>
        <d v="2016-03-08T00:00:00"/>
        <d v="2023-02-01T00:00:00"/>
        <d v="2021-10-11T00:00:00"/>
        <d v="2022-06-13T00:00:00"/>
        <d v="2018-09-17T00:00:00"/>
        <d v="2024-01-22T00:00:00"/>
        <d v="2017-08-11T00:00:00"/>
        <d v="2019-04-08T00:00:00"/>
        <d v="2016-01-07T00:00:00"/>
        <d v="2022-11-23T00:00:00"/>
        <d v="2019-12-16T00:00:00"/>
        <d v="2018-09-12T00:00:00"/>
        <d v="2022-05-26T00:00:00"/>
        <d v="2020-09-02T00:00:00"/>
        <d v="2018-02-06T00:00:00"/>
        <d v="2023-06-14T00:00:00"/>
        <d v="2023-06-30T00:00:00"/>
        <d v="2016-12-16T00:00:00"/>
        <d v="2021-11-14T00:00:00"/>
        <d v="2020-01-17T00:00:00"/>
        <d v="2016-10-04T00:00:00"/>
        <d v="2022-02-06T00:00:00"/>
        <d v="2024-10-26T00:00:00"/>
        <d v="2022-03-19T00:00:00"/>
        <d v="2016-03-24T00:00:00"/>
        <d v="2020-05-18T00:00:00"/>
        <d v="2021-04-09T00:00:00"/>
        <d v="2023-02-16T00:00:00"/>
        <d v="2020-05-03T00:00:00"/>
        <d v="2020-03-09T00:00:00"/>
        <d v="2018-11-04T00:00:00"/>
        <d v="2024-05-19T00:00:00"/>
        <d v="2016-03-07T00:00:00"/>
        <d v="2020-01-02T00:00:00"/>
        <d v="2016-10-03T00:00:00"/>
        <d v="2019-11-13T00:00:00"/>
        <d v="2018-09-14T00:00:00"/>
        <d v="2024-03-21T00:00:00"/>
        <d v="2023-05-15T00:00:00"/>
        <d v="2023-01-17T00:00:00"/>
        <d v="2024-08-26T00:00:00"/>
        <d v="2022-07-11T00:00:00"/>
        <d v="2024-03-30T00:00:00"/>
        <d v="2024-06-26T00:00:00"/>
        <d v="2019-09-23T00:00:00"/>
        <d v="2017-06-30T00:00:00"/>
        <d v="2016-06-30T00:00:00"/>
        <d v="2019-12-14T00:00:00"/>
        <d v="2022-02-14T00:00:00"/>
        <d v="2019-10-18T00:00:00"/>
        <d v="2025-02-14T00:00:00"/>
        <d v="2017-12-18T00:00:00"/>
        <d v="2025-04-24T00:00:00"/>
        <d v="2023-09-05T00:00:00"/>
        <d v="2021-03-18T00:00:00"/>
        <d v="2023-10-19T00:00:00"/>
        <d v="2021-05-14T00:00:00"/>
        <d v="2023-01-31T00:00:00"/>
        <d v="2018-01-16T00:00:00"/>
        <d v="2025-02-05T00:00:00"/>
        <d v="2017-07-06T00:00:00"/>
        <d v="2016-09-15T00:00:00"/>
        <d v="2024-01-11T00:00:00"/>
        <d v="2021-02-17T00:00:00"/>
        <d v="2016-05-31T00:00:00"/>
        <d v="2019-04-16T00:00:00"/>
        <d v="2018-04-05T00:00:00"/>
        <d v="2016-06-28T00:00:00"/>
        <d v="2024-11-14T00:00:00"/>
        <d v="2016-06-20T00:00:00"/>
        <d v="2019-07-16T00:00:00"/>
        <d v="2021-10-12T00:00:00"/>
        <d v="2020-06-19T00:00:00"/>
        <d v="2025-02-21T00:00:00"/>
        <d v="2022-02-02T00:00:00"/>
        <d v="2021-04-23T00:00:00"/>
        <d v="2018-11-03T00:00:00"/>
        <d v="2016-05-29T00:00:00"/>
        <d v="2024-06-12T00:00:00"/>
        <d v="2023-04-03T00:00:00"/>
        <d v="2018-02-21T00:00:00"/>
        <d v="2019-03-17T00:00:00"/>
        <d v="2024-10-03T00:00:00"/>
        <d v="2023-05-09T00:00:00"/>
        <d v="2019-09-21T00:00:00"/>
        <d v="2017-05-24T00:00:00"/>
        <d v="2024-12-18T00:00:00"/>
        <d v="2020-02-16T00:00:00"/>
        <d v="2020-11-24T00:00:00"/>
        <d v="2020-06-26T00:00:00"/>
        <d v="2024-05-02T00:00:00"/>
        <d v="2018-02-04T00:00:00"/>
        <d v="2021-07-25T00:00:00"/>
        <d v="2023-10-05T00:00:00"/>
        <d v="2024-12-09T00:00:00"/>
        <d v="2021-10-27T00:00:00"/>
        <d v="2018-12-28T00:00:00"/>
        <d v="2016-12-04T00:00:00"/>
        <d v="2020-10-04T00:00:00"/>
        <d v="2016-11-19T00:00:00"/>
        <d v="2025-03-22T00:00:00"/>
        <d v="2018-01-09T00:00:00"/>
        <d v="2022-02-12T00:00:00"/>
        <d v="2019-04-18T00:00:00"/>
        <d v="2019-08-08T00:00:00"/>
        <d v="2016-11-23T00:00:00"/>
        <d v="2019-04-25T00:00:00"/>
        <d v="2019-06-09T00:00:00"/>
        <d v="2020-12-31T00:00:00"/>
        <d v="2024-01-18T00:00:00"/>
        <d v="2020-10-11T00:00:00"/>
        <d v="2017-11-13T00:00:00"/>
        <d v="2023-09-26T00:00:00"/>
        <d v="2020-12-23T00:00:00"/>
        <d v="2019-12-10T00:00:00"/>
        <d v="2021-01-05T00:00:00"/>
        <d v="2024-02-25T00:00:00"/>
        <d v="2019-12-15T00:00:00"/>
        <d v="2020-11-16T00:00:00"/>
        <d v="2019-01-29T00:00:00"/>
        <d v="2016-08-22T00:00:00"/>
        <d v="2016-11-03T00:00:00"/>
        <d v="2023-07-12T00:00:00"/>
        <d v="2023-02-24T00:00:00"/>
        <d v="2020-07-21T00:00:00"/>
        <d v="2020-01-28T00:00:00"/>
        <d v="2021-10-02T00:00:00"/>
        <d v="2024-05-29T00:00:00"/>
        <d v="2023-08-14T00:00:00"/>
        <d v="2017-10-17T00:00:00"/>
        <d v="2017-08-07T00:00:00"/>
        <d v="2025-07-08T00:00:00"/>
        <d v="2022-10-24T00:00:00"/>
        <d v="2024-10-05T00:00:00"/>
        <d v="2020-11-29T00:00:00"/>
        <d v="2016-05-22T00:00:00"/>
        <d v="2017-06-01T00:00:00"/>
        <d v="2016-10-02T00:00:00"/>
        <d v="2018-08-24T00:00:00"/>
        <d v="2024-09-23T00:00:00"/>
        <d v="2023-03-27T00:00:00"/>
        <d v="2020-02-09T00:00:00"/>
        <d v="2020-01-23T00:00:00"/>
        <d v="2020-04-17T00:00:00"/>
        <d v="2022-05-12T00:00:00"/>
        <d v="2016-05-12T00:00:00"/>
        <d v="2017-09-20T00:00:00"/>
        <d v="2023-08-13T00:00:00"/>
        <d v="2020-02-28T00:00:00"/>
        <d v="2020-03-03T00:00:00"/>
        <d v="2022-06-08T00:00:00"/>
        <d v="2021-12-08T00:00:00"/>
        <d v="2020-02-12T00:00:00"/>
        <d v="2019-07-11T00:00:00"/>
        <d v="2023-04-14T00:00:00"/>
        <d v="2018-10-19T00:00:00"/>
        <d v="2017-04-09T00:00:00"/>
        <d v="2016-04-16T00:00:00"/>
        <d v="2024-04-01T00:00:00"/>
        <d v="2018-02-01T00:00:00"/>
        <d v="2021-08-06T00:00:00"/>
        <d v="2021-10-21T00:00:00"/>
        <d v="2020-05-04T00:00:00"/>
        <d v="2017-04-27T00:00:00"/>
        <d v="2018-12-08T00:00:00"/>
        <d v="2024-09-09T00:00:00"/>
        <d v="2018-12-02T00:00:00"/>
        <d v="2023-11-23T00:00:00"/>
        <d v="2021-01-01T00:00:00"/>
        <d v="2018-05-28T00:00:00"/>
        <d v="2022-11-11T00:00:00"/>
        <d v="2019-03-15T00:00:00"/>
        <d v="2023-10-13T00:00:00"/>
        <d v="2021-07-04T00:00:00"/>
        <d v="2018-03-30T00:00:00"/>
        <d v="2017-05-17T00:00:00"/>
        <d v="2017-07-09T00:00:00"/>
        <d v="2017-12-08T00:00:00"/>
        <d v="2023-12-31T00:00:00"/>
        <d v="2020-12-28T00:00:00"/>
        <d v="2016-12-25T00:00:00"/>
        <d v="2025-02-01T00:00:00"/>
        <d v="2023-08-25T00:00:00"/>
        <d v="2025-06-25T00:00:00"/>
        <d v="2019-08-02T00:00:00"/>
        <d v="2023-06-28T00:00:00"/>
        <d v="2019-11-24T00:00:00"/>
        <d v="2016-09-22T00:00:00"/>
        <d v="2022-03-02T00:00:00"/>
        <d v="2022-01-29T00:00:00"/>
        <d v="2019-04-04T00:00:00"/>
        <d v="2019-05-13T00:00:00"/>
        <d v="2025-07-19T00:00:00"/>
        <d v="2017-10-07T00:00:00"/>
        <d v="2023-12-25T00:00:00"/>
        <d v="2023-11-08T00:00:00"/>
        <d v="2023-02-25T00:00:00"/>
        <d v="2024-11-24T00:00:00"/>
        <d v="2020-01-20T00:00:00"/>
        <d v="2021-09-14T00:00:00"/>
        <d v="2017-05-12T00:00:00"/>
        <d v="2018-04-03T00:00:00"/>
        <d v="2024-11-18T00:00:00"/>
        <d v="2018-08-27T00:00:00"/>
        <d v="2024-11-11T00:00:00"/>
        <d v="2020-01-18T00:00:00"/>
        <d v="2022-06-02T00:00:00"/>
        <d v="2020-02-20T00:00:00"/>
        <d v="2021-03-29T00:00:00"/>
        <d v="2025-01-04T00:00:00"/>
        <d v="2022-03-09T00:00:00"/>
        <d v="2017-06-15T00:00:00"/>
        <d v="2016-12-19T00:00:00"/>
        <d v="2019-06-20T00:00:00"/>
        <d v="2024-01-15T00:00:00"/>
        <d v="2024-01-23T00:00:00"/>
        <d v="2021-11-23T00:00:00"/>
        <d v="2024-08-16T00:00:00"/>
        <d v="2020-08-04T00:00:00"/>
        <d v="2025-03-26T00:00:00"/>
        <d v="2022-06-12T00:00:00"/>
      </sharedItems>
    </cacheField>
    <cacheField name="monthly_salary_bdt" numFmtId="184">
      <sharedItems containsSemiMixedTypes="0" containsString="0" containsNumber="1" containsInteger="1" minValue="44753" maxValue="344942" count="999">
        <n v="97605"/>
        <n v="57499"/>
        <n v="136659"/>
        <n v="115085"/>
        <n v="164000"/>
        <n v="113810"/>
        <n v="148804"/>
        <n v="163417"/>
        <n v="59023"/>
        <n v="184800"/>
        <n v="76400"/>
        <n v="91466"/>
        <n v="144623"/>
        <n v="97343"/>
        <n v="221527"/>
        <n v="169776"/>
        <n v="227464"/>
        <n v="73216"/>
        <n v="116055"/>
        <n v="188711"/>
        <n v="63778"/>
        <n v="215065"/>
        <n v="122086"/>
        <n v="141478"/>
        <n v="131411"/>
        <n v="104751"/>
        <n v="218329"/>
        <n v="157690"/>
        <n v="141183"/>
        <n v="99920"/>
        <n v="78647"/>
        <n v="233085"/>
        <n v="153390"/>
        <n v="105962"/>
        <n v="116624"/>
        <n v="77427"/>
        <n v="317015"/>
        <n v="206071"/>
        <n v="132584"/>
        <n v="74566"/>
        <n v="164307"/>
        <n v="143885"/>
        <n v="151772"/>
        <n v="72635"/>
        <n v="228086"/>
        <n v="117000"/>
        <n v="104908"/>
        <n v="134577"/>
        <n v="211918"/>
        <n v="173897"/>
        <n v="121481"/>
        <n v="158063"/>
        <n v="173570"/>
        <n v="147590"/>
        <n v="138544"/>
        <n v="89940"/>
        <n v="209299"/>
        <n v="96715"/>
        <n v="165688"/>
        <n v="95553"/>
        <n v="225796"/>
        <n v="164207"/>
        <n v="157208"/>
        <n v="205545"/>
        <n v="331486"/>
        <n v="134863"/>
        <n v="96418"/>
        <n v="117217"/>
        <n v="119297"/>
        <n v="96180"/>
        <n v="69424"/>
        <n v="125767"/>
        <n v="171120"/>
        <n v="73342"/>
        <n v="126028"/>
        <n v="84403"/>
        <n v="58098"/>
        <n v="173927"/>
        <n v="149187"/>
        <n v="278581"/>
        <n v="75559"/>
        <n v="84502"/>
        <n v="152331"/>
        <n v="195944"/>
        <n v="268922"/>
        <n v="198013"/>
        <n v="266602"/>
        <n v="136974"/>
        <n v="127230"/>
        <n v="147356"/>
        <n v="161402"/>
        <n v="233536"/>
        <n v="257374"/>
        <n v="91158"/>
        <n v="106333"/>
        <n v="75235"/>
        <n v="60785"/>
        <n v="55786"/>
        <n v="134271"/>
        <n v="156178"/>
        <n v="131877"/>
        <n v="138408"/>
        <n v="253791"/>
        <n v="234882"/>
        <n v="171732"/>
        <n v="124374"/>
        <n v="180577"/>
        <n v="214709"/>
        <n v="272489"/>
        <n v="179920"/>
        <n v="274622"/>
        <n v="115486"/>
        <n v="47847"/>
        <n v="150407"/>
        <n v="75402"/>
        <n v="90308"/>
        <n v="93271"/>
        <n v="166489"/>
        <n v="127253"/>
        <n v="156698"/>
        <n v="105032"/>
        <n v="194473"/>
        <n v="223604"/>
        <n v="116353"/>
        <n v="323393"/>
        <n v="204089"/>
        <n v="115492"/>
        <n v="63509"/>
        <n v="150359"/>
        <n v="188137"/>
        <n v="180052"/>
        <n v="331014"/>
        <n v="150872"/>
        <n v="74066"/>
        <n v="71853"/>
        <n v="145378"/>
        <n v="80214"/>
        <n v="153114"/>
        <n v="107540"/>
        <n v="133736"/>
        <n v="193662"/>
        <n v="214124"/>
        <n v="160401"/>
        <n v="292950"/>
        <n v="156121"/>
        <n v="144739"/>
        <n v="66930"/>
        <n v="66367"/>
        <n v="125613"/>
        <n v="235298"/>
        <n v="90082"/>
        <n v="229275"/>
        <n v="122342"/>
        <n v="153272"/>
        <n v="76212"/>
        <n v="204194"/>
        <n v="163259"/>
        <n v="191622"/>
        <n v="254146"/>
        <n v="114415"/>
        <n v="190248"/>
        <n v="60029"/>
        <n v="132352"/>
        <n v="172506"/>
        <n v="112641"/>
        <n v="98319"/>
        <n v="184159"/>
        <n v="176571"/>
        <n v="109974"/>
        <n v="63596"/>
        <n v="164223"/>
        <n v="197542"/>
        <n v="124487"/>
        <n v="170924"/>
        <n v="89719"/>
        <n v="143847"/>
        <n v="129577"/>
        <n v="154566"/>
        <n v="168895"/>
        <n v="193255"/>
        <n v="195037"/>
        <n v="149426"/>
        <n v="99935"/>
        <n v="191513"/>
        <n v="147331"/>
        <n v="186702"/>
        <n v="76155"/>
        <n v="83898"/>
        <n v="80935"/>
        <n v="184157"/>
        <n v="174728"/>
        <n v="161761"/>
        <n v="101902"/>
        <n v="71442"/>
        <n v="56829"/>
        <n v="107371"/>
        <n v="225835"/>
        <n v="163677"/>
        <n v="81456"/>
        <n v="115471"/>
        <n v="147911"/>
        <n v="79321"/>
        <n v="78363"/>
        <n v="110723"/>
        <n v="63622"/>
        <n v="100219"/>
        <n v="90603"/>
        <n v="68932"/>
        <n v="200191"/>
        <n v="276214"/>
        <n v="91942"/>
        <n v="115210"/>
        <n v="60224"/>
        <n v="154511"/>
        <n v="217157"/>
        <n v="115743"/>
        <n v="86601"/>
        <n v="188835"/>
        <n v="72912"/>
        <n v="148023"/>
        <n v="186275"/>
        <n v="132900"/>
        <n v="197759"/>
        <n v="186825"/>
        <n v="238674"/>
        <n v="190351"/>
        <n v="85676"/>
        <n v="126090"/>
        <n v="132740"/>
        <n v="145727"/>
        <n v="201055"/>
        <n v="160791"/>
        <n v="112634"/>
        <n v="104145"/>
        <n v="125871"/>
        <n v="138097"/>
        <n v="137134"/>
        <n v="150761"/>
        <n v="199207"/>
        <n v="81364"/>
        <n v="139274"/>
        <n v="110145"/>
        <n v="96473"/>
        <n v="243473"/>
        <n v="117681"/>
        <n v="91573"/>
        <n v="108435"/>
        <n v="63968"/>
        <n v="86122"/>
        <n v="113140"/>
        <n v="210984"/>
        <n v="100793"/>
        <n v="100319"/>
        <n v="98081"/>
        <n v="163185"/>
        <n v="123657"/>
        <n v="118593"/>
        <n v="73943"/>
        <n v="139284"/>
        <n v="161928"/>
        <n v="107400"/>
        <n v="99598"/>
        <n v="81876"/>
        <n v="190900"/>
        <n v="92057"/>
        <n v="120976"/>
        <n v="86707"/>
        <n v="129733"/>
        <n v="83187"/>
        <n v="271250"/>
        <n v="115810"/>
        <n v="122316"/>
        <n v="183817"/>
        <n v="78062"/>
        <n v="139206"/>
        <n v="64953"/>
        <n v="90476"/>
        <n v="95485"/>
        <n v="90571"/>
        <n v="165934"/>
        <n v="144447"/>
        <n v="262569"/>
        <n v="177614"/>
        <n v="78609"/>
        <n v="90107"/>
        <n v="218934"/>
        <n v="66490"/>
        <n v="148675"/>
        <n v="198833"/>
        <n v="99645"/>
        <n v="110649"/>
        <n v="90407"/>
        <n v="86531"/>
        <n v="166965"/>
        <n v="220987"/>
        <n v="126321"/>
        <n v="142246"/>
        <n v="105719"/>
        <n v="65312"/>
        <n v="109499"/>
        <n v="195905"/>
        <n v="208862"/>
        <n v="81885"/>
        <n v="83292"/>
        <n v="119968"/>
        <n v="112609"/>
        <n v="88616"/>
        <n v="89011"/>
        <n v="61353"/>
        <n v="123846"/>
        <n v="173306"/>
        <n v="216411"/>
        <n v="254167"/>
        <n v="111527"/>
        <n v="116603"/>
        <n v="141544"/>
        <n v="178865"/>
        <n v="182959"/>
        <n v="96425"/>
        <n v="176119"/>
        <n v="70238"/>
        <n v="192123"/>
        <n v="159552"/>
        <n v="210429"/>
        <n v="144541"/>
        <n v="188550"/>
        <n v="116526"/>
        <n v="114641"/>
        <n v="133989"/>
        <n v="223179"/>
        <n v="111484"/>
        <n v="105193"/>
        <n v="220613"/>
        <n v="214751"/>
        <n v="166907"/>
        <n v="146147"/>
        <n v="75475"/>
        <n v="202663"/>
        <n v="59142"/>
        <n v="79373"/>
        <n v="70398"/>
        <n v="80395"/>
        <n v="177426"/>
        <n v="110823"/>
        <n v="220957"/>
        <n v="106259"/>
        <n v="126480"/>
        <n v="181290"/>
        <n v="235921"/>
        <n v="57356"/>
        <n v="132366"/>
        <n v="99779"/>
        <n v="107395"/>
        <n v="168443"/>
        <n v="284119"/>
        <n v="89306"/>
        <n v="150615"/>
        <n v="104105"/>
        <n v="44753"/>
        <n v="108200"/>
        <n v="173554"/>
        <n v="75264"/>
        <n v="147296"/>
        <n v="90486"/>
        <n v="126897"/>
        <n v="89410"/>
        <n v="100267"/>
        <n v="157989"/>
        <n v="153782"/>
        <n v="140850"/>
        <n v="166149"/>
        <n v="114574"/>
        <n v="214819"/>
        <n v="126300"/>
        <n v="145347"/>
        <n v="292121"/>
        <n v="137578"/>
        <n v="138211"/>
        <n v="86949"/>
        <n v="212485"/>
        <n v="106629"/>
        <n v="154672"/>
        <n v="97415"/>
        <n v="74721"/>
        <n v="117580"/>
        <n v="126200"/>
        <n v="199943"/>
        <n v="173688"/>
        <n v="114847"/>
        <n v="93598"/>
        <n v="115895"/>
        <n v="78604"/>
        <n v="131840"/>
        <n v="135229"/>
        <n v="181022"/>
        <n v="99838"/>
        <n v="143446"/>
        <n v="79711"/>
        <n v="209505"/>
        <n v="127752"/>
        <n v="175759"/>
        <n v="82536"/>
        <n v="97997"/>
        <n v="148933"/>
        <n v="161212"/>
        <n v="133746"/>
        <n v="154689"/>
        <n v="115869"/>
        <n v="66765"/>
        <n v="223811"/>
        <n v="232842"/>
        <n v="46051"/>
        <n v="67599"/>
        <n v="60095"/>
        <n v="74293"/>
        <n v="127508"/>
        <n v="151332"/>
        <n v="78808"/>
        <n v="169481"/>
        <n v="222667"/>
        <n v="126014"/>
        <n v="146117"/>
        <n v="174527"/>
        <n v="101593"/>
        <n v="203703"/>
        <n v="100685"/>
        <n v="64049"/>
        <n v="145409"/>
        <n v="264785"/>
        <n v="158586"/>
        <n v="114635"/>
        <n v="109027"/>
        <n v="78164"/>
        <n v="120831"/>
        <n v="120923"/>
        <n v="152132"/>
        <n v="229625"/>
        <n v="117618"/>
        <n v="169222"/>
        <n v="179843"/>
        <n v="158222"/>
        <n v="64675"/>
        <n v="82815"/>
        <n v="174886"/>
        <n v="194618"/>
        <n v="74103"/>
        <n v="121829"/>
        <n v="255433"/>
        <n v="193112"/>
        <n v="140602"/>
        <n v="82842"/>
        <n v="83584"/>
        <n v="263179"/>
        <n v="95636"/>
        <n v="70124"/>
        <n v="227832"/>
        <n v="197505"/>
        <n v="105291"/>
        <n v="135917"/>
        <n v="166740"/>
        <n v="182833"/>
        <n v="63724"/>
        <n v="173386"/>
        <n v="143282"/>
        <n v="173256"/>
        <n v="69789"/>
        <n v="255591"/>
        <n v="98291"/>
        <n v="276368"/>
        <n v="158145"/>
        <n v="150348"/>
        <n v="120126"/>
        <n v="184741"/>
        <n v="70447"/>
        <n v="97284"/>
        <n v="106133"/>
        <n v="174752"/>
        <n v="119233"/>
        <n v="72655"/>
        <n v="105709"/>
        <n v="180674"/>
        <n v="149123"/>
        <n v="93524"/>
        <n v="86132"/>
        <n v="76505"/>
        <n v="122625"/>
        <n v="93652"/>
        <n v="170512"/>
        <n v="66957"/>
        <n v="71348"/>
        <n v="123353"/>
        <n v="82823"/>
        <n v="244869"/>
        <n v="143367"/>
        <n v="202730"/>
        <n v="164041"/>
        <n v="92112"/>
        <n v="122792"/>
        <n v="63704"/>
        <n v="134281"/>
        <n v="78758"/>
        <n v="116802"/>
        <n v="119337"/>
        <n v="104488"/>
        <n v="131168"/>
        <n v="154602"/>
        <n v="126712"/>
        <n v="81788"/>
        <n v="91568"/>
        <n v="165555"/>
        <n v="112094"/>
        <n v="166948"/>
        <n v="65373"/>
        <n v="58569"/>
        <n v="157572"/>
        <n v="136343"/>
        <n v="151280"/>
        <n v="135072"/>
        <n v="94916"/>
        <n v="161279"/>
        <n v="117086"/>
        <n v="114723"/>
        <n v="93005"/>
        <n v="55063"/>
        <n v="60800"/>
        <n v="127247"/>
        <n v="135545"/>
        <n v="322943"/>
        <n v="168822"/>
        <n v="162991"/>
        <n v="55182"/>
        <n v="101249"/>
        <n v="139243"/>
        <n v="158489"/>
        <n v="80148"/>
        <n v="119007"/>
        <n v="131744"/>
        <n v="321281"/>
        <n v="113727"/>
        <n v="280400"/>
        <n v="102186"/>
        <n v="88171"/>
        <n v="271579"/>
        <n v="167921"/>
        <n v="132186"/>
        <n v="135670"/>
        <n v="144190"/>
        <n v="198074"/>
        <n v="140744"/>
        <n v="141122"/>
        <n v="157660"/>
        <n v="54791"/>
        <n v="144565"/>
        <n v="118399"/>
        <n v="96262"/>
        <n v="120796"/>
        <n v="239730"/>
        <n v="185256"/>
        <n v="253912"/>
        <n v="210488"/>
        <n v="155423"/>
        <n v="100233"/>
        <n v="211477"/>
        <n v="224909"/>
        <n v="238998"/>
        <n v="150971"/>
        <n v="211829"/>
        <n v="145287"/>
        <n v="58483"/>
        <n v="101081"/>
        <n v="89872"/>
        <n v="62383"/>
        <n v="139985"/>
        <n v="102751"/>
        <n v="59718"/>
        <n v="56617"/>
        <n v="78598"/>
        <n v="101482"/>
        <n v="75797"/>
        <n v="243494"/>
        <n v="86634"/>
        <n v="72541"/>
        <n v="156742"/>
        <n v="155431"/>
        <n v="205608"/>
        <n v="157460"/>
        <n v="144619"/>
        <n v="182892"/>
        <n v="171884"/>
        <n v="85557"/>
        <n v="125670"/>
        <n v="159972"/>
        <n v="141698"/>
        <n v="149831"/>
        <n v="186586"/>
        <n v="69151"/>
        <n v="104195"/>
        <n v="157968"/>
        <n v="198433"/>
        <n v="163236"/>
        <n v="148806"/>
        <n v="175181"/>
        <n v="153747"/>
        <n v="170491"/>
        <n v="177297"/>
        <n v="64256"/>
        <n v="171159"/>
        <n v="202406"/>
        <n v="153772"/>
        <n v="133813"/>
        <n v="228212"/>
        <n v="154087"/>
        <n v="99530"/>
        <n v="105296"/>
        <n v="76276"/>
        <n v="68846"/>
        <n v="124898"/>
        <n v="316684"/>
        <n v="104626"/>
        <n v="254832"/>
        <n v="235691"/>
        <n v="107528"/>
        <n v="125443"/>
        <n v="229318"/>
        <n v="69161"/>
        <n v="162546"/>
        <n v="113537"/>
        <n v="162823"/>
        <n v="156024"/>
        <n v="143628"/>
        <n v="250336"/>
        <n v="126833"/>
        <n v="98625"/>
        <n v="181577"/>
        <n v="264639"/>
        <n v="49291"/>
        <n v="128115"/>
        <n v="188148"/>
        <n v="138471"/>
        <n v="133251"/>
        <n v="229364"/>
        <n v="135297"/>
        <n v="215631"/>
        <n v="125647"/>
        <n v="129283"/>
        <n v="144222"/>
        <n v="98071"/>
        <n v="198142"/>
        <n v="143186"/>
        <n v="107440"/>
        <n v="139534"/>
        <n v="140432"/>
        <n v="163230"/>
        <n v="116495"/>
        <n v="129832"/>
        <n v="156323"/>
        <n v="284958"/>
        <n v="189635"/>
        <n v="101750"/>
        <n v="129219"/>
        <n v="223274"/>
        <n v="68587"/>
        <n v="140584"/>
        <n v="219962"/>
        <n v="115007"/>
        <n v="214063"/>
        <n v="185866"/>
        <n v="152869"/>
        <n v="98911"/>
        <n v="220530"/>
        <n v="173326"/>
        <n v="202760"/>
        <n v="163043"/>
        <n v="111351"/>
        <n v="226302"/>
        <n v="66924"/>
        <n v="105800"/>
        <n v="96400"/>
        <n v="108900"/>
        <n v="101913"/>
        <n v="87577"/>
        <n v="211968"/>
        <n v="201850"/>
        <n v="114025"/>
        <n v="121728"/>
        <n v="230250"/>
        <n v="145443"/>
        <n v="344942"/>
        <n v="230193"/>
        <n v="104109"/>
        <n v="123664"/>
        <n v="79430"/>
        <n v="156229"/>
        <n v="121916"/>
        <n v="208355"/>
        <n v="97862"/>
        <n v="130480"/>
        <n v="59947"/>
        <n v="296169"/>
        <n v="110392"/>
        <n v="234854"/>
        <n v="86771"/>
        <n v="152242"/>
        <n v="246659"/>
        <n v="176602"/>
        <n v="91420"/>
        <n v="117598"/>
        <n v="124911"/>
        <n v="171022"/>
        <n v="219044"/>
        <n v="112993"/>
        <n v="90401"/>
        <n v="74498"/>
        <n v="189759"/>
        <n v="93826"/>
        <n v="171523"/>
        <n v="89249"/>
        <n v="48538"/>
        <n v="122096"/>
        <n v="78350"/>
        <n v="109085"/>
        <n v="112504"/>
        <n v="140797"/>
        <n v="131619"/>
        <n v="173103"/>
        <n v="92825"/>
        <n v="290782"/>
        <n v="120139"/>
        <n v="144862"/>
        <n v="201682"/>
        <n v="197277"/>
        <n v="135986"/>
        <n v="56897"/>
        <n v="155461"/>
        <n v="67760"/>
        <n v="180002"/>
        <n v="134875"/>
        <n v="68992"/>
        <n v="154293"/>
        <n v="91470"/>
        <n v="179692"/>
        <n v="182793"/>
        <n v="125899"/>
        <n v="73942"/>
        <n v="264211"/>
        <n v="98638"/>
        <n v="154415"/>
        <n v="74270"/>
        <n v="64708"/>
        <n v="50950"/>
        <n v="251186"/>
        <n v="50074"/>
        <n v="98914"/>
        <n v="151850"/>
        <n v="150316"/>
        <n v="117567"/>
        <n v="101630"/>
        <n v="124782"/>
        <n v="62160"/>
        <n v="128604"/>
        <n v="138156"/>
        <n v="131666"/>
        <n v="181764"/>
        <n v="156370"/>
        <n v="154905"/>
        <n v="64730"/>
        <n v="198501"/>
        <n v="82662"/>
        <n v="148154"/>
        <n v="139764"/>
        <n v="280370"/>
        <n v="85715"/>
        <n v="149792"/>
        <n v="90066"/>
        <n v="209353"/>
        <n v="93583"/>
        <n v="273469"/>
        <n v="92989"/>
        <n v="191081"/>
        <n v="146560"/>
        <n v="151301"/>
        <n v="217008"/>
        <n v="134842"/>
        <n v="173458"/>
        <n v="163741"/>
        <n v="93910"/>
        <n v="129991"/>
        <n v="144722"/>
        <n v="112327"/>
        <n v="68406"/>
        <n v="187804"/>
        <n v="175256"/>
        <n v="149101"/>
        <n v="64223"/>
        <n v="103668"/>
        <n v="98984"/>
        <n v="96703"/>
        <n v="56576"/>
        <n v="160461"/>
        <n v="86429"/>
        <n v="121309"/>
        <n v="128635"/>
        <n v="135705"/>
        <n v="80489"/>
        <n v="101359"/>
        <n v="196965"/>
        <n v="87246"/>
        <n v="57975"/>
        <n v="148174"/>
        <n v="102328"/>
        <n v="76816"/>
        <n v="153074"/>
        <n v="120062"/>
        <n v="98793"/>
        <n v="62931"/>
        <n v="138080"/>
        <n v="113462"/>
        <n v="197390"/>
        <n v="152107"/>
        <n v="97743"/>
        <n v="134335"/>
        <n v="169541"/>
        <n v="138411"/>
        <n v="233575"/>
        <n v="77744"/>
        <n v="66009"/>
        <n v="163219"/>
        <n v="222625"/>
        <n v="286329"/>
        <n v="73250"/>
        <n v="261849"/>
        <n v="199928"/>
        <n v="292571"/>
        <n v="118097"/>
        <n v="162297"/>
        <n v="139606"/>
        <n v="112331"/>
        <n v="124819"/>
        <n v="164021"/>
        <n v="87187"/>
        <n v="176530"/>
        <n v="68510"/>
        <n v="221794"/>
        <n v="50021"/>
        <n v="192891"/>
        <n v="91390"/>
        <n v="171843"/>
        <n v="115083"/>
        <n v="57385"/>
        <n v="206117"/>
        <n v="237253"/>
        <n v="154315"/>
        <n v="198624"/>
        <n v="183621"/>
        <n v="119454"/>
        <n v="220349"/>
        <n v="106040"/>
        <n v="131677"/>
        <n v="190765"/>
        <n v="104645"/>
        <n v="224247"/>
        <n v="107673"/>
        <n v="164002"/>
        <n v="89730"/>
        <n v="196595"/>
        <n v="157668"/>
        <n v="92728"/>
        <n v="99636"/>
        <n v="162213"/>
        <n v="119877"/>
        <n v="182719"/>
        <n v="88094"/>
        <n v="290910"/>
        <n v="120440"/>
        <n v="282635"/>
        <n v="197092"/>
        <n v="59548"/>
        <n v="104355"/>
        <n v="170251"/>
        <n v="139832"/>
        <n v="266975"/>
        <n v="94532"/>
        <n v="143737"/>
        <n v="111594"/>
        <n v="114726"/>
        <n v="47603"/>
        <n v="210895"/>
        <n v="99615"/>
        <n v="132104"/>
        <n v="136774"/>
        <n v="103522"/>
        <n v="198114"/>
        <n v="161772"/>
        <n v="85586"/>
        <n v="106488"/>
        <n v="136448"/>
        <n v="52388"/>
        <n v="111622"/>
        <n v="92293"/>
        <n v="181738"/>
        <n v="146796"/>
        <n v="129546"/>
        <n v="89567"/>
        <n v="205212"/>
        <n v="129144"/>
        <n v="175765"/>
        <n v="69496"/>
        <n v="284203"/>
        <n v="150980"/>
        <n v="122176"/>
        <n v="241079"/>
        <n v="144906"/>
        <n v="109791"/>
        <n v="121425"/>
        <n v="88941"/>
        <n v="320505"/>
        <n v="103974"/>
        <n v="79692"/>
        <n v="224389"/>
        <n v="73928"/>
        <n v="69077"/>
        <n v="72855"/>
        <n v="123718"/>
        <n v="216552"/>
        <n v="89519"/>
        <n v="222698"/>
        <n v="105766"/>
        <n v="129868"/>
        <n v="169924"/>
        <n v="109277"/>
        <n v="85515"/>
        <n v="80134"/>
        <n v="124051"/>
        <n v="103259"/>
        <n v="126702"/>
        <n v="138106"/>
        <n v="159288"/>
        <n v="212363"/>
        <n v="131958"/>
        <n v="201934"/>
        <n v="113918"/>
        <n v="131275"/>
        <n v="96665"/>
        <n v="146827"/>
        <n v="188623"/>
        <n v="145234"/>
        <n v="92688"/>
        <n v="126711"/>
        <n v="116465"/>
        <n v="60918"/>
        <n v="58459"/>
        <n v="291785"/>
        <n v="166404"/>
        <n v="250368"/>
        <n v="161678"/>
        <n v="166372"/>
        <n v="202206"/>
        <n v="121015"/>
        <n v="102582"/>
        <n v="138102"/>
        <n v="122797"/>
        <n v="128328"/>
        <n v="74624"/>
        <n v="239646"/>
        <n v="142527"/>
        <n v="179296"/>
        <n v="186569"/>
        <n v="176225"/>
        <n v="119654"/>
        <n v="71564"/>
        <n v="143911"/>
        <n v="153176"/>
        <n v="260181"/>
        <n v="98827"/>
        <n v="189403"/>
        <n v="99341"/>
        <n v="191401"/>
        <n v="226360"/>
        <n v="153159"/>
        <n v="58321"/>
        <n v="125677"/>
        <n v="298647"/>
        <n v="318169"/>
        <n v="148986"/>
        <n v="164446"/>
        <n v="207869"/>
        <n v="101036"/>
        <n v="274370"/>
        <n v="203573"/>
        <n v="175386"/>
        <n v="183865"/>
        <n v="260780"/>
        <n v="70605"/>
        <n v="167288"/>
        <n v="131175"/>
        <n v="89756"/>
        <n v="150479"/>
        <n v="71076"/>
        <n v="108334"/>
      </sharedItems>
    </cacheField>
    <cacheField name="manager_id" numFmtId="0">
      <sharedItems containsBlank="1" count="237">
        <m/>
        <s v="E0890"/>
        <s v="E0990"/>
        <s v="E0982"/>
        <s v="E0741"/>
        <s v="E0775"/>
        <s v="E0102"/>
        <s v="E0646"/>
        <s v="E0314"/>
        <s v="E0380"/>
        <s v="E0648"/>
        <s v="E0816"/>
        <s v="E0396"/>
        <s v="E0270"/>
        <s v="E0123"/>
        <s v="E0783"/>
        <s v="E0893"/>
        <s v="E0917"/>
        <s v="E0777"/>
        <s v="E0665"/>
        <s v="E0190"/>
        <s v="E0989"/>
        <s v="E0756"/>
        <s v="E0161"/>
        <s v="E0755"/>
        <s v="E0356"/>
        <s v="E0630"/>
        <s v="E0699"/>
        <s v="E0709"/>
        <s v="E0938"/>
        <s v="E0865"/>
        <s v="E0701"/>
        <s v="E0849"/>
        <s v="E0251"/>
        <s v="E0141"/>
        <s v="E0736"/>
        <s v="E0186"/>
        <s v="E0025"/>
        <s v="E0456"/>
        <s v="E0927"/>
        <s v="E0592"/>
        <s v="E0383"/>
        <s v="E0742"/>
        <s v="E0425"/>
        <s v="E0728"/>
        <s v="E0580"/>
        <s v="E0184"/>
        <s v="E0839"/>
        <s v="E0453"/>
        <s v="E0980"/>
        <s v="E0797"/>
        <s v="E0782"/>
        <s v="E0831"/>
        <s v="E0179"/>
        <s v="E0065"/>
        <s v="E0159"/>
        <s v="E0109"/>
        <s v="E0428"/>
        <s v="E0239"/>
        <s v="E0008"/>
        <s v="E0045"/>
        <s v="E0657"/>
        <s v="E0278"/>
        <s v="E0617"/>
        <s v="E0063"/>
        <s v="E0310"/>
        <s v="E0172"/>
        <s v="E0420"/>
        <s v="E0404"/>
        <s v="E0196"/>
        <s v="E0330"/>
        <s v="E0197"/>
        <s v="E0684"/>
        <s v="E0672"/>
        <s v="E0663"/>
        <s v="E0855"/>
        <s v="E0774"/>
        <s v="E0828"/>
        <s v="E0861"/>
        <s v="E0500"/>
        <s v="E0080"/>
        <s v="E0156"/>
        <s v="E0881"/>
        <s v="E0780"/>
        <s v="E0150"/>
        <s v="E0037"/>
        <s v="E0585"/>
        <s v="E0979"/>
        <s v="E0407"/>
        <s v="E0016"/>
        <s v="E0061"/>
        <s v="E0357"/>
        <s v="E0103"/>
        <s v="E0081"/>
        <s v="E0024"/>
        <s v="E0554"/>
        <s v="E0132"/>
        <s v="E0956"/>
        <s v="E0682"/>
        <s v="E0012"/>
        <s v="E0560"/>
        <s v="E0416"/>
        <s v="E0907"/>
        <s v="E0152"/>
        <s v="E0656"/>
        <s v="E0181"/>
        <s v="E0909"/>
        <s v="E0574"/>
        <s v="E0229"/>
        <s v="E0686"/>
        <s v="E0249"/>
        <s v="E0972"/>
        <s v="E0595"/>
        <s v="E0866"/>
        <s v="E0198"/>
        <s v="E0719"/>
        <s v="E0963"/>
        <s v="E0624"/>
        <s v="E0639"/>
        <s v="E0565"/>
        <s v="E0389"/>
        <s v="E0912"/>
        <s v="E0469"/>
        <s v="E0085"/>
        <s v="E0520"/>
        <s v="E0533"/>
        <s v="E0602"/>
        <s v="E0488"/>
        <s v="E0511"/>
        <s v="E0241"/>
        <s v="E0538"/>
        <s v="E0365"/>
        <s v="E0049"/>
        <s v="E0543"/>
        <s v="E0243"/>
        <s v="E0882"/>
        <s v="E0936"/>
        <s v="E0852"/>
        <s v="E0448"/>
        <s v="E0244"/>
        <s v="E0167"/>
        <s v="E0762"/>
        <s v="E0019"/>
        <s v="E0121"/>
        <s v="E0054"/>
        <s v="E0688"/>
        <s v="E0642"/>
        <s v="E0166"/>
        <s v="E0528"/>
        <s v="E0122"/>
        <s v="E0976"/>
        <s v="E0965"/>
        <s v="E0716"/>
        <s v="E0210"/>
        <s v="E0376"/>
        <s v="E0801"/>
        <s v="E0618"/>
        <s v="E0144"/>
        <s v="E0368"/>
        <s v="E0845"/>
        <s v="E0334"/>
        <s v="E0749"/>
        <s v="E0668"/>
        <s v="E0075"/>
        <s v="E0772"/>
        <s v="E0991"/>
        <s v="E0871"/>
        <s v="E0465"/>
        <s v="E0335"/>
        <s v="E0231"/>
        <s v="E0870"/>
        <s v="E0371"/>
        <s v="E0467"/>
        <s v="E0968"/>
        <s v="E0237"/>
        <s v="E0745"/>
        <s v="E0226"/>
        <s v="E0874"/>
        <s v="E0479"/>
        <s v="E0513"/>
        <s v="E0812"/>
        <s v="E0954"/>
        <s v="E0545"/>
        <s v="E0387"/>
        <s v="E0361"/>
        <s v="E0472"/>
        <s v="E0518"/>
        <s v="E0221"/>
        <s v="E0913"/>
        <s v="E0089"/>
        <s v="E0349"/>
        <s v="E0649"/>
        <s v="E0323"/>
        <s v="E0670"/>
        <s v="E0449"/>
        <s v="E0997"/>
        <s v="E0635"/>
        <s v="E0023"/>
        <s v="E0158"/>
        <s v="E0242"/>
        <s v="E0640"/>
        <s v="E0559"/>
        <s v="E0273"/>
        <s v="E0214"/>
        <s v="E0445"/>
        <s v="E0224"/>
        <s v="E0104"/>
        <s v="E0142"/>
        <s v="E0897"/>
        <s v="E0111"/>
        <s v="E0053"/>
        <s v="E0055"/>
        <s v="E0351"/>
        <s v="E0470"/>
        <s v="E0062"/>
        <s v="E0955"/>
        <s v="E0051"/>
        <s v="E0013"/>
        <s v="E0551"/>
        <s v="E0664"/>
        <s v="E0687"/>
        <s v="E0441"/>
        <s v="E0003"/>
        <s v="E0272"/>
        <s v="E0786"/>
        <s v="E0522"/>
        <s v="E0225"/>
        <s v="E0426"/>
        <s v="E0325"/>
        <s v="E0199"/>
        <s v="E0125"/>
        <s v="E0302"/>
        <s v="E0757"/>
        <s v="E0880"/>
        <s v="E0262"/>
        <s v="E0481"/>
        <s v="E0306"/>
      </sharedItems>
    </cacheField>
    <cacheField name="Temporary column" numFmtId="0">
      <sharedItems count="1000">
        <s v="E0001Lamia TalukderFemaleSalesSales AssociateFull-timeKhulna4277697605Sylhet"/>
        <s v="E0002Ayesha HasanMaleCustomer SuccessSupport SpecialistInternKhulna4517857499E0890Sylhet"/>
        <s v="E0003Sajid RasheedMaleFinanceFinance ManagerFull-timeRemote43874136659E0990Sylhet"/>
        <s v="E0004Shawon RanaMaleHRHR Business PartnerFull-timeSylhet44600115085E0982Sylhet"/>
        <s v="E0005Zahid MorshedFemaleEngineeringDevOps EngineerFull-timeDhaka45011164000E0741Sylhet"/>
        <s v="E0006Rashed UddinFemaleEngineeringQA EngineerFull-timeDhaka43839113810E0775Sylhet"/>
        <s v="E0007Karim IslamFemaleEngineeringQA EngineerContractSylhet42618148804E0102Sylhet"/>
        <s v="E0008Imran FerdousMaleOperationsOperations ManagerFull-timeKhulna44000163417E0646Sylhet"/>
        <s v="E0009Ayesha BiswasMaleHRHR AssociateFull-timeDhaka4350059023E0314Sylhet"/>
        <s v="E0010Mitu HaiderMaleFinanceFinancial AnalystFull-timeChattogram43147184800E0380Sylhet"/>
        <s v="E0011Lamia FerdousMaleEngineeringSoftware EngineerInternRemote4287076400E0648Sylhet"/>
        <s v="E0012Sumaiya ParvinMaleCustomer SuccessCustomer Success ManagerFull-timeDhaka4584391466E0816Sylhet"/>
        <s v="E0013Priya MahmudMaleOperationsOperations ManagerContractKhulna45745144623E0396Sylhet"/>
        <s v="E0014Sumaiya SultanaMaleEngineeringJunior Software EngineerFull-timeKhulna4423297343E0270Sylhet"/>
        <s v="E0015Tania AnjumFemaleEngineeringQA EngineerFull-timeDhaka42745221527E0123Sylhet"/>
        <s v="E0016Rashed SadiqMaleEngineeringEngineering ManagerFull-timeRemote45084169776E0648Sylhet"/>
        <s v="E0017Tasnim SharminMaleProductProduct AnalystFull-timeDhaka43238227464E0783Sylhet"/>
        <s v="E0018Noman BiswasFemaleMarketingGrowth MarketerFull-timeRajshahi4499873216E0893Sylhet"/>
        <s v="E0019Nabila RahmanFemaleSalesSales ManagerFull-timeDhaka44989116055E0917Sylhet"/>
        <s v="E0020Imran KabirMaleProductProduct AnalystFull-timeRajshahi44815188711E0777Sylhet"/>
        <s v="E0021Karim BanuFemaleHRHR Business PartnerContractSylhet4245763778E0665Sylhet"/>
        <s v="E0022Tamanna SarkerFemaleEngineeringSoftware EngineerContractKhulna42577215065E0190Sylhet"/>
        <s v="E0023Arif AkterMaleProductSenior Product ManagerContractRajshahi45592122086E0270Sylhet"/>
        <s v="E0024Esha MiahMaleSalesSales ManagerFull-timeDhaka43736141478E0989Sylhet"/>
        <s v="E0025Fahim AminFemaleSalesSales ManagerFull-timeSylhet43367131411E0756Sylhet"/>
        <s v="E0026Tasnim ChowdhuryMaleOperationsSupply Chain AnalystFull-timeKhulna42885104751E0161Sylhet"/>
        <s v="E0027Tania UddinMaleEngineeringDevOps EngineerFull-timeRemote45593218329E0741Sylhet"/>
        <s v="E0028Rashed RahmanMaleMarketingSEO SpecialistFull-timeDhaka44682157690E0755Sylhet"/>
        <s v="E0029Sadia HasanFemaleHRRecruiterFull-timeDhaka43210141183E0356Sylhet"/>
        <s v="E0030Zahid HossainFemaleEngineeringDevOps EngineerFull-timeKhulna4265199920E0630Sylhet"/>
        <s v="E0031Rafi AminFemaleHRHR AssociateFull-timeRajshahi4576878647E0699Sylhet"/>
        <s v="E0032Ayesha RanaFemaleEngineeringSenior Software EngineerContractSylhet45504233085E0709Sylhet"/>
        <s v="E0033Jannat MorshedMaleEngineeringSoftware EngineerFull-timeRemote44640153390E0893Sylhet"/>
        <s v="E0034Mahin IslamNon-binaryCustomer SuccessSupport AssociateFull-timeChattogram43218105962E0938Sylhet"/>
        <s v="E0035Fahim BiswasMaleCustomer SuccessSupport AssociateFull-timeDhaka44771116624E0865Sylhet"/>
        <s v="E0036Zahid BanuFemaleOperationsSupply Chain AnalystFull-timeChattogram4325477427Sylhet"/>
        <s v="E0037Shawon AnjumFemaleProductAssociate Product ManagerContractDhaka45700317015E0380Sylhet"/>
        <s v="E0038Mahin MiahFemaleEngineeringQA EngineerFull-timeRajshahi43324206071E0701Sylhet"/>
        <s v="E0039Sadia BiswasFemaleFinanceAccounts ExecutiveContractRajshahi43715132584Sylhet"/>
        <s v="E0040Shafiq SadiqFemaleSalesAccount ExecutiveFull-timeRajshahi4554174566E0849Sylhet"/>
        <s v="E0041Noman KhanFemaleEngineeringSenior Software EngineerFull-timeKhulna42974164307E0251Sylhet"/>
        <s v="E0042Esha AminMaleMarketingSEO SpecialistFull-timeKhulna45600143885E0141Sylhet"/>
        <s v="E0043Ovi IslamMaleEngineeringSoftware EngineerFull-timeRemote44811151772E0736Sylhet"/>
        <s v="E0044Fahim JahanMaleCustomer SuccessSupport SpecialistFull-timeRajshahi4238172635E0186Sylhet"/>
        <s v="E0045Rahim AkterMaleProductSenior Product ManagerFull-timeChattogram43505228086E0025Sylhet"/>
        <s v="E0046Mitu SharminMaleHRHR Business PartnerFull-timeRajshahi45886117000E0456Sylhet"/>
        <s v="E0047Noman AminMaleProductProduct AnalystFull-timeRajshahi42962104908E0927Sylhet"/>
        <s v="E0048Tania AhmedMaleMarketingMarketing AssociateFull-timeKhulna42902134577E0592Sylhet"/>
        <s v="E0049Tasnim ShahFemaleMarketingMarketing ManagerFull-timeChattogram44582211918E0783Sylhet"/>
        <s v="E0050Rahim RasheedMaleEngineeringJunior Software EngineerFull-timeDhaka43396173897E0383Sylhet"/>
        <s v="E0051Noman SultanaMaleCustomer SuccessCustomer Success ManagerContractRemote45640121481E0849Sylhet"/>
        <s v="E0052Noman HossainMaleOperationsSupply Chain AnalystFull-timeRemote43084158063E0742Sylhet"/>
        <s v="E0053Shawon AkterMaleCustomer SuccessCustomer Success ManagerFull-timeSylhet42820173570E0701Sylhet"/>
        <s v="E0054Tamanna RahmanFemaleOperationsOperations ManagerFull-timeDhaka45077147590Sylhet"/>
        <s v="E0055Tania AminFemaleHRHR ManagerFull-timeSylhet42475138544E0425Sylhet"/>
        <s v="E0056Sadia RasheedFemaleCustomer SuccessSupport AssociateFull-timeRajshahi4290989940E0728Sylhet"/>
        <s v="E0057Shawon MiahMaleEngineeringQA EngineerFull-timeRajshahi42430209299E0580Sylhet"/>
        <s v="E0058Ayesha ParvinFemaleEngineeringSoftware EngineerFull-timeRemote4383796715Sylhet"/>
        <s v="E0059Sadia MiahMaleEngineeringSenior Software EngineerFull-timeRemote45605165688E0184Sylhet"/>
        <s v="E0060Nafiz MorshedMaleSalesSenior Account ExecutiveFull-timeRemote4559995553E0839Sylhet"/>
        <s v="E0061Fahim BiswasNon-binarySalesSales ManagerFull-timeDhaka43344225796E0453Sylhet"/>
        <s v="E0062Fahim HasanFemaleProductSenior Product ManagerFull-timeRemote44781164207E0980Sylhet"/>
        <s v="E0063Tasnim AlamFemaleOperationsOperations ManagerFull-timeRajshahi43696157208E0756Sylhet"/>
        <s v="E0064Lamia BiswasFemaleSalesAccount ExecutiveFull-timeSylhet42434205545E0797Sylhet"/>
        <s v="E0065Sadia AkterFemaleProductAssociate Product ManagerContractKhulna43083331486E0782Sylhet"/>
        <s v="E0066Ovi KhanFemaleMarketingSEO SpecialistInternKhulna43456134863E0831Sylhet"/>
        <s v="E0067Imran IslamMaleEngineeringSoftware EngineerFull-timeRemote4258496418E0179Sylhet"/>
        <s v="E0068Sumaiya AlamMaleOperationsOperations AssociateFull-timeKhulna42889117217E0161Sylhet"/>
        <s v="E0069Tania AhmedMaleEngineeringSoftware EngineerFull-timeDhaka45408119297E0065Sylhet"/>
        <s v="E0070Priya TalukderMaleCustomer SuccessSupport AssociateFull-timeDhaka4409496180E0159Sylhet"/>
        <s v="E0071Mahin KhanMaleOperationsOperations AssociateFull-timeChattogram4452469424E0109Sylhet"/>
        <s v="E0072Fahim TalukderFemaleEngineeringSoftware EngineerFull-timeDhaka42835125767E0428Sylhet"/>
        <s v="E0073Arif TalukderFemaleEngineeringJunior Software EngineerFull-timeDhaka45424171120E0239Sylhet"/>
        <s v="E0074Shawon AlamMaleOperationsOperations AssociateFull-timeKhulna4263073342E0630Sylhet"/>
        <s v="E0075Shafiq SharminFemaleFinanceFinance ManagerFull-timeRajshahi44320126028E0008Sylhet"/>
        <s v="E0076Rashed MiahMaleFinanceFinancial AnalystFull-timeRajshahi4420684403E0755Sylhet"/>
        <s v="E0077Sajid SarkerFemaleOperationsSupply Chain AnalystFull-timeRajshahi4555658098E0045Sylhet"/>
        <s v="E0078Sumaiya HossainMaleEngineeringQA EngineerFull-timeSylhet43852173927E0314Sylhet"/>
        <s v="E0079Tasnim SultanaMaleSalesSales AssociateContractKhulna44472149187E0831Sylhet"/>
        <s v="E0080Tamanna BiswasMaleEngineeringEngineering ManagerFull-timeDhaka44801278581E0657Sylhet"/>
        <s v="E0081Lamia AkterFemaleOperationsOperations ManagerFull-timeRajshahi4281675559E0278Sylhet"/>
        <s v="E0082Rahim IslamMaleHRHR AssociateFull-timeRajshahi4422184502E0617Sylhet"/>
        <s v="E0083Ayesha BanuFemaleSalesAccount ExecutiveFull-timeChattogram44433152331E0063Sylhet"/>
        <s v="E0084Tamanna RasheedFemaleEngineeringDevOps EngineerFull-timeChattogram43277195944E0310Sylhet"/>
        <s v="E0085Rahim KhanMaleProductSenior Product ManagerFull-timeRajshahi44889268922E0172Sylhet"/>
        <s v="E0086Mitu RahmanMaleSalesAccount ExecutiveFull-timeChattogram42547198013E0849Sylhet"/>
        <s v="E0087Karim KabirPrefer not to sayFinanceSenior Financial AnalystFull-timeKhulna45348266602E0420Sylhet"/>
        <s v="E0088Mitu ChowdhuryMaleHRHR AssociateFull-timeRajshahi45578136974E0404Sylhet"/>
        <s v="E0089Nabila SultanaMaleOperationsOperations ManagerFull-timeSylhet45068127230Sylhet"/>
        <s v="E0090Tamanna ParvinMaleMarketingMarketing AssociateContractRajshahi44505147356E0196Sylhet"/>
        <s v="E0091Nafiz FerdousMaleEngineeringEngineering ManagerFull-timeRemote43605161402E0330Sylhet"/>
        <s v="E0092Nabila SharminFemaleFinanceSenior Financial AnalystInternKhulna44246233536E0197Sylhet"/>
        <s v="E0093Rafi SultanaFemaleFinanceSenior Financial AnalystFull-timeDhaka45005257374E0657Sylhet"/>
        <s v="E0094Arif MiahMaleMarketingGrowth MarketerFull-timeKhulna4249791158E0592Sylhet"/>
        <s v="E0095Shawon FerdousMaleOperationsOperations AssociateFull-timeKhulna42619106333E0684Sylhet"/>
        <s v="E0096Fahim SharminMaleMarketingMarketing AssociateFull-timeRemote4433175235Sylhet"/>
        <s v="E0097Sadia RasheedPrefer not to sayMarketingMarketing AssociateContractDhaka4584060785E0453Sylhet"/>
        <s v="E0098Rashed TalukderMaleSalesSales AssociateFull-timeDhaka4401555786E0672Sylhet"/>
        <s v="E0099Karim ShahNon-binaryEngineeringDevOps EngineerFull-timeSylhet44116134271E0663Sylhet"/>
        <s v="E0100Sadia SadiqFemaleEngineeringSoftware EngineerFull-timeSylhet45180156178E0045Sylhet"/>
        <s v="E0101Rafi ParvinMaleEngineeringJunior Software EngineerContractRajshahi42812131877E0314Sylhet"/>
        <s v="E0102Shafiq HossainFemaleHRHR ManagerFull-timeChattogram44378138408E0855Sylhet"/>
        <s v="E0103Esha RanaFemaleProductSenior Product ManagerContractKhulna45287253791E0383Sylhet"/>
        <s v="E0104Zahid SharminMaleMarketingMarketing ManagerFull-timeKhulna44186234882E0774Sylhet"/>
        <s v="E0105Rafi KhanMaleCustomer SuccessCustomer Success ManagerFull-timeDhaka42671171732E0980Sylhet"/>
        <s v="E0106Rafi MiahFemaleProductProduct AnalystFull-timeKhulna42700124374E0828Sylhet"/>
        <s v="E0107Ovi HaiderMaleSalesAccount ExecutiveFull-timeKhulna43689180577E0861Sylhet"/>
        <s v="E0108Nabila SadiqMaleFinanceSenior Financial AnalystFull-timeDhaka44861214709E0500Sylhet"/>
        <s v="E0109Rafi BanuMaleProductProduct ManagerFull-timeRemote42977272489Sylhet"/>
        <s v="E0110Nadia SarkerFemaleEngineeringJunior Software EngineerFull-timeRajshahi42639179920E0179Sylhet"/>
        <s v="E0111Shafiq AnjumFemaleProductSenior Product ManagerFull-timeKhulna42886274622E0080Sylhet"/>
        <s v="E0112Tamanna SultanaMaleEngineeringSoftware EngineerFull-timeKhulna43496115486E0156Sylhet"/>
        <s v="E0113Imran ShahMaleCustomer SuccessSupport AssociateFull-timeChattogram4492747847E0828Sylhet"/>
        <s v="E0114Arif MahmudMaleOperationsSupply Chain AnalystFull-timeDhaka44963150407E0008Sylhet"/>
        <s v="E0115Sumaiya SharminFemaleHRHR Business PartnerInternKhulna4476775402E0190Sylhet"/>
        <s v="E0116Zahid RasheedFemaleOperationsSupply Chain AnalystFull-timeChattogram4461690308E0831Sylhet"/>
        <s v="E0117Shawon RanaMaleOperationsOperations AssociateFull-timeRemote4528693271E0728Sylhet"/>
        <s v="E0118Noman MorshedFemaleEngineeringDevOps EngineerInternKhulna43701166489E0102Sylhet"/>
        <s v="E0119Shawon AkterFemaleOperationsOperations AssociateFull-timeDhaka43930127253E0881Sylhet"/>
        <s v="E0120Jannat AhmedMaleMarketingMarketing AssociateFull-timeKhulna44816156698E0780Sylhet"/>
        <s v="E0121Karim BanuFemaleOperationsOperations ManagerFull-timeChattogram44543105032E0684Sylhet"/>
        <s v="E0122Tania UddinMaleOperationsOperations ManagerContractDhaka43577194473E0063Sylhet"/>
        <s v="E0123Jannat AkterFemaleProductSenior Product ManagerFull-timeKhulna44228223604E0150Sylhet"/>
        <s v="E0124Noman ChowdhuryMaleEngineeringDevOps EngineerFull-timeRajshahi44440116353Sylhet"/>
        <s v="E0125Tasnim SadiqMaleProductProduct ManagerFull-timeDhaka44849323393E0037Sylhet"/>
        <s v="E0126Arif SultanaMaleSalesAccount ExecutiveFull-timeSylhet44132204089Sylhet"/>
        <s v="E0127Sajid IslamMaleOperationsOperations AssociateFull-timeSylhet42776115492Sylhet"/>
        <s v="E0128Mahin KhanFemaleOperationsSupply Chain AnalystFull-timeSylhet4561863509E0585Sylhet"/>
        <s v="E0129Mitu FerdousFemaleEngineeringSoftware EngineerFull-timeRajshahi45244150359Sylhet"/>
        <s v="E0130Nabila RanaFemaleMarketingContent SpecialistFull-timeSylhet42838188137E0979Sylhet"/>
        <s v="E0131Tania BiswasMaleSalesSenior Account ExecutiveFull-timeChattogram45863180052E0383Sylhet"/>
        <s v="E0132Lamia HaiderMaleProductAssociate Product ManagerFull-timeDhaka45051331014E0407Sylhet"/>
        <s v="E0133Karim RanaFemaleEngineeringJunior Software EngineerFull-timeRajshahi45036150872E0016Sylhet"/>
        <s v="E0134Tasnim TalukderFemaleSalesSales AssociateFull-timeKhulna4551974066E0109Sylhet"/>
        <s v="E0135Rafi MahmudMaleCustomer SuccessSupport SpecialistFull-timeChattogram4462871853E0672Sylhet"/>
        <s v="E0136Sajid KabirMaleSalesSales AssociateFull-timeRajshahi45322145378E0061Sylhet"/>
        <s v="E0137Nadia SultanaMaleMarketingSEO SpecialistInternDhaka4325080214E0630Sylhet"/>
        <s v="E0138Nadia TalukderFemaleFinanceFinancial AnalystFull-timeRemote44131153114Sylhet"/>
        <s v="E0139Sumaiya BanuFemaleSalesAccount ExecutiveFull-timeChattogram44219107540E0357Sylhet"/>
        <s v="E0140Mitu HossainMaleCustomer SuccessSupport SpecialistFull-timeSylhet43305133736E0103Sylhet"/>
        <s v="E0141Shawon HasanMaleCustomer SuccessCustomer Success ManagerContractSylhet44064193662E0736Sylhet"/>
        <s v="E0142Esha SharminMaleProductAssociate Product ManagerFull-timeDhaka43758214124E0081Sylhet"/>
        <s v="E0143Sajid KabirMaleMarketingGrowth MarketerFull-timeRemote45759160401E0990Sylhet"/>
        <s v="E0144Rashed KabirFemaleProductAssociate Product ManagerFull-timeRemote44227292950E0396Sylhet"/>
        <s v="E0145Sajid RanaMaleProductProduct AnalystFull-timeRajshahi44003156121E0024Sylhet"/>
        <s v="E0146Shawon TalukderMaleEngineeringDevOps EngineerFull-timeRemote44073144739E0554Sylhet"/>
        <s v="E0147Nabila SarkerMaleHRHR Business PartnerFull-timeKhulna4535866930E0783Sylhet"/>
        <s v="E0148Sumaiya RasheedFemaleMarketingGrowth MarketerInternSylhet4275966367E0855Sylhet"/>
        <s v="E0149Ovi HossainMaleEngineeringDevOps EngineerFull-timeChattogram43650125613E0270Sylhet"/>
        <s v="E0150Shawon ShahMaleProductSenior Product ManagerFull-timeSylhet44118235298E0132Sylhet"/>
        <s v="E0151Nabila ParvinPrefer not to sayCustomer SuccessSupport SpecialistFull-timeKhulna4365090082E0956Sylhet"/>
        <s v="E0152Esha BanuFemaleProductSenior Product ManagerFull-timeChattogram45094229275E0855Sylhet"/>
        <s v="E0153Tania ParvinMaleEngineeringQA EngineerFull-timeDhaka43414122342E0682Sylhet"/>
        <s v="E0154Priya AkterMaleMarketingGrowth MarketerFull-timeSylhet43903153272E0012Sylhet"/>
        <s v="E0155Shawon TalukderMaleCustomer SuccessSupport SpecialistInternRajshahi4299576212E0585Sylhet"/>
        <s v="E0156Tania FerdousMaleProductProduct ManagerFull-timeRemote45183204194E0045Sylhet"/>
        <s v="E0157Rafi ChowdhuryMaleFinanceAccounts ExecutiveFull-timeChattogram44312163259Sylhet"/>
        <s v="E0158Tasnim MahmudFemaleFinanceFinance ManagerFull-timeKhulna42644191622E0560Sylhet"/>
        <s v="E0159Karim SultanaMaleProductSenior Product ManagerFull-timeRemote42743254146E0080Sylhet"/>
        <s v="E0160Tania RasheedMaleFinanceAccounts ExecutiveFull-timeRemote45776114415E0783Sylhet"/>
        <s v="E0161Esha SultanaMaleSalesSales ManagerFull-timeDhaka42719190248E0774Sylhet"/>
        <s v="E0162Sadia FerdousFemaleHRHR AssociateFull-timeSylhet4275160029E0416Sylhet"/>
        <s v="E0163Mitu BiswasMaleHRRecruiterFull-timeChattogram44138132352E0907Sylhet"/>
        <s v="E0164Jannat HaiderFemaleMarketingSEO SpecialistContractRemote42765172506E0152Sylhet"/>
        <s v="E0165Ovi RahmanFemaleEngineeringJunior Software EngineerFull-timeChattogram45419112641E0656Sylhet"/>
        <s v="E0166Karim HasanMaleOperationsOperations ManagerFull-timeRajshahi4539698319E0181Sylhet"/>
        <s v="E0167Esha IslamMaleSalesSales ManagerFull-timeDhaka43896184159E0709Sylhet"/>
        <s v="E0168Tamanna ParvinFemaleEngineeringSenior Software EngineerContractChattogram45695176571E0909Sylhet"/>
        <s v="E0169Tamanna SadiqMaleEngineeringJunior Software EngineerFull-timeRajshahi42902109974Sylhet"/>
        <s v="E0170Nafiz RanaMaleHRRecruiterFull-timeChattogram4464863596E0574Sylhet"/>
        <s v="E0171Ayesha SadiqFemaleFinanceSenior Financial AnalystFull-timeRajshahi42615164223E0574Sylhet"/>
        <s v="E0172Shafiq RasheedFemaleEngineeringEngineering ManagerFull-timeSylhet44772197542Sylhet"/>
        <s v="E0173Shafiq AkterMaleMarketingGrowth MarketerFull-timeRajshahi44670124487E0229Sylhet"/>
        <s v="E0174Lamia MiahFemaleProductProduct AnalystFull-timeSylhet44670170924Sylhet"/>
        <s v="E0175Mitu SultanaFemaleHRHR Business PartnerFull-timeKhulna4372089719E0500Sylhet"/>
        <s v="E0176Sajid AkterMaleEngineeringSenior Software EngineerContractChattogram45114143847E0357Sylhet"/>
        <s v="E0177Fahim HasanMaleFinanceSenior Financial AnalystContractRemote42870129577E0686Sylhet"/>
        <s v="E0178Ovi MorshedMaleSalesSales AssociateFull-timeKhulna44052154566E0249Sylhet"/>
        <s v="E0179Shawon MiahMaleCustomer SuccessCustomer Success ManagerFull-timeChattogram43818168895E0972Sylhet"/>
        <s v="E0180Sajid RanaMaleEngineeringSenior Software EngineerFull-timeDhaka45095193255E0500Sylhet"/>
        <s v="E0181Zahid RasheedFemaleSalesSales ManagerFull-timeSylhet45443195037E0657Sylhet"/>
        <s v="E0182Tasnim ShahFemaleEngineeringSoftware EngineerFull-timeChattogram44102149426E0741Sylhet"/>
        <s v="E0183Zahid KabirNon-binaryCustomer SuccessSupport SpecialistFull-timeSylhet4532399935E0595Sylhet"/>
        <s v="E0184Nabila ShahMaleOperationsOperations ManagerFull-timeRemote42580191513E0866Sylhet"/>
        <s v="E0185Arif HossainMaleProductProduct AnalystFull-timeRemote43548147331E0428Sylhet"/>
        <s v="E0186Sajid AhmedMaleHRHR ManagerFull-timeRemote44829186702E0310Sylhet"/>
        <s v="E0187Priya AminFemaleOperationsSupply Chain AnalystContractDhaka4364976155E0198Sylhet"/>
        <s v="E0188Mitu AnjumMaleMarketingMarketing AssociateFull-timeRajshahi4381083898E0672Sylhet"/>
        <s v="E0189Shafiq AnjumMaleMarketingContent SpecialistFull-timeRemote4279480935E0893Sylhet"/>
        <s v="E0190Tasnim RahmanMaleProductProduct ManagerFull-timeKhulna44737184157E0719Sylhet"/>
        <s v="E0191Arif MorshedMaleEngineeringJunior Software EngineerFull-timeDhaka44448174728E0938Sylhet"/>
        <s v="E0192Lamia RahmanMaleOperationsSupply Chain AnalystFull-timeRajshahi43241161761E0453Sylhet"/>
        <s v="E0193Ayesha SharminMaleCustomer SuccessSupport AssociateFull-timeChattogram43003101902E0278Sylhet"/>
        <s v="E0194Lamia FerdousFemaleHRHR Business PartnerFull-timeSylhet4505971442E0103Sylhet"/>
        <s v="E0195Arif KhanMaleSalesSales AssociateFull-timeDhaka4434556829E0648Sylhet"/>
        <s v="E0196Noman MiahFemaleSalesSales ManagerFull-timeRemote43288107371Sylhet"/>
        <s v="E0197Noman AhmedFemaleFinanceFinance ManagerFull-timeKhulna45840225835E0881Sylhet"/>
        <s v="E0198Nadia KabirMaleOperationsOperations ManagerFull-timeDhaka42813163677E0560Sylhet"/>
        <s v="E0199Nabila ParvinPrefer not to sayOperationsOperations ManagerInternRemote4380481456E0777Sylhet"/>
        <s v="E0200Mitu HaiderFemaleOperationsOperations AssociateFull-timeRemote45832115471E0065Sylhet"/>
        <s v="E0201Shawon SharminFemaleHRHR Business PartnerFull-timeRajshahi44648147911E0963Sylhet"/>
        <s v="E0202Mitu MahmudFemaleEngineeringJunior Software EngineerFull-timeKhulna4387579321Sylhet"/>
        <s v="E0203Mitu KabirFemaleEngineeringJunior Software EngineerFull-timeSylhet4284078363E0024Sylhet"/>
        <s v="E0204Lamia HasanMaleOperationsOperations AssociateFull-timeRemote45493110723E0624Sylhet"/>
        <s v="E0205Ovi ChowdhuryMaleHRRecruiterFull-timeDhaka4351163622E0639Sylhet"/>
        <s v="E0206Jannat IslamMaleEngineeringDevOps EngineerContractDhaka44721100219E0037Sylhet"/>
        <s v="E0207Fahim TalukderMaleEngineeringQA EngineerFull-timeDhaka4329690603E0565Sylhet"/>
        <s v="E0208Mitu FerdousMaleHRRecruiterFull-timeKhulna4567668932E0560Sylhet"/>
        <s v="E0209Zahid UddinMaleEngineeringSoftware EngineerFull-timeDhaka44127200191E0831Sylhet"/>
        <s v="E0210Esha KabirNon-binaryEngineeringEngineering ManagerFull-timeRajshahi45831276214E0389Sylhet"/>
        <s v="E0211Shafiq MiahMaleMarketingContent SpecialistFull-timeSylhet4466791942E0828Sylhet"/>
        <s v="E0212Noman RasheedFemaleFinanceFinancial AnalystInternRemote45513115210E0912Sylhet"/>
        <s v="E0213Shafiq IslamMaleHRHR AssociateFull-timeChattogram4572260224E0469Sylhet"/>
        <s v="E0214Ayesha HossainMaleProductProduct ManagerContractChattogram44916154511E0085Sylhet"/>
        <s v="E0215Nafiz AhmedFemaleFinanceSenior Financial AnalystFull-timeChattogram44883217157E0520Sylhet"/>
        <s v="E0216Shafiq JahanPrefer not to sayProductProduct AnalystFull-timeKhulna45134115743Sylhet"/>
        <s v="E0217Tamanna BanuFemaleSalesSales AssociateFull-timeKhulna4500286601E0865Sylhet"/>
        <s v="E0218Ovi KabirFemaleFinanceSenior Financial AnalystFull-timeKhulna44650188835E0728Sylhet"/>
        <s v="E0219Shafiq HossainMaleHRHR Business PartnerFull-timeChattogram4247772912E0533Sylhet"/>
        <s v="E0220Shafiq HaiderMaleOperationsOperations AssociateFull-timeChattogram44864148023E0150Sylhet"/>
        <s v="E0221Rashed KabirFemaleHRHR ManagerFull-timeDhaka45064186275E0602Sylhet"/>
        <s v="E0222Noman AkterFemaleMarketingMarketing AssociateFull-timeChattogram45767132900E0141Sylhet"/>
        <s v="E0223Tamanna RanaMaleEngineeringSoftware EngineerFull-timeKhulna45210197759E0488Sylhet"/>
        <s v="E0224Nabila SultanaFemaleSalesSales ManagerFull-timeRajshahi43465186825E0045Sylhet"/>
        <s v="E0225Zahid KabirMaleProductAssociate Product ManagerContractDhaka42488238674E0511Sylhet"/>
        <s v="E0226Priya ChowdhuryFemaleProductProduct ManagerFull-timeDhaka43108190351E0241Sylhet"/>
        <s v="E0227Rafi AminMaleCustomer SuccessSupport SpecialistFull-timeSylhet4348985676E0045Sylhet"/>
        <s v="E0228Farhan TalukderFemaleSalesSales AssociateFull-timeSylhet45248126090E0538Sylhet"/>
        <s v="E0229Esha AkterMaleOperationsOperations ManagerFull-timeRajshahi45492132740E0365Sylhet"/>
        <s v="E0230Mitu UddinFemaleHRRecruiterFull-timeRemote43635145727E0980Sylhet"/>
        <s v="E0231Nadia ChowdhuryMaleOperationsOperations ManagerFull-timeChattogram43761201055E0049Sylhet"/>
        <s v="E0232Farhan SultanaMaleMarketingMarketing AssociateFull-timeChattogram43807160791Sylhet"/>
        <s v="E0233Ayesha ParvinFemaleMarketingMarketing AssociateFull-timeChattogram42395112634E0102Sylhet"/>
        <s v="E0234Jannat AnjumFemaleMarketingMarketing AssociateFull-timeDhaka43113104145E0543Sylhet"/>
        <s v="E0235Shawon SarkerMaleEngineeringQA EngineerFull-timeDhaka42956125871E0243Sylhet"/>
        <s v="E0236Nabila AminMaleFinanceFinancial AnalystFull-timeKhulna44689138097E0239Sylhet"/>
        <s v="E0237Imran KabirFemaleProductSenior Product ManagerFull-timeKhulna45062137134E0617Sylhet"/>
        <s v="E0238Zahid TalukderMaleEngineeringSenior Software EngineerFull-timeKhulna44011150761E0686Sylhet"/>
        <s v="E0239Sajid UddinFemaleHRHR ManagerFull-timeDhaka42655199207E0639Sylhet"/>
        <s v="E0240Rahim RahmanFemaleEngineeringJunior Software EngineerFull-timeRemote4295181364E0882Sylhet"/>
        <s v="E0241Sajid BanuMaleCustomer SuccessCustomer Success ManagerContractChattogram45405139274Sylhet"/>
        <s v="E0242Nabila UddinFemaleCustomer SuccessCustomer Success ManagerFull-timeDhaka44963110145E0979Sylhet"/>
        <s v="E0243Tania ParvinMaleCustomer SuccessCustomer Success ManagerContractChattogram4249596473E0407Sylhet"/>
        <s v="E0244Jannat SharminFemaleSalesSales ManagerContractSylhet42745243473E0936Sylhet"/>
        <s v="E0245Karim IslamMaleEngineeringQA EngineerFull-timeRajshahi45426117681E0852Sylhet"/>
        <s v="E0246Shawon JahanFemaleCustomer SuccessSupport SpecialistFull-timeKhulna4454291573E0646Sylhet"/>
        <s v="E0247Mahin AnjumMaleSalesSales AssociateInternChattogram43251108435Sylhet"/>
        <s v="E0248Sadia SadiqMaleCustomer SuccessSupport AssociateFull-timeRemote4391063968E0448Sylhet"/>
        <s v="E0249Imran AkterFemaleCustomer SuccessCustomer Success ManagerFull-timeDhaka4408986122E0065Sylhet"/>
        <s v="E0250Mahin HossainMaleOperationsSupply Chain AnalystContractSylhet44228113140E0244Sylhet"/>
        <s v="E0251Mahin MorshedMaleProductProduct ManagerFull-timeSylhet43766210984E0167Sylhet"/>
        <s v="E0252Priya HossainFemaleSalesAccount ExecutiveFull-timeKhulna43014100793E0646Sylhet"/>
        <s v="E0253Nadia BanuMaleOperationsOperations AssociateFull-timeChattogram43885100319E0109Sylhet"/>
        <s v="E0254Nafiz JahanMaleProductProduct AnalystFull-timeSylhet4364698081E0420Sylhet"/>
        <s v="E0255Ovi RasheedPrefer not to sayEngineeringQA EngineerContractKhulna45325163185E0762Sylhet"/>
        <s v="E0256Karim RasheedPrefer not to sayMarketingContent SpecialistContractDhaka43698123657E0709Sylhet"/>
        <s v="E0257Nafiz TalukderMaleCustomer SuccessSupport AssociateFull-timeDhaka45551118593E0190Sylhet"/>
        <s v="E0258Rashed ParvinMaleFinanceFinancial AnalystContractKhulna4469473943E0682Sylhet"/>
        <s v="E0259Tasnim SultanaMaleMarketingMarketing AssociateFull-timeRemote44812139284E0019Sylhet"/>
        <s v="E0260Rahim MorshedFemaleEngineeringSenior Software EngineerContractDhaka42717161928E0121Sylhet"/>
        <s v="E0261Shawon TalukderFemaleHRHR AssociateInternKhulna42585107400E0152Sylhet"/>
        <s v="E0262Sadia AhmedFemaleCustomer SuccessCustomer Success ManagerFull-timeSylhet4300799598E0538Sylhet"/>
        <s v="E0263Jannat AkterMaleEngineeringSoftware EngineerFull-timeRajshahi4301481876Sylhet"/>
        <s v="E0264Mahin MorshedMaleMarketingContent SpecialistContractRajshahi45460190900E0054Sylhet"/>
        <s v="E0265Jannat ParvinFemaleOperationsOperations AssociateInternRajshahi4490092057E0989Sylhet"/>
        <s v="E0266Shawon BiswasFemaleFinanceAccounts ExecutiveContractChattogram42573120976E0404Sylhet"/>
        <s v="E0267Farhan UddinFemaleFinanceFinancial AnalystContractKhulna4513086707E0595Sylhet"/>
        <s v="E0268Rashed MiahNon-binaryFinanceFinancial AnalystFull-timeDhaka42704129733E0938Sylhet"/>
        <s v="E0269Tasnim ChowdhuryFemaleSalesSenior Account ExecutiveFull-timeDhaka4348483187E0688Sylhet"/>
        <s v="E0270Rahim SharminMaleProductAssociate Product ManagerFull-timeRemote44184271250E0080Sylhet"/>
        <s v="E0271Zahid SultanaFemaleOperationsSupply Chain AnalystInternSylhet45081115810E0648Sylhet"/>
        <s v="E0272Shawon MiahMaleOperationsOperations ManagerFull-timeDhaka44106122316E0936Sylhet"/>
        <s v="E0273Shawon RanaFemaleOperationsOperations ManagerInternRemote44359183817E0198Sylhet"/>
        <s v="E0274Sajid AlamFemaleCustomer SuccessSupport AssociateFull-timeKhulna4485678062E0642Sylhet"/>
        <s v="E0275Rahim HaiderMaleMarketingContent SpecialistFull-timeChattogram44180139206E0630Sylhet"/>
        <s v="E0276Jannat ParvinMaleMarketingMarketing AssociateContractDhaka4406664953E0166Sylhet"/>
        <s v="E0277Sumaiya ParvinMaleOperationsOperations AssociateContractSylhet4348890476E0528Sylhet"/>
        <s v="E0278Rahim RasheedFemaleHRHR ManagerFull-timeChattogram4325295485E0774Sylhet"/>
        <s v="E0279Tasnim RanaMaleFinanceAccounts ExecutiveFull-timeRajshahi4546290571E0989Sylhet"/>
        <s v="E0280Shawon SultanaFemaleOperationsSupply Chain AnalystFull-timeKhulna44468165934E0639Sylhet"/>
        <s v="E0281Ayesha MiahFemaleOperationsSupply Chain AnalystFull-timeSylhet42836144447Sylhet"/>
        <s v="E0282Jannat HossainMaleSalesSenior Account ExecutiveFull-timeDhaka43783262569E0122Sylhet"/>
        <s v="E0283Shafiq AminFemaleSalesAccount ExecutiveFull-timeKhulna44130177614E0184Sylhet"/>
        <s v="E0284Karim AnjumMaleEngineeringJunior Software EngineerFull-timeChattogram4282478609E0976Sylhet"/>
        <s v="E0285Rashed AlamMaleMarketingContent SpecialistFull-timeChattogram4353090107E0425Sylhet"/>
        <s v="E0286Imran IslamFemaleEngineeringSenior Software EngineerFull-timeChattogram45147218934E0648Sylhet"/>
        <s v="E0287Priya AlamFemaleSalesSales AssociateFull-timeChattogram4514966490Sylhet"/>
        <s v="E0288Imran AnjumMaleMarketingContent SpecialistFull-timeRemote44799148675E0656Sylhet"/>
        <s v="E0289Imran AhmedMaleProductProduct AnalystFull-timeDhaka44363198833E0938Sylhet"/>
        <s v="E0290Shawon KhanMaleHRHR AssociateContractRajshahi4452899645E0520Sylhet"/>
        <s v="E0291Priya ChowdhuryMaleEngineeringSoftware EngineerContractChattogram45102110649E0085Sylhet"/>
        <s v="E0292Zahid ParvinFemaleEngineeringJunior Software EngineerContractChattogram4363390407E0122Sylhet"/>
        <s v="E0293Shawon IslamFemaleOperationsSupply Chain AnalystFull-timeSylhet4255686531E0560Sylhet"/>
        <s v="E0294Ovi AkterMaleSalesSenior Account ExecutiveFull-timeRajshahi43273166965E0965Sylhet"/>
        <s v="E0295Arif RanaFemaleEngineeringDevOps EngineerFull-timeDhaka43988220987E0716Sylhet"/>
        <s v="E0296Sumaiya AlamFemaleMarketingMarketing AssociateFull-timeChattogram44824126321E0543Sylhet"/>
        <s v="E0297Rashed SharminMaleFinanceAccounts ExecutiveFull-timeDhaka42594142246E0936Sylhet"/>
        <s v="E0298Nadia BanuMaleEngineeringJunior Software EngineerFull-timeChattogram42401105719Sylhet"/>
        <s v="E0299Sumaiya RanaMaleHRHR Business PartnerFull-timeRemote4320765312E0210Sylhet"/>
        <s v="E0300Mahin AnjumFemaleEngineeringQA EngineerFull-timeRajshahi43604109499E0488Sylhet"/>
        <s v="E0301Rahim BiswasFemaleEngineeringJunior Software EngineerFull-timeRajshahi43235195905E0376Sylhet"/>
        <s v="E0302Karim IslamMaleMarketingMarketing ManagerFull-timeKhulna45513208862E0865Sylhet"/>
        <s v="E0303Priya ShahFemaleMarketingMarketing AssociateContractKhulna4293281885E0801Sylhet"/>
        <s v="E0304Esha IslamFemaleHRRecruiterFull-timeRemote4550083292E0618Sylhet"/>
        <s v="E0305Esha BanuMaleFinanceSenior Financial AnalystFull-timeKhulna43416119968Sylhet"/>
        <s v="E0306Sadia KabirMaleCustomer SuccessCustomer Success ManagerFull-timeSylhet43555112609E0488Sylhet"/>
        <s v="E0307Sadia MahmudMaleMarketingSEO SpecialistFull-timeRajshahi4371388616E0976Sylhet"/>
        <s v="E0308Nadia RasheedFemaleSalesSenior Account ExecutiveFull-timeSylhet4286189011E0249Sylhet"/>
        <s v="E0309Rafi JahanFemaleOperationsOperations AssociateFull-timeRemote4240161353E0565Sylhet"/>
        <s v="E0310Nafiz ChowdhuryFemaleProductSenior Product ManagerFull-timeRajshahi44407123846E0172Sylhet"/>
        <s v="E0311Fahim ParvinFemaleSalesSales AssociateFull-timeSylhet45429173306Sylhet"/>
        <s v="E0312Shawon FerdousMaleEngineeringDevOps EngineerFull-timeChattogram44133216411E0008Sylhet"/>
        <s v="E0313Arif RahmanMaleEngineeringSenior Software EngineerFull-timeChattogram43089254167E0109Sylhet"/>
        <s v="E0314Nafiz AlamMaleCustomer SuccessCustomer Success ManagerContractChattogram42899111527E0376Sylhet"/>
        <s v="E0315Sadia FerdousFemaleOperationsSupply Chain AnalystFull-timeRemote43927116603E0736Sylhet"/>
        <s v="E0316Tania RahmanFemaleFinanceSenior Financial AnalystFull-timeKhulna44551141544E0407Sylhet"/>
        <s v="E0317Sumaiya AkterMaleSalesAccount ExecutiveFull-timeDhaka45252178865E0144Sylhet"/>
        <s v="E0318Mitu BanuFemaleEngineeringQA EngineerContractRemote43312182959E0630Sylhet"/>
        <s v="E0319Tasnim BanuMaleEngineeringJunior Software EngineerFull-timeRajshahi4441996425E0909Sylhet"/>
        <s v="E0320Shawon SadiqFemaleProductProduct AnalystFull-timeKhulna44658176119E0595Sylhet"/>
        <s v="E0321Zahid TalukderFemaleMarketingContent SpecialistFull-timeRemote4578370238E0243Sylhet"/>
        <s v="E0322Nadia MahmudNon-binaryFinanceAccounts ExecutiveFull-timeRemote45106192123E0389Sylhet"/>
        <s v="E0323Ovi SharminFemaleHRHR ManagerFull-timeDhaka45672159552E0420Sylhet"/>
        <s v="E0324Mitu BanuFemaleProductProduct AnalystFull-timeRajshahi43820210429E0585Sylhet"/>
        <s v="E0325Imran IslamMaleCustomer SuccessCustomer Success ManagerFull-timeChattogram42665144541E0368Sylhet"/>
        <s v="E0326Mahin AnjumFemaleFinanceFinancial AnalystFull-timeKhulna43996188550E0488Sylhet"/>
        <s v="E0327Farhan AhmedMaleMarketingMarketing AssociateFull-timeRemote45899116526E0278Sylhet"/>
        <s v="E0328Tasnim ShahFemaleHRHR Business PartnerFull-timeDhaka45409114641E0831Sylhet"/>
        <s v="E0329Rashed AkterFemaleSalesSenior Account ExecutiveFull-timeRemote42543133989E0777Sylhet"/>
        <s v="E0330Mitu RasheedFemaleProductAssociate Product ManagerFull-timeChattogram44156223179E0927Sylhet"/>
        <s v="E0331Shawon AminFemaleSalesAccount ExecutiveFull-timeRemote42446111484E0783Sylhet"/>
        <s v="E0332Ovi RahmanMaleFinanceSenior Financial AnalystFull-timeKhulna44253105193E0845Sylhet"/>
        <s v="E0333Tania ShahFemaleEngineeringSoftware EngineerFull-timeSylhet42688220613E0152Sylhet"/>
        <s v="E0334Lamia HaiderMaleEngineeringEngineering ManagerContractRemote45901214751E0533Sylhet"/>
        <s v="E0335Arif AnjumFemaleEngineeringEngineering ManagerFull-timeRemote43652166907E0334Sylhet"/>
        <s v="E0336Farhan SultanaFemaleEngineeringQA EngineerFull-timeChattogram44728146147E0656Sylhet"/>
        <s v="E0337Zahid HaiderMaleOperationsOperations AssociateFull-timeRajshahi4412875475E0749Sylhet"/>
        <s v="E0338Noman AlamFemaleFinanceSenior Financial AnalystFull-timeKhulna44718202663Sylhet"/>
        <s v="E0339Shawon AlamMaleMarketingMarketing AssociateFull-timeKhulna4402659142E0668Sylhet"/>
        <s v="E0340Imran RanaMaleEngineeringJunior Software EngineerFull-timeRemote4527679373Sylhet"/>
        <s v="E0341Tania AlamFemaleMarketingContent SpecialistFull-timeDhaka4499270398Sylhet"/>
        <s v="E0342Nafiz ParvinMaleMarketingContent SpecialistFull-timeKhulna4408080395E0990Sylhet"/>
        <s v="E0343Mitu AkterMaleEngineeringDevOps EngineerFull-timeRemote43555177426E0081Sylhet"/>
        <s v="E0344Sadia RasheedMaleSalesSenior Account ExecutiveFull-timeRajshahi42841110823Sylhet"/>
        <s v="E0345Shawon SarkerMaleSalesSenior Account ExecutiveFull-timeRajshahi44029220957E0075Sylhet"/>
        <s v="E0346Shawon RasheedFemaleHRRecruiterFull-timeChattogram42455106259E0772Sylhet"/>
        <s v="E0347Sajid SadiqFemaleHRRecruiterFull-timeRemote43700126480E0396Sylhet"/>
        <s v="E0348Fahim AminMaleEngineeringSoftware EngineerFull-timeRemote43073181290E0543Sylhet"/>
        <s v="E0349Shawon RasheedFemaleSalesSales ManagerFull-timeSylhet45652235921E0642Sylhet"/>
        <s v="E0350Nabila ChowdhuryMaleHRHR AssociateFull-timeChattogram4490157356Sylhet"/>
        <s v="E0351Shawon TalukderNon-binaryMarketingMarketing ManagerFull-timeSylhet44254132366E0159Sylhet"/>
        <s v="E0352Ayesha RasheedMaleOperationsSupply Chain AnalystFull-timeDhaka4577799779E0448Sylhet"/>
        <s v="E0353Ayesha FerdousFemaleHRRecruiterFull-timeChattogram45194107395Sylhet"/>
        <s v="E0354Karim AhmedMaleEngineeringQA EngineerFull-timeChattogram43852168443E0991Sylhet"/>
        <s v="E0355Farhan KhanNon-binaryEngineeringSenior Software EngineerFull-timeRajshahi42730284119E0251Sylhet"/>
        <s v="E0356Mahin KhanMaleHRHR ManagerFull-timeDhaka4415889306E0849Sylhet"/>
        <s v="E0357Ovi AkterFemaleEngineeringEngineering ManagerFull-timeRemote45829150615E0543Sylhet"/>
        <s v="E0358Arif SarkerMaleMarketingContent SpecialistFull-timeChattogram42803104105E0656Sylhet"/>
        <s v="E0359Shawon MiahMaleCustomer SuccessSupport AssociateFull-timeDhaka4336644753E0037Sylhet"/>
        <s v="E0360Imran HasanMaleMarketingGrowth MarketerFull-timeKhulna44154108200E0686Sylhet"/>
        <s v="E0361Rahim AhmedFemaleSalesSales ManagerFull-timeRemote44782173554Sylhet"/>
        <s v="E0362Priya HossainMaleHRHR AssociateFull-timeRemote4401075264E0243Sylhet"/>
        <s v="E0363Rahim SultanaFemaleSalesSenior Account ExecutiveFull-timeChattogram44516147296E0356Sylhet"/>
        <s v="E0364Ovi MorshedMaleMarketingGrowth MarketerFull-timeDhaka4269290486E0404Sylhet"/>
        <s v="E0365Esha HasanMaleCustomer SuccessCustomer Success ManagerFull-timeRajshahi43991126897E0543Sylhet"/>
        <s v="E0366Priya HaiderFemaleSalesSales AssociateFull-timeRemote4364089410Sylhet"/>
        <s v="E0367Tania SharminMaleCustomer SuccessCustomer Success ManagerInternKhulna45424100267E0989Sylhet"/>
        <s v="E0368Tania HossainFemaleCustomer SuccessCustomer Success ManagerContractRemote43760157989Sylhet"/>
        <s v="E0369Noman SultanaMaleEngineeringJunior Software EngineerFull-timeRemote43277153782E0881Sylhet"/>
        <s v="E0370Shafiq MahmudFemaleEngineeringSoftware EngineerContractRemote43734140850E0630Sylhet"/>
        <s v="E0371Ovi SadiqMaleEngineeringEngineering ManagerFull-timeSylhet45561166149E0871Sylhet"/>
        <s v="E0372Tamanna HaiderFemaleEngineeringJunior Software EngineerFull-timeRemote43058114574E0648Sylhet"/>
        <s v="E0373Sajid RanaFemaleEngineeringDevOps EngineerFull-timeSylhet42682214819E0465Sylhet"/>
        <s v="E0374Sumaiya MorshedFemaleFinanceFinancial AnalystFull-timeDhaka44460126300E0618Sylhet"/>
        <s v="E0375Tania SharminMaleEngineeringSoftware EngineerInternChattogram44963145347Sylhet"/>
        <s v="E0376Sumaiya AlamMaleProductSenior Product ManagerFull-timeDhaka42837292121E0528Sylhet"/>
        <s v="E0377Tasnim AkterFemaleOperationsSupply Chain AnalystFull-timeDhaka44543137578E0063Sylhet"/>
        <s v="E0378Ovi ShahMaleEngineeringSenior Software EngineerInternRemote44458138211E0335Sylhet"/>
        <s v="E0379Karim HaiderMaleOperationsSupply Chain AnalystFull-timeKhulna4316486949E0861Sylhet"/>
        <s v="E0380Rafi ShahFemaleProductProduct ManagerContractRemote45549212485E0231Sylhet"/>
        <s v="E0381Imran SadiqFemaleEngineeringJunior Software EngineerContractRajshahi43801106629E0870Sylhet"/>
        <s v="E0382Farhan SharminMaleFinanceFinancial AnalystFull-timeChattogram43808154672E0229Sylhet"/>
        <s v="E0383Tamanna RasheedMaleHRHR ManagerFull-timeRemote4534997415E0371Sylhet"/>
        <s v="E0384Sadia SadiqMaleOperationsOperations AssociateFull-timeKhulna4572474721E0828Sylhet"/>
        <s v="E0385Shawon AlamMaleFinanceSenior Financial AnalystFull-timeRemote45013117580E0334Sylhet"/>
        <s v="E0386Sumaiya SadiqMaleOperationsOperations AssociateFull-timeKhulna45708126200E0467Sylhet"/>
        <s v="E0387Karim AlamMaleProductProduct ManagerFull-timeChattogram42974199943E0968Sylhet"/>
        <s v="E0388Sadia RahmanMaleEngineeringJunior Software EngineerFull-timeRajshahi43337173688E0024Sylhet"/>
        <s v="E0389Mitu MahmudFemaleFinanceFinance ManagerFull-timeChattogram42791114847E0237Sylhet"/>
        <s v="E0390Shawon RahmanFemaleOperationsSupply Chain AnalystFull-timeChattogram4296993598Sylhet"/>
        <s v="E0391Imran FerdousFemaleCustomer SuccessSupport AssociateFull-timeKhulna43418115895E0198Sylhet"/>
        <s v="E0392Imran ChowdhuryFemaleSalesSales AssociateFull-timeDhaka4317878604E0210Sylhet"/>
        <s v="E0393Rafi HossainMaleSalesSales AssociateFull-timeKhulna43080131840E0416Sylhet"/>
        <s v="E0394Jannat ShahMaleOperationsSupply Chain AnalystFull-timeRemote44837135229E0538Sylhet"/>
        <s v="E0395Fahim SultanaMaleSalesAccount ExecutiveFull-timeRemote42996181022E0745Sylhet"/>
        <s v="E0396Mitu ChowdhuryMaleCustomer SuccessCustomer Success ManagerFull-timeSylhet4548399838E0226Sylhet"/>
        <s v="E0397Nafiz BanuMaleOperationsSupply Chain AnalystFull-timeRemote45479143446E0396Sylhet"/>
        <s v="E0398Tania IslamFemaleSalesSales AssociateFull-timeRemote4505479711E0874Sylhet"/>
        <s v="E0399Lamia SadiqFemaleFinanceSenior Financial AnalystContractDhaka42678209505E0580Sylhet"/>
        <s v="E0400Farhan HasanMaleFinanceSenior Financial AnalystFull-timeRajshahi43095127752E0479Sylhet"/>
        <s v="E0401Priya HaiderMaleEngineeringJunior Software EngineerFull-timeRemote45535175759E0197Sylhet"/>
        <s v="E0402Tania ShahMaleCustomer SuccessSupport AssociateFull-timeRemote4494282536E0241Sylhet"/>
        <s v="E0403Rafi SharminMaleMarketingMarketing AssociateContractChattogram4439397997E0783Sylhet"/>
        <s v="E0404Imran KhanFemaleOperationsOperations ManagerFull-timeRajshahi44270148933E0979Sylhet"/>
        <s v="E0405Rahim HossainFemaleSalesSenior Account ExecutiveFull-timeRemote45460161212E0777Sylhet"/>
        <s v="E0406Karim ParvinMaleOperationsSupply Chain AnalystFull-timeDhaka44679133746E0777Sylhet"/>
        <s v="E0407Shawon AlamMaleSalesSales ManagerFull-timeKhulna45482154689E0239Sylhet"/>
        <s v="E0408Sadia AkterMaleEngineeringDevOps EngineerFull-timeChattogram44743115869E0184Sylhet"/>
        <s v="E0409Ayesha MorshedFemaleCustomer SuccessSupport SpecialistContractRemote4420866765E0890Sylhet"/>
        <s v="E0410Jannat IslamMaleEngineeringDevOps EngineerFull-timeChattogram45159223811E0144Sylhet"/>
        <s v="E0411Nafiz HaiderFemaleProductProduct AnalystFull-timeRemote44682232842E0109Sylhet"/>
        <s v="E0412Ayesha ShahFemaleCustomer SuccessSupport AssociateFull-timeDhaka4500346051E0716Sylhet"/>
        <s v="E0413Rahim RasheedFemaleCustomer SuccessSupport AssociateFull-timeKhulna4497267599E0513Sylhet"/>
        <s v="E0414Mitu AlamMaleMarketingMarketing AssociateFull-timeRajshahi4492860095E0812Sylhet"/>
        <s v="E0415Shafiq SharminMaleHRRecruiterFull-timeRemote4369374293E0045Sylhet"/>
        <s v="E0416Shawon MorshedMaleSalesSales ManagerFull-timeSylhet44939127508E0368Sylhet"/>
        <s v="E0417Mitu ParvinMaleProductProduct AnalystFull-timeChattogram43664151332E0513Sylhet"/>
        <s v="E0418Ayesha AminMaleSalesSales AssociateFull-timeChattogram4298878808E0954Sylhet"/>
        <s v="E0419Nabila SadiqFemaleFinanceFinancial AnalystFull-timeDhaka44171169481E0927Sylhet"/>
        <s v="E0420Jannat BanuMaleFinanceFinance ManagerFull-timeChattogram42649222667E0166Sylhet"/>
        <s v="E0421Farhan MahmudMaleOperationsOperations AssociateContractDhaka44290126014E0980Sylhet"/>
        <s v="E0422Noman JahanFemaleOperationsSupply Chain AnalystFull-timeDhaka44181146117E0389Sylhet"/>
        <s v="E0423Sadia RanaMaleEngineeringJunior Software EngineerFull-timeSylhet44956174527E0618Sylhet"/>
        <s v="E0424Rashed HossainFemaleMarketingMarketing AssociateFull-timeKhulna43610101593E0545Sylhet"/>
        <s v="E0425Lamia SarkerMaleEngineeringEngineering ManagerFull-timeRemote45631203703E0488Sylhet"/>
        <s v="E0426Ayesha MahmudMaleMarketingMarketing ManagerFull-timeRemote43495100685E0025Sylhet"/>
        <s v="E0427Nabila FerdousFemaleSalesSales AssociateFull-timeSylhet4479264049E0387Sylhet"/>
        <s v="E0428Sadia BanuMaleOperationsOperations ManagerFull-timeSylhet42600145409E0839Sylhet"/>
        <s v="E0429Tania ParvinFemaleSalesSenior Account ExecutiveFull-timeRajshahi43811264785E0109Sylhet"/>
        <s v="E0430Lamia ShahFemaleEngineeringDevOps EngineerFull-timeDhaka44448158586E0467Sylhet"/>
        <s v="E0431Arif BiswasMaleEngineeringSenior Software EngineerFull-timeSylhet42673114635E0012Sylhet"/>
        <s v="E0432Ovi MiahMaleFinanceFinancial AnalystFull-timeRemote43641109027Sylhet"/>
        <s v="E0433Mitu RahmanMaleHRRecruiterFull-timeRajshahi4426178164E0624Sylhet"/>
        <s v="E0434Nafiz HaiderFemaleEngineeringQA EngineerFull-timeKhulna44221120831E0361Sylhet"/>
        <s v="E0435Karim UddinMaleEngineeringJunior Software EngineerFull-timeDhaka42524120923E0237Sylhet"/>
        <s v="E0436Lamia AnjumMaleFinanceAccounts ExecutiveFull-timeDhaka42603152132E0239Sylhet"/>
        <s v="E0437Shawon HossainMaleEngineeringSoftware EngineerContractRemote43880229625E0472Sylhet"/>
        <s v="E0438Esha AkterFemaleOperationsSupply Chain AnalystContractChattogram45776117618E0335Sylhet"/>
        <s v="E0439Sadia SadiqMaleFinanceAccounts ExecutiveContractChattogram43545169222E0518Sylhet"/>
        <s v="E0440Tasnim HaiderFemaleEngineeringQA EngineerFull-timeRemote42684179843E0425Sylhet"/>
        <s v="E0441Fahim ChowdhuryFemaleEngineeringEngineering ManagerFull-timeDhaka45010158222E0368Sylhet"/>
        <s v="E0442Lamia RahmanNon-binaryCustomer SuccessSupport AssociateFull-timeChattogram4587364675E0396Sylhet"/>
        <s v="E0443Mitu RasheedFemaleSalesSenior Account ExecutiveInternSylhet4273982815E0166Sylhet"/>
        <s v="E0444Fahim MiahFemaleSalesAccount ExecutiveContractKhulna44889174886E0618Sylhet"/>
        <s v="E0445Nabila MahmudFemaleOperationsOperations ManagerFull-timeRajshahi44803194618E0871Sylhet"/>
        <s v="E0446Tamanna KhanFemaleCustomer SuccessSupport AssociateFull-timeRemote4444674103Sylhet"/>
        <s v="E0447Nafiz SharminFemaleCustomer SuccessSupport SpecialistFull-timeDhaka43944121829E0221Sylhet"/>
        <s v="E0448Arif BanuMaleFinanceFinance ManagerFull-timeRajshahi44265255433E0913Sylhet"/>
        <s v="E0449Karim MorshedFemaleSalesSales ManagerFull-timeRajshahi44747193112E0141Sylhet"/>
        <s v="E0450Nafiz AkterMaleEngineeringQA EngineerFull-timeSylhet44640140602E0780Sylhet"/>
        <s v="E0451Shawon HasanFemaleOperationsSupply Chain AnalystFull-timeDhaka4561382842E0865Sylhet"/>
        <s v="E0452Shafiq RahmanFemaleMarketingGrowth MarketerFull-timeRemote4539683584Sylhet"/>
        <s v="E0453Fahim AhmedMaleSalesSales ManagerContractDhaka42538263179E0123Sylhet"/>
        <s v="E0454Shawon ParvinMaleCustomer SuccessSupport SpecialistFull-timeRemote4421295636E0907Sylhet"/>
        <s v="E0455Nadia BanuMaleEngineeringJunior Software EngineerFull-timeDhaka4568770124E0554Sylhet"/>
        <s v="E0456Mitu HossainFemaleMarketingMarketing ManagerFull-timeDhaka44711227832E0852Sylhet"/>
        <s v="E0457Rashed TalukderFemaleEngineeringQA EngineerContractChattogram45039197505E0229Sylhet"/>
        <s v="E0458Nafiz MiahMaleSalesSenior Account ExecutiveFull-timeChattogram43141105291E0602Sylhet"/>
        <s v="E0459Jannat TalukderFemaleEngineeringJunior Software EngineerInternKhulna43686135917Sylhet"/>
        <s v="E0460Esha RanaMaleEngineeringQA EngineerFull-timeKhulna44848166740Sylhet"/>
        <s v="E0461Rafi AhmedMaleEngineeringSoftware EngineerFull-timeKhulna44318182833E0197Sylhet"/>
        <s v="E0462Rahim BiswasMaleHRHR Business PartnerFull-timeChattogram4442363724E0479Sylhet"/>
        <s v="E0463Rahim BiswasMaleFinanceAccounts ExecutiveFull-timeChattogram42987173386E0089Sylhet"/>
        <s v="E0464Rashed JahanMaleMarketingGrowth MarketerFull-timeChattogram42623143282E0330Sylhet"/>
        <s v="E0465Rahim MahmudMaleCustomer SuccessCustomer Success ManagerContractDhaka44215173256E0361Sylhet"/>
        <s v="E0466Tania HasanMaleSalesSales AssociateContractRajshahi4279369789E0991Sylhet"/>
        <s v="E0467Rashed HaiderMaleProductSenior Product ManagerFull-timeRemote45691255591E0349Sylhet"/>
        <s v="E0468Ovi AminFemaleOperationsSupply Chain AnalystFull-timeDhaka4579998291Sylhet"/>
        <s v="E0469Rafi RasheedFemaleProductSenior Product ManagerFull-timeSylhet43776276368E0936Sylhet"/>
        <s v="E0470Noman AnjumMaleCustomer SuccessCustomer Success ManagerFull-timeSylhet45295158145E0649Sylhet"/>
        <s v="E0471Lamia IslamMaleEngineeringSenior Software EngineerFull-timeChattogram42715150348E0618Sylhet"/>
        <s v="E0472Shawon ParvinMaleCustomer SuccessCustomer Success ManagerFull-timeRajshahi44436120126E0560Sylhet"/>
        <s v="E0473Nadia ShahMaleEngineeringDevOps EngineerContractRajshahi45016184741E0839Sylhet"/>
        <s v="E0474Karim RahmanMaleOperationsSupply Chain AnalystFull-timeChattogram4307670447E0323Sylhet"/>
        <s v="E0475Shawon IslamMaleMarketingContent SpecialistFull-timeDhaka4253097284E0500Sylhet"/>
        <s v="E0476Jannat HaiderFemaleCustomer SuccessSupport SpecialistFull-timeChattogram43384106133E0453Sylhet"/>
        <s v="E0477Ayesha BanuFemaleEngineeringDevOps EngineerFull-timeChattogram45268174752E0376Sylhet"/>
        <s v="E0478Zahid ShahFemaleMarketingSEO SpecialistFull-timeDhaka44163119233E0469Sylhet"/>
        <s v="E0479Priya RahmanFemaleCustomer SuccessCustomer Success ManagerContractRemote4416972655E0141Sylhet"/>
        <s v="E0480Nadia SharminFemaleMarketingContent SpecialistFull-timeChattogram44516105709E0670Sylhet"/>
        <s v="E0481Nafiz IslamMaleHRHR ManagerContractSylhet44511180674E0334Sylhet"/>
        <s v="E0482Ayesha ChowdhuryMaleFinanceAccounts ExecutiveFull-timeSylhet44867149123E0649Sylhet"/>
        <s v="E0483Nafiz RahmanMaleSalesAccount ExecutiveContractRajshahi4302093524E0907Sylhet"/>
        <s v="E0484Tamanna MiahFemaleHRHR AssociateInternDhaka4386086132E0075Sylhet"/>
        <s v="E0485Esha RanaFemaleMarketingContent SpecialistFull-timeRajshahi4389776505E0210Sylhet"/>
        <s v="E0486Tania AkterFemaleCustomer SuccessSupport SpecialistInternChattogram43528122625E0686Sylhet"/>
        <s v="E0487Priya ChowdhuryMaleEngineeringSoftware EngineerFull-timeRemote4395693652E0241Sylhet"/>
        <s v="E0488Esha ParvinFemaleProductProduct ManagerFull-timeSylhet44044170512E0389Sylhet"/>
        <s v="E0489Karim FerdousMaleCustomer SuccessSupport SpecialistFull-timeSylhet4554266957E0449Sylhet"/>
        <s v="E0490Esha KhanFemaleOperationsSupply Chain AnalystFull-timeChattogram4375571348E0997Sylhet"/>
        <s v="E0491Tania BanuMaleSalesSales AssociateContractSylhet45150123353E0635Sylhet"/>
        <s v="E0492Priya RanaMaleHRRecruiterFull-timeChattogram4481882823E0456Sylhet"/>
        <s v="E0493Priya SarkerMaleProductProduct AnalystFull-timeChattogram42584244869E0167Sylhet"/>
        <s v="E0494Karim RanaMaleEngineeringJunior Software EngineerFull-timeDhaka45602143367E0121Sylhet"/>
        <s v="E0495Fahim KabirMaleSalesSenior Account ExecutiveFull-timeKhulna44954202730E0688Sylhet"/>
        <s v="E0496Shawon RanaFemaleSalesSenior Account ExecutiveFull-timeKhulna45021164041E0782Sylhet"/>
        <s v="E0497Esha JahanMaleMarketingGrowth MarketerFull-timeDhaka4374092112E0075Sylhet"/>
        <s v="E0498Ovi MahmudMaleEngineeringSenior Software EngineerFull-timeSylhet42639122792E0389Sylhet"/>
        <s v="E0499Shawon KhanMaleCustomer SuccessSupport SpecialistFull-timeRajshahi4372063704E0061Sylhet"/>
        <s v="E0500Ovi ParvinMaleCustomer SuccessCustomer Success ManagerFull-timeRemote42757134281E0479Sylhet"/>
        <s v="E0501Lamia IslamFemaleFinanceFinancial AnalystInternRajshahi4465578758E0023Sylhet"/>
        <s v="E0502Shawon FerdousMaleMarketingContent SpecialistFull-timeRajshahi45148116802E0545Sylhet"/>
        <s v="E0503Rashed HasanMaleProductProduct AnalystContractRemote43953119337E0080Sylhet"/>
        <s v="E0504Sadia RahmanFemaleOperationsOperations AssociateContractKhulna43533104488E0657Sylhet"/>
        <s v="E0505Sajid ChowdhuryMaleFinanceFinancial AnalystFull-timeSylhet43402131168E0686Sylhet"/>
        <s v="E0506Shawon HossainFemaleEngineeringSoftware EngineerFull-timeRajshahi45334154602E0383Sylhet"/>
        <s v="E0507Tania AlamMaleCustomer SuccessSupport SpecialistFull-timeRemote45858126712E0226Sylhet"/>
        <s v="E0508Shafiq SadiqMaleOperationsSupply Chain AnalystFull-timeSylhet4505981788E0449Sylhet"/>
        <s v="E0509Farhan ChowdhuryMaleCustomer SuccessSupport SpecialistFull-timeRemote4483891568E0122Sylhet"/>
        <s v="E0510Nabila UddinMaleFinanceSenior Financial AnalystFull-timeSylhet42985165555E0158Sylhet"/>
        <s v="E0511Lamia ChowdhuryMaleHRHR ManagerContractDhaka43735112094Sylhet"/>
        <s v="E0512Rafi SarkerMaleSalesSenior Account ExecutiveFull-timeRemote42703166948E0913Sylhet"/>
        <s v="E0513Zahid ParvinFemaleCustomer SuccessCustomer Success ManagerFull-timeKhulna4475665373E0927Sylhet"/>
        <s v="E0514Rahim IslamMaleOperationsOperations AssociateFull-timeRajshahi4508858569E0927Sylhet"/>
        <s v="E0515Tania RanaFemaleEngineeringJunior Software EngineerFull-timeRemote42949157572E0242Sylhet"/>
        <s v="E0516Noman HaiderFemaleEngineeringJunior Software EngineerFull-timeKhulna43802136343E0123Sylhet"/>
        <s v="E0517Priya MahmudMaleSalesSenior Account ExecutiveContractKhulna43640151280E0742Sylhet"/>
        <s v="E0518Sadia ChowdhuryMaleOperationsOperations ManagerFull-timeRajshahi45057135072E0640Sylhet"/>
        <s v="E0519Ayesha MorshedMaleCustomer SuccessSupport AssociateFull-timeDhaka4523094916E0665Sylhet"/>
        <s v="E0520Jannat HossainMaleEngineeringEngineering ManagerFull-timeKhulna45082161279E0954Sylhet"/>
        <s v="E0521Ayesha AhmedPrefer not to sayHRHR AssociateFull-timeChattogram43975117086E0545Sylhet"/>
        <s v="E0522Sumaiya ShahMaleSalesSales ManagerContractRemote42898114723E0559Sylhet"/>
        <s v="E0523Karim SharminFemaleCustomer SuccessSupport AssociateInternRemote4480793005E0349Sylhet"/>
        <s v="E0524Nafiz ParvinFemaleOperationsOperations AssociateFull-timeKhulna4527355063E0210Sylhet"/>
        <s v="E0525Tamanna MiahFemaleOperationsSupply Chain AnalystFull-timeDhaka4271760800E0449Sylhet"/>
        <s v="E0526Farhan SharminFemaleSalesSales AssociateFull-timeSylhet43638127247E0416Sylhet"/>
        <s v="E0527Rashed RanaFemaleSalesSales AssociateFull-timeRemote44659135545E0273Sylhet"/>
        <s v="E0528Sadia BanuMaleProductAssociate Product ManagerFull-timeSylhet43912322943Sylhet"/>
        <s v="E0529Nabila IslamMaleEngineeringDevOps EngineerFull-timeRemote45005168822E0801Sylhet"/>
        <s v="E0530Fahim IslamMaleOperationsSupply Chain AnalystFull-timeRajshahi45612162991E0349Sylhet"/>
        <s v="E0531Nafiz AlamMaleOperationsOperations AssociateContractRemote4371555182E0554Sylhet"/>
        <s v="E0532Mahin AkterFemaleCustomer SuccessSupport SpecialistFull-timeChattogram45700101249Sylhet"/>
        <s v="E0533Farhan SarkerFemaleCustomer SuccessCustomer Success ManagerFull-timeRemote42893139243E0801Sylhet"/>
        <s v="E0534Sumaiya SultanaMaleMarketingContent SpecialistFull-timeRemote45114158489E0012Sylhet"/>
        <s v="E0535Nabila RahmanFemaleFinanceFinancial AnalystFull-timeDhaka4524880148E0855Sylhet"/>
        <s v="E0536Priya ChowdhuryFemaleCustomer SuccessSupport AssociateContractSylhet45765119007E0214Sylhet"/>
        <s v="E0537Nabila BanuMaleOperationsOperations AssociateContractSylhet45396131744E0574Sylhet"/>
        <s v="E0538Priya HossainFemaleProductProduct ManagerFull-timeChattogram45177321281E0416Sylhet"/>
        <s v="E0539Nafiz FerdousFemaleSalesSales AssociateFull-timeChattogram44526113727E0445Sylhet"/>
        <s v="E0540Rashed MiahMaleEngineeringSenior Software EngineerFull-timeSylhet42752280400E0152Sylhet"/>
        <s v="E0541Arif KabirFemaleCustomer SuccessSupport SpecialistContractRemote45016102186E0682Sylhet"/>
        <s v="E0542Ayesha TalukderFemaleHRHR AssociateFull-timeKhulna4511688171E0371Sylhet"/>
        <s v="E0543Nadia HasanMaleProductAssociate Product ManagerFull-timeRajshahi44104271579E0075Sylhet"/>
        <s v="E0544Tania AminMaleFinanceAccounts ExecutiveFull-timeRajshahi44452167921E0224Sylhet"/>
        <s v="E0545Tania SultanaMaleHRHR ManagerFull-timeSylhet43852132186E0861Sylhet"/>
        <s v="E0546Arif AnjumFemaleSalesAccount ExecutiveFull-timeSylhet42444135670E0865Sylhet"/>
        <s v="E0547Sadia TalukderFemaleEngineeringDevOps EngineerFull-timeDhaka43855144190E0242Sylhet"/>
        <s v="E0548Mahin SarkerMaleFinanceFinancial AnalystFull-timeRajshahi43635198074E0782Sylhet"/>
        <s v="E0549Rafi SadiqFemaleMarketingMarketing AssociateFull-timeKhulna43108140744E0241Sylhet"/>
        <s v="E0550Nafiz RasheedMaleOperationsSupply Chain AnalystFull-timeRemote43247141122E0909Sylhet"/>
        <s v="E0551Fahim AlamFemaleMarketingMarketing ManagerFull-timeRemote43769157660Sylhet"/>
        <s v="E0552Rahim HasanFemaleOperationsSupply Chain AnalystFull-timeRajshahi4550854791E0104Sylhet"/>
        <s v="E0553Tania RanaMaleMarketingSEO SpecialistFull-timeDhaka44361144565E0657Sylhet"/>
        <s v="E0554Shafiq RasheedFemaleMarketingMarketing ManagerFull-timeChattogram43156118399E0749Sylhet"/>
        <s v="E0555Noman ShahFemaleOperationsOperations AssociateFull-timeRajshahi4329796262E0172Sylhet"/>
        <s v="E0556Jannat BanuFemaleSalesSales AssociateFull-timeSylhet42933120796E0142Sylhet"/>
        <s v="E0557Sumaiya ChowdhuryMaleEngineeringSenior Software EngineerInternSylhet43004239730Sylhet"/>
        <s v="E0558Ovi ShahNon-binaryEngineeringSoftware EngineerFull-timeSylhet42686185256E0167Sylhet"/>
        <s v="E0559Rahim RahmanFemaleFinanceFinance ManagerFull-timeSylhet43581253912E0249Sylhet"/>
        <s v="E0560Nafiz UddinMaleHRHR ManagerFull-timeRajshahi45828210488E0762Sylhet"/>
        <s v="E0561Tasnim HasanMaleFinanceFinancial AnalystFull-timeDhaka45598155423E0012Sylhet"/>
        <s v="E0562Farhan AlamMaleEngineeringSoftware EngineerContractChattogram42784100233E0142Sylhet"/>
        <s v="E0563Shawon SultanaMaleEngineeringDevOps EngineerFull-timeDhaka44449211477Sylhet"/>
        <s v="E0564Rashed MorshedMaleEngineeringSoftware EngineerFull-timeRajshahi45527224909E0425Sylhet"/>
        <s v="E0565Sadia AkterFemaleSalesSales ManagerFull-timeKhulna44580238998E0861Sylhet"/>
        <s v="E0566Rahim KhanFemaleMarketingContent SpecialistFull-timeDhaka45790150971E0368Sylhet"/>
        <s v="E0567Shawon RahmanMaleSalesSenior Account ExecutiveFull-timeRemote45395211829E0852Sylhet"/>
        <s v="E0568Zahid TalukderFemaleSalesSales AssociateFull-timeChattogram44526145287Sylhet"/>
        <s v="E0569Sumaiya ChowdhuryFemaleCustomer SuccessSupport SpecialistFull-timeChattogram4252458483Sylhet"/>
        <s v="E0570Rashed AhmedFemaleSalesAccount ExecutiveFull-timeKhulna45081101081E0141Sylhet"/>
        <s v="E0571Jannat AminFemaleMarketingGrowth MarketerFull-timeRemote4374989872Sylhet"/>
        <s v="E0572Tania HossainMaleOperationsOperations AssociateFull-timeRemote4550862383E0063Sylhet"/>
        <s v="E0573Tamanna SarkerFemaleSalesSenior Account ExecutiveFull-timeDhaka44901139985E0166Sylhet"/>
        <s v="E0574Shawon AkterFemaleHRHR ManagerInternKhulna42906102751E0897Sylhet"/>
        <s v="E0575Sajid ParvinMaleOperationsOperations AssociateFull-timeChattogram4481659718E0376Sylhet"/>
        <s v="E0576Shawon KabirFemaleCustomer SuccessSupport AssociateFull-timeChattogram4391356617E0111Sylhet"/>
        <s v="E0577Fahim JahanMaleEngineeringJunior Software EngineerContractSylhet4300178598E0756Sylhet"/>
        <s v="E0578Ovi MorshedMaleCustomer SuccessSupport SpecialistFull-timeKhulna43034101482E0828Sylhet"/>
        <s v="E0579Shawon SarkerMaleMarketingGrowth MarketerContractDhaka4311075797E0226Sylhet"/>
        <s v="E0580Sadia KhanFemaleProductAssociate Product ManagerFull-timeRemote45775243494E0025Sylhet"/>
        <s v="E0581Shawon SarkerMaleSalesSales AssociateFull-timeDhaka4520786634E0777Sylhet"/>
        <s v="E0582Tania SarkerFemaleCustomer SuccessSupport SpecialistFull-timeRemote4552872541E0543Sylhet"/>
        <s v="E0583Shawon KabirFemaleMarketingGrowth MarketerFull-timeSylhet44928156742E0190Sylhet"/>
        <s v="E0584Noman HasanMaleSalesAccount ExecutiveFull-timeKhulna45683155431E0719Sylhet"/>
        <s v="E0585Mitu MorshedFemaleHRHR ManagerFull-timeChattogram43048205608E0997Sylhet"/>
        <s v="E0586Nadia HossainMaleProductProduct AnalystFull-timeSylhet45323157460E0665Sylhet"/>
        <s v="E0587Jannat ParvinMaleEngineeringQA EngineerFull-timeRajshahi44162144619E0782Sylhet"/>
        <s v="E0588Jannat RahmanFemaleEngineeringSoftware EngineerFull-timeChattogram42548182892E0543Sylhet"/>
        <s v="E0589Tamanna KabirMaleEngineeringSoftware EngineerFull-timeChattogram44052171884E0488Sylhet"/>
        <s v="E0590Shafiq HasanMaleEngineeringQA EngineerFull-timeKhulna4386285557E0181Sylhet"/>
        <s v="E0591Zahid SultanaFemaleEngineeringQA EngineerContractKhulna45140125670E0053Sylhet"/>
        <s v="E0592Rafi ChowdhuryMaleHRHR ManagerFull-timeKhulna45317159972E0197Sylhet"/>
        <s v="E0593Mitu UddinMaleEngineeringJunior Software EngineerFull-timeRemote43342141698E0221Sylhet"/>
        <s v="E0594Shafiq AkterFemaleSalesSales AssociateFull-timeKhulna44189149831E0323Sylhet"/>
        <s v="E0595Shawon HasanMaleOperationsOperations ManagerFull-timeRajshahi44870186586Sylhet"/>
        <s v="E0596Nafiz UddinFemaleMarketingGrowth MarketerContractDhaka4353769151E0630Sylhet"/>
        <s v="E0597Imran HasanFemaleHRHR AssociateContractChattogram45451104195E0852Sylhet"/>
        <s v="E0598Shawon IslamMaleEngineeringJunior Software EngineerFull-timeRajshahi45436157968E0045Sylhet"/>
        <s v="E0599Rahim SharminMaleEngineeringJunior Software EngineerFull-timeDhaka45580198433E0736Sylhet"/>
        <s v="E0600Sajid RahmanFemaleEngineeringDevOps EngineerFull-timeRemote44208163236E0640Sylhet"/>
        <s v="E0601Imran IslamMaleEngineeringJunior Software EngineerContractRemote43328148806E0828Sylhet"/>
        <s v="E0602Tania AnjumFemaleProductAssociate Product ManagerContractDhaka44557175181Sylhet"/>
        <s v="E0603Rafi AkterMaleEngineeringSoftware EngineerFull-timeChattogram43349153747E0085Sylhet"/>
        <s v="E0604Farhan ChowdhuryFemaleEngineeringSoftware EngineerFull-timeKhulna43637170491E0334Sylhet"/>
        <s v="E0605Sadia BiswasFemaleEngineeringJunior Software EngineerContractRemote45682177297E0801Sylhet"/>
        <s v="E0606Nadia MorshedFemaleSalesAccount ExecutiveFull-timeChattogram4558264256E0055Sylhet"/>
        <s v="E0607Tasnim SultanaMaleEngineeringJunior Software EngineerInternSylhet44291171159E0144Sylhet"/>
        <s v="E0608Sumaiya RanaFemaleSalesSenior Account ExecutiveFull-timeRemote45790202406E0852Sylhet"/>
        <s v="E0609Rashed HaiderMaleMarketingMarketing AssociateFull-timeKhulna43164153772E0500Sylhet"/>
        <s v="E0610Priya MorshedMaleFinanceFinancial AnalystFull-timeChattogram43876133813E0585Sylhet"/>
        <s v="E0611Sumaiya ParvinFemaleEngineeringDevOps EngineerFull-timeKhulna45148228212E0797Sylhet"/>
        <s v="E0612Lamia AnjumMaleOperationsSupply Chain AnalystFull-timeRajshahi44706154087E0963Sylhet"/>
        <s v="E0613Nadia HossainFemaleHRRecruiterFull-timeRajshahi4417499530E0179Sylhet"/>
        <s v="E0614Farhan AnjumMaleEngineeringSoftware EngineerFull-timeDhaka44261105296Sylhet"/>
        <s v="E0615Mahin BanuMaleOperationsOperations AssociateContractDhaka4552176276E0772Sylhet"/>
        <s v="E0616Noman HasanMaleCustomer SuccessSupport SpecialistFull-timeSylhet4352468846E0968Sylhet"/>
        <s v="E0617Sajid BanuFemaleEngineeringEngineering ManagerContractRajshahi45557124898Sylhet"/>
        <s v="E0618Esha AkterMaleProductProduct ManagerFull-timeChattogram43934316684E0592Sylhet"/>
        <s v="E0619Imran AhmedFemaleOperationsSupply Chain AnalystFull-timeRemote44429104626E0742Sylhet"/>
        <s v="E0620Shawon KabirMaleFinanceSenior Financial AnalystFull-timeRajshahi44530254832E0602Sylhet"/>
        <s v="E0621Shawon AnjumMaleEngineeringSenior Software EngineerInternSylhet44084235691E0351Sylhet"/>
        <s v="E0622Nadia SarkerMaleEngineeringJunior Software EngineerFull-timeDhaka43033107528E0470Sylhet"/>
        <s v="E0623Shawon KabirMaleSalesAccount ExecutiveFull-timeRemote45715125443E0881Sylhet"/>
        <s v="E0624Sajid SarkerMaleMarketingMarketing ManagerInternKhulna43187229318E0917Sylhet"/>
        <s v="E0625Tamanna ShahMaleHRHR AssociateFull-timeKhulna4565169161E0062Sylhet"/>
        <s v="E0626Sajid IslamFemaleSalesSenior Account ExecutiveFull-timeChattogram44846162546E0456Sylhet"/>
        <s v="E0627Zahid ParvinMaleSalesSales AssociateContractSylhet42936113537E0239Sylhet"/>
        <s v="E0628Tamanna AhmedMaleFinanceFinancial AnalystFull-timeDhaka43394162823E0465Sylhet"/>
        <s v="E0629Farhan RahmanMaleEngineeringJunior Software EngineerFull-timeRajshahi42583156024Sylhet"/>
        <s v="E0630Rahim BanuFemaleProductAssociate Product ManagerContractRemote44996143628E0376Sylhet"/>
        <s v="E0631Shawon SadiqNon-binaryFinanceSenior Financial AnalystFull-timeRemote44338250336E0955Sylhet"/>
        <s v="E0632Mahin RahmanMaleOperationsOperations AssociateFull-timeRajshahi43890126833Sylhet"/>
        <s v="E0633Farhan AminMaleMarketingGrowth MarketerFull-timeKhulna4464198625E0831Sylhet"/>
        <s v="E0634Mitu BanuMaleMarketingSEO SpecialistFull-timeChattogram42790181577E0314Sylhet"/>
        <s v="E0635Rashed RanaMaleEngineeringEngineering ManagerInternSylhet45283264639E0688Sylhet"/>
        <s v="E0636Nabila FerdousMaleSalesSales AssociateFull-timeDhaka4583449291E0871Sylhet"/>
        <s v="E0637Tania AkterMaleMarketingContent SpecialistFull-timeKhulna44483128115E0545Sylhet"/>
        <s v="E0638Jannat SarkerMaleProductProduct AnalystContractKhulna45856188148E0816Sylhet"/>
        <s v="E0639Karim TalukderMaleProductSenior Product ManagerFull-timeDhaka42880138471E0656Sylhet"/>
        <s v="E0640Sadia AhmedMaleSalesSales ManagerFull-timeRemote43537133251E0407Sylhet"/>
        <s v="E0641Nabila JahanNon-binaryEngineeringSenior Software EngineerFull-timeRajshahi42713229364E0104Sylhet"/>
        <s v="E0642Farhan HasanFemaleSalesSales ManagerFull-timeRajshahi45495135297Sylhet"/>
        <s v="E0643Shafiq UddinFemaleEngineeringSenior Software EngineerFull-timeDhaka43026215631E0049Sylhet"/>
        <s v="E0644Tasnim SarkerMaleSalesSenior Account ExecutiveFull-timeChattogram43487125647E0122Sylhet"/>
        <s v="E0645Nafiz HossainFemaleEngineeringJunior Software EngineerFull-timeKhulna44210129283E0025Sylhet"/>
        <s v="E0646Ayesha BanuMaleOperationsOperations ManagerFull-timeChattogram44472144222E0500Sylhet"/>
        <s v="E0647Ovi MiahFemaleHRHR AssociateFull-timeRemote4297398071E0025Sylhet"/>
        <s v="E0648Sumaiya SharminFemaleFinanceFinance ManagerFull-timeRajshahi45773198142E0893Sylhet"/>
        <s v="E0649Rafi AnjumMaleOperationsOperations ManagerFull-timeSylhet44161143186E0511Sylhet"/>
        <s v="E0650Sajid JahanMaleMarketingSEO SpecialistFull-timeSylhet42745107440E0745Sylhet"/>
        <s v="E0651Sajid AhmedMaleEngineeringJunior Software EngineerFull-timeSylhet43279139534E0051Sylhet"/>
        <s v="E0652Rafi AkterMaleMarketingContent SpecialistFull-timeChattogram45715140432E0648Sylhet"/>
        <s v="E0653Sadia IslamFemaleMarketingContent SpecialistFull-timeSylhet44217163230E0013Sylhet"/>
        <s v="E0654Noman SharminMaleFinanceFinancial AnalystFull-timeKhulna43801116495E0190Sylhet"/>
        <s v="E0655Mitu ChowdhuryFemaleSalesSales AssociateFull-timeKhulna42479129832E0990Sylhet"/>
        <s v="E0656Rashed AnjumMaleEngineeringEngineering ManagerFull-timeSylhet44069156323E0075Sylhet"/>
        <s v="E0657Arif HaiderMaleProductAssociate Product ManagerFull-timeDhaka42588284958E0672Sylhet"/>
        <s v="E0658Rafi SharminFemaleSalesAccount ExecutiveFull-timeRajshahi43993189635Sylhet"/>
        <s v="E0659Nafiz AhmedMaleHRRecruiterFull-timeRajshahi44426101750E0997Sylhet"/>
        <s v="E0660Noman HaiderMaleMarketingContent SpecialistFull-timeRemote43901129219E0874Sylhet"/>
        <s v="E0661Karim MahmudFemaleSalesSenior Account ExecutiveFull-timeSylhet43335223274E0755Sylhet"/>
        <s v="E0662Tamanna SharminMaleCustomer SuccessSupport SpecialistFull-timeRajshahi4395168587Sylhet"/>
        <s v="E0663Shawon AminPrefer not to sayHRHR ManagerFull-timeRajshahi42704140584E0551Sylhet"/>
        <s v="E0664Rahim MiahMaleProductAssociate Product ManagerFull-timeChattogram43905219962Sylhet"/>
        <s v="E0665Farhan SadiqFemaleEngineeringEngineering ManagerFull-timeDhaka43289115007Sylhet"/>
        <s v="E0666Imran SharminFemaleEngineeringDevOps EngineerFull-timeDhaka42485214063E0197Sylhet"/>
        <s v="E0667Priya TalukderFemaleProductProduct AnalystFull-timeRemote43675185866E0089Sylhet"/>
        <s v="E0668Sajid RanaMaleEngineeringEngineering ManagerFull-timeRajshahi42775152869E0214Sylhet"/>
        <s v="E0669Fahim RanaMaleEngineeringJunior Software EngineerFull-timeRemote4580798911E0172Sylhet"/>
        <s v="E0670Ovi HossainMaleProductSenior Product ManagerFull-timeChattogram45297220530E0688Sylhet"/>
        <s v="E0671Priya MorshedMaleEngineeringSoftware EngineerContractKhulna45032173326E0664Sylhet"/>
        <s v="E0672Shawon JahanFemaleOperationsOperations ManagerContractRemote43743202760E0585Sylhet"/>
        <s v="E0673Zahid RahmanPrefer not to sayEngineeringDevOps EngineerInternChattogram45611163043E0420Sylhet"/>
        <s v="E0674Mahin ShahMaleMarketingSEO SpecialistFull-timeDhaka42968111351E0816Sylhet"/>
        <s v="E0675Ovi UddinFemaleSalesSenior Account ExecutiveFull-timeKhulna42933226302E0357Sylhet"/>
        <s v="E0676Tamanna RahmanFemaleCustomer SuccessSupport AssociateFull-timeRemote4252666924E0745Sylhet"/>
        <s v="E0677Tania MahmudFemaleEngineeringJunior Software EngineerFull-timeKhulna43545105800E0955Sylhet"/>
        <s v="E0678Arif AkterFemaleSalesAccount ExecutiveFull-timeKhulna4576896400E0852Sylhet"/>
        <s v="E0679Priya RahmanMaleCustomer SuccessSupport AssociateFull-timeRajshahi44305108900E0396Sylhet"/>
        <s v="E0680Arif UddinMaleOperationsSupply Chain AnalystFull-timeRajshahi45221101913E0687Sylhet"/>
        <s v="E0681Sumaiya HaiderFemaleOperationsOperations AssociateFull-timeKhulna4577487577E0642Sylhet"/>
        <s v="E0682Lamia SharminMaleProductSenior Product ManagerFull-timeKhulna42938211968E0356Sylhet"/>
        <s v="E0683Karim TalukderMaleEngineeringQA EngineerFull-timeRajshahi45478201850E0574Sylhet"/>
        <s v="E0684Nabila SadiqMaleHRHR ManagerFull-timeRemote45259114025E0323Sylhet"/>
        <s v="E0685Fahim IslamMaleCustomer SuccessSupport AssociateFull-timeChattogram44291121728E0416Sylhet"/>
        <s v="E0686Shawon SarkerMaleMarketingMarketing ManagerFull-timeSylhet44207230250E0441Sylhet"/>
        <s v="E0687Lamia KhanFemaleMarketingMarketing ManagerFull-timeSylhet44890145443E0314Sylhet"/>
        <s v="E0688Nafiz BanuMaleProductAssociate Product ManagerFull-timeDhaka42391344942E0595Sylhet"/>
        <s v="E0689Shawon SadiqMaleFinanceSenior Financial AnalystFull-timeKhulna42694230193E0371Sylhet"/>
        <s v="E0690Sajid AnjumFemaleEngineeringQA EngineerFull-timeRajshahi42447104109E0990Sylhet"/>
        <s v="E0691Nabila HasanFemaleSalesSales AssociateFull-timeChattogram43418123664E0361Sylhet"/>
        <s v="E0692Sadia JahanMaleSalesAccount ExecutiveContractKhulna4325379430E0453Sylhet"/>
        <s v="E0693Sadia SarkerFemaleMarketingContent SpecialistFull-timeChattogram45790156229E0003Sylhet"/>
        <s v="E0694Shawon UddinFemaleProductProduct AnalystFull-timeRajshahi42982121916E0249Sylhet"/>
        <s v="E0695Tamanna AlamFemaleEngineeringSoftware EngineerFull-timeKhulna44617208355E0538Sylhet"/>
        <s v="E0696Mahin RasheedFemaleHRHR AssociateFull-timeRemote4534897862E0956Sylhet"/>
        <s v="E0697Farhan AlamFemaleProductProduct AnalystFull-timeKhulna44863130480E0272Sylhet"/>
        <s v="E0698Rahim HossainFemaleMarketingMarketing AssociateFull-timeRajshahi4453159947E0196Sylhet"/>
        <s v="E0699Arif UddinMaleEngineeringEngineering ManagerContractRemote44103296169E0019Sylhet"/>
        <s v="E0700Rafi BanuMaleMarketingGrowth MarketerInternRemote42825110392E0736Sylhet"/>
        <s v="E0701Mahin AminFemaleMarketingMarketing ManagerFull-timeRemote45549234854E0989Sylhet"/>
        <s v="E0702Esha KhanFemaleEngineeringSoftware EngineerFull-timeChattogram4355086771E0585Sylhet"/>
        <s v="E0703Jannat SharminFemaleSalesAccount ExecutiveContractDhaka43343152242E0617Sylhet"/>
        <s v="E0704Lamia RasheedMaleEngineeringSenior Software EngineerFull-timeDhaka43603246659E0037Sylhet"/>
        <s v="E0705Esha TalukderMaleEngineeringSoftware EngineerFull-timeChattogram42869176602E0144Sylhet"/>
        <s v="E0706Tamanna MiahMaleCustomer SuccessSupport AssociateInternKhulna4256591420E0365Sylhet"/>
        <s v="E0707Rafi SultanaFemaleSalesSenior Account ExecutiveInternKhulna43346117598E0226Sylhet"/>
        <s v="E0708Arif RanaFemaleOperationsOperations AssociateFull-timeChattogram44089124911E0866Sylhet"/>
        <s v="E0709Ovi SharminMaleProductProduct ManagerFull-timeKhulna44987171022E0617Sylhet"/>
        <s v="E0710Rashed MorshedMaleFinanceSenior Financial AnalystFull-timeSylhet45621219044E0980Sylhet"/>
        <s v="E0711Karim HasanFemaleFinanceAccounts ExecutiveFull-timeDhaka44921112993E0065Sylhet"/>
        <s v="E0712Tamanna MorshedFemaleHRHR AssociateFull-timeSylhet4424290401E0852Sylhet"/>
        <s v="E0713Rafi HossainFemaleMarketingSEO SpecialistFull-timeKhulna4262774498E0500Sylhet"/>
        <s v="E0714Karim MahmudMaleSalesAccount ExecutiveFull-timeChattogram42824189759E0736Sylhet"/>
        <s v="E0715Tamanna ChowdhuryMaleSalesSales AssociateFull-timeKhulna4579793826E0871Sylhet"/>
        <s v="E0716Tasnim HossainMaleCustomer SuccessCustomer Success ManagerFull-timeChattogram44417171523E0640Sylhet"/>
        <s v="E0717Tania ChowdhuryMaleOperationsOperations AssociateFull-timeChattogram4481489249E0037Sylhet"/>
        <s v="E0718Imran KhanMaleCustomer SuccessSupport SpecialistFull-timeChattogram4456548538E0618Sylhet"/>
        <s v="E0719Nabila IslamMaleEngineeringEngineering ManagerFull-timeRemote42437122096E0845Sylhet"/>
        <s v="E0720Jannat IslamMaleFinanceAccounts ExecutiveFull-timeSylhet4495878350Sylhet"/>
        <s v="E0721Noman HasanMaleCustomer SuccessSupport AssociateFull-timeRemote44480109085E0351Sylhet"/>
        <s v="E0722Mahin HaiderFemaleEngineeringJunior Software EngineerContractRajshahi44725112504E0445Sylhet"/>
        <s v="E0723Ayesha MiahFemaleEngineeringSoftware EngineerFull-timeRemote43360140797E0927Sylhet"/>
        <s v="E0724Farhan RasheedFemaleFinanceAccounts ExecutiveFull-timeDhaka45313131619E0828Sylhet"/>
        <s v="E0725Lamia ShahFemaleMarketingSEO SpecialistFull-timeRemote42958173103E0686Sylhet"/>
        <s v="E0726Shafiq BanuPrefer not to sayOperationsOperations AssociateFull-timeRajshahi4356392825E0990Sylhet"/>
        <s v="E0727Arif KabirFemaleEngineeringSenior Software EngineerFull-timeRemote44128290782Sylhet"/>
        <s v="E0728Rafi JahanMaleOperationsOperations ManagerFull-timeSylhet42376120139E0376Sylhet"/>
        <s v="E0729Nafiz AhmedMaleEngineeringDevOps EngineerFull-timeChattogram44888144862Sylhet"/>
        <s v="E0730Tasnim HasanFemaleEngineeringSenior Software EngineerFull-timeDhaka43815201682E0310Sylhet"/>
        <s v="E0731Karim AhmedMaleEngineeringSoftware EngineerFull-timeRemote43355197277E0142Sylhet"/>
        <s v="E0732Noman RanaFemaleOperationsSupply Chain AnalystFull-timeDhaka44707135986E0742Sylhet"/>
        <s v="E0733Nadia FerdousFemaleHRRecruiterFull-timeChattogram4407656897E0051Sylhet"/>
        <s v="E0734Mahin HaiderMaleMarketingContent SpecialistFull-timeSylhet43137155461E0387Sylhet"/>
        <s v="E0735Shawon KabirFemaleSalesSales AssociateFull-timeRajshahi4509167760E0786Sylhet"/>
        <s v="E0736Sajid BiswasFemaleOperationsOperations ManagerFull-timeRemote45107180002E0522Sylhet"/>
        <s v="E0737Nafiz HaiderMaleSalesAccount ExecutiveFull-timeSylhet42720134875Sylhet"/>
        <s v="E0738Rashed BiswasMaleOperationsOperations AssociateInternChattogram4451468992E0849Sylhet"/>
        <s v="E0739Jannat ParvinMaleSalesAccount ExecutiveFull-timeKhulna43847154293E0122Sylhet"/>
        <s v="E0740Ovi SharminMaleSalesAccount ExecutiveFull-timeKhulna4264791470E0479Sylhet"/>
        <s v="E0741Mahin FerdousFemaleSalesSales ManagerFull-timeSylhet44524179692E0051Sylhet"/>
        <s v="E0742Lamia AkterFemaleProductProduct ManagerContractRajshahi44598182793E0239Sylhet"/>
        <s v="E0743Rafi MiahMaleFinanceSenior Financial AnalystFull-timeChattogram44448125899Sylhet"/>
        <s v="E0744Sajid IslamFemaleMarketingMarketing AssociateFull-timeRajshahi4559173942E0831Sylhet"/>
        <s v="E0745Tamanna RanaMaleProductAssociate Product ManagerFull-timeDhaka44449264211E0816Sylhet"/>
        <s v="E0746Tasnim ChowdhuryFemaleOperationsSupply Chain AnalystFull-timeChattogram4463998638E0592Sylhet"/>
        <s v="E0747Rashed AlamFemaleSalesSales AssociateContractKhulna42453154415E0389Sylhet"/>
        <s v="E0748Nadia BanuFemaleMarketingContent SpecialistFull-timeChattogram4396974270E0181Sylhet"/>
        <s v="E0749Arif MiahMaleCustomer SuccessCustomer Success ManagerFull-timeKhulna4429564708E0780Sylhet"/>
        <s v="E0750Sadia AnjumMaleHRHR AssociateFull-timeSylhet4254850950E0225Sylhet"/>
        <s v="E0751Rahim IslamMaleEngineeringSenior Software EngineerFull-timeKhulna44973251186Sylhet"/>
        <s v="E0752Arif MiahNon-binaryCustomer SuccessSupport AssociateFull-timeDhaka4395450074E0314Sylhet"/>
        <s v="E0753Rafi ChowdhuryMaleHRHR AssociateFull-timeRajshahi4389998914E0618Sylhet"/>
        <s v="E0754Priya ShahMaleSalesSales AssociateFull-timeRajshahi43408151850Sylhet"/>
        <s v="E0755Sumaiya SharminNon-binaryEngineeringEngineering ManagerFull-timeSylhet45431150316E0426Sylhet"/>
        <s v="E0756Lamia MiahFemaleOperationsOperations ManagerInternRemote42436117567E0172Sylhet"/>
        <s v="E0757Sumaiya ChowdhuryMaleHRHR ManagerFull-timeSylhet43832101630E0640Sylhet"/>
        <s v="E0758Esha SharminMaleMarketingContent SpecialistFull-timeDhaka45599124782E0828Sylhet"/>
        <s v="E0759Nabila MorshedMaleOperationsOperations AssociateFull-timeChattogram4264662160E0351Sylhet"/>
        <s v="E0760Ovi RanaMaleOperationsSupply Chain AnalystInternSylhet43782128604E0861Sylhet"/>
        <s v="E0761Shafiq ChowdhuryFemaleEngineeringSenior Software EngineerFull-timeDhaka43357138156E0141Sylhet"/>
        <s v="E0762Nadia KhanFemaleProductSenior Product ManagerFull-timeChattogram45372131666E0990Sylhet"/>
        <s v="E0763Rahim BiswasFemaleProductProduct AnalystFull-timeKhulna45061181764E0184Sylhet"/>
        <s v="E0764Sajid IslamMaleFinanceFinancial AnalystFull-timeChattogram44943156370E0144Sylhet"/>
        <s v="E0765Rafi AlamMaleEngineeringJunior Software EngineerFull-timeKhulna42794154905E0909Sylhet"/>
        <s v="E0766Arif ChowdhuryFemaleMarketingContent SpecialistFull-timeRajshahi4553064730Sylhet"/>
        <s v="E0767Fahim TalukderMaleFinanceSenior Financial AnalystFull-timeChattogram44753198501E0225Sylhet"/>
        <s v="E0768Nabila RahmanFemaleOperationsSupply Chain AnalystFull-timeKhulna4538182662E0990Sylhet"/>
        <s v="E0769Ovi BiswasMaleSalesAccount ExecutiveFull-timeSylhet45469148154E0882Sylhet"/>
        <s v="E0770Arif IslamNon-binaryOperationsSupply Chain AnalystFull-timeDhaka43731139764E0013Sylhet"/>
        <s v="E0771Arif AkterFemaleEngineeringSenior Software EngineerFull-timeSylhet42916280370E0861Sylhet"/>
        <s v="E0772Lamia ChowdhuryMaleOperationsOperations ManagerFull-timeRajshahi4255185715E0456Sylhet"/>
        <s v="E0773Lamia MiahMaleEngineeringDevOps EngineerFull-timeChattogram43813149792E0325Sylhet"/>
        <s v="E0774Tania ShahFemaleSalesSales ManagerFull-timeKhulna4460690066E0559Sylhet"/>
        <s v="E0775Ayesha MahmudFemaleOperationsOperations ManagerFull-timeChattogram43756209353E0565Sylhet"/>
        <s v="E0776Zahid BanuMaleEngineeringSoftware EngineerFull-timeChattogram4570293583E0237Sylhet"/>
        <s v="E0777Sadia IslamPrefer not to sayProductProduct ManagerInternKhulna45002273469E0663Sylhet"/>
        <s v="E0778Rafi ShahFemaleFinanceFinancial AnalystFull-timeRajshahi4308792989E0132Sylhet"/>
        <s v="E0779Shawon IslamMaleFinanceAccounts ExecutiveContractSylhet45771191081E0701Sylhet"/>
        <s v="E0780Ayesha JahanMaleHRHR ManagerFull-timeRemote45561146560Sylhet"/>
        <s v="E0781Lamia AminFemaleFinanceAccounts ExecutiveFull-timeRemote45174151301E0688Sylhet"/>
        <s v="E0782Shawon HaiderMaleMarketingMarketing ManagerFull-timeSylhet44273217008E0231Sylhet"/>
        <s v="E0783Nabila MiahFemaleProductAssociate Product ManagerFull-timeRemote45218134842E0249Sylhet"/>
        <s v="E0784Jannat MorshedMaleSalesSenior Account ExecutiveFull-timeSylhet44330173458E0742Sylhet"/>
        <s v="E0785Tasnim SadiqMaleEngineeringQA EngineerFull-timeChattogram44957163741E0053Sylhet"/>
        <s v="E0786Sajid RasheedFemaleCustomer SuccessCustomer Success ManagerFull-timeRemote4311693910E0012Sylhet"/>
        <s v="E0787Shafiq RanaNon-binaryMarketingGrowth MarketerFull-timeRemote45693129991Sylhet"/>
        <s v="E0788Sajid JahanMaleSalesSenior Account ExecutiveFull-timeSylhet42922144722E0688Sylhet"/>
        <s v="E0789Zahid ShahFemaleSalesSales AssociateFull-timeChattogram42628112327E0687Sylhet"/>
        <s v="E0790Rafi BiswasMaleCustomer SuccessSupport SpecialistFull-timeKhulna4530268406E0103Sylhet"/>
        <s v="E0791Nabila KhanFemaleEngineeringJunior Software EngineerFull-timeDhaka45549187804Sylhet"/>
        <s v="E0792Shawon BanuMaleMarketingSEO SpecialistContractKhulna44244175256E0684Sylhet"/>
        <s v="E0793Tamanna RahmanFemaleMarketingGrowth MarketerFull-timeRajshahi42521149101E0376Sylhet"/>
        <s v="E0794Shafiq RasheedFemaleHRHR Business PartnerFull-timeChattogram4357164223E0755Sylhet"/>
        <s v="E0795Lamia KhanMaleEngineeringJunior Software EngineerFull-timeSylhet43195103668Sylhet"/>
        <s v="E0796Tasnim AhmedFemaleOperationsOperations AssociateInternRajshahi4254998984E0917Sylhet"/>
        <s v="E0797Mitu SultanaMaleCustomer SuccessCustomer Success ManagerFull-timeDhaka4561096703E0081Sylhet"/>
        <s v="E0798Esha SarkerFemaleMarketingMarketing AssociateFull-timeRemote4318756576E0520Sylhet"/>
        <s v="E0799Rafi UddinMaleFinanceAccounts ExecutiveFull-timeChattogram42541160461E0592Sylhet"/>
        <s v="E0800Karim BiswasFemaleCustomer SuccessSupport AssociateFull-timeRajshahi4366286429E0019Sylhet"/>
        <s v="E0801Rahim SultanaMaleFinanceFinance ManagerContractDhaka43640121309Sylhet"/>
        <s v="E0802Nafiz HasanMaleEngineeringQA EngineerFull-timeRemote44481128635E0278Sylhet"/>
        <s v="E0803Sajid AminFemaleMarketingContent SpecialistFull-timeRajshahi44001135705E0387Sylhet"/>
        <s v="E0804Nadia RanaPrefer not to sayHRRecruiterFull-timeRajshahi4570980489E0016Sylhet"/>
        <s v="E0805Zahid SadiqMaleSalesAccount ExecutiveFull-timeDhaka44594101359E0356Sylhet"/>
        <s v="E0806Imran HasanMaleFinanceSenior Financial AnalystFull-timeKhulna44309196965E0273Sylhet"/>
        <s v="E0807Ayesha HossainMaleCustomer SuccessSupport SpecialistFull-timeSylhet4340787246E0520Sylhet"/>
        <s v="E0808Lamia AnjumMaleCustomer SuccessSupport AssociateFull-timeSylhet4251957975E0055Sylhet"/>
        <s v="E0809Rafi RasheedFemaleSalesSales AssociateFull-timeRajshahi45455148174E0938Sylhet"/>
        <s v="E0810Ovi HossainMaleEngineeringJunior Software EngineerFull-timeSylhet45019102328E0870Sylhet"/>
        <s v="E0811Mahin MahmudMaleCustomer SuccessSupport SpecialistFull-timeDhaka4315276816E0585Sylhet"/>
        <s v="E0812Fahim BanuMaleOperationsOperations ManagerFull-timeKhulna43541153074E0199Sylhet"/>
        <s v="E0813Shawon SultanaMaleEngineeringSoftware EngineerFull-timeRajshahi43832120062E0965Sylhet"/>
        <s v="E0814Priya AminFemaleCustomer SuccessSupport AssociateFull-timeChattogram4590198793E0125Sylhet"/>
        <s v="E0815Rahim ShahFemaleOperationsOperations AssociateFull-timeRajshahi4556862931Sylhet"/>
        <s v="E0816Ovi UddinMaleMarketingMarketing ManagerFull-timeRajshahi42565138080E0716Sylhet"/>
        <s v="E0817Mitu IslamFemaleHRRecruiterFull-timeChattogram45055113462E0664Sylhet"/>
        <s v="E0818Nabila AnjumMaleSalesSenior Account ExecutiveContractRajshahi43729197390E0420Sylhet"/>
        <s v="E0819Farhan UddinFemaleEngineeringQA EngineerFull-timeDhaka43489152107E0144Sylhet"/>
        <s v="E0820Mitu UddinFemaleSalesAccount ExecutiveFull-timeKhulna4287997743E0302Sylhet"/>
        <s v="E0821Ayesha MiahFemaleOperationsOperations AssociateFull-timeDhaka45644134335E0325Sylhet"/>
        <s v="E0822Arif UddinMaleEngineeringJunior Software EngineerFull-timeKhulna43877169541E0122Sylhet"/>
        <s v="E0823Tasnim AkterFemaleSalesSenior Account ExecutiveContractDhaka44159138411E0125Sylhet"/>
        <s v="E0824Noman TalukderFemaleSalesSenior Account ExecutiveFull-timeDhaka44008233575E0728Sylhet"/>
        <s v="E0825Karim HasanNon-binaryMarketingGrowth MarketerFull-timeDhaka4541477744E0913Sylhet"/>
        <s v="E0826Shawon MorshedMaleCustomer SuccessSupport SpecialistFull-timeChattogram4417166009E0736Sylhet"/>
        <s v="E0827Rafi JahanMaleSalesSales AssociateFull-timeChattogram43953163219E0545Sylhet"/>
        <s v="E0828Farhan RanaMaleSalesSales ManagerFull-timeChattogram43758222625E0441Sylhet"/>
        <s v="E0829Rafi MiahFemaleFinanceSenior Financial AnalystFull-timeRajshahi43135286329E0828Sylhet"/>
        <s v="E0830Sumaiya RanaFemaleSalesAccount ExecutiveContractChattogram4440273250E0991Sylhet"/>
        <s v="E0831Shawon MorshedFemaleProductSenior Product ManagerFull-timeKhulna45204261849E0150Sylhet"/>
        <s v="E0832Farhan JahanMaleSalesSenior Account ExecutiveFull-timeChattogram44407199928E0585Sylhet"/>
        <s v="E0833Tamanna KabirMaleEngineeringSenior Software EngineerFull-timeDhaka43874292571E0762Sylhet"/>
        <s v="E0834Shafiq FerdousMaleEngineeringQA EngineerFull-timeSylhet45635118097E0310Sylhet"/>
        <s v="E0835Sajid SultanaFemaleMarketingSEO SpecialistFull-timeChattogram44496162297E0141Sylhet"/>
        <s v="E0836Karim IslamMaleSalesSenior Account ExecutiveFull-timeRemote43462139606E0812Sylhet"/>
        <s v="E0837Fahim MiahFemaleCustomer SuccessSupport AssociateFull-timeChattogram45651112331E0416Sylhet"/>
        <s v="E0838Jannat AnjumMaleSalesAccount ExecutiveFull-timeDhaka42708124819E0273Sylhet"/>
        <s v="E0839Mahin BiswasMaleMarketingMarketing ManagerFull-timeKhulna45348164021E0997Sylhet"/>
        <s v="E0840Karim ShahFemaleHRHR AssociateFull-timeRemote4410887187E0670Sylhet"/>
        <s v="E0841Sajid SadiqMaleEngineeringSoftware EngineerFull-timeRemote42693176530E0243Sylhet"/>
        <s v="E0842Mitu HossainFemaleHRRecruiterFull-timeKhulna4413368510E0172Sylhet"/>
        <s v="E0843Ayesha KabirFemaleEngineeringSoftware EngineerFull-timeDhaka44837221794E0167Sylhet"/>
        <s v="E0844Nafiz ShahFemaleCustomer SuccessSupport SpecialistFull-timeDhaka4573850021Sylhet"/>
        <s v="E0845Imran KabirFemaleEngineeringEngineering ManagerFull-timeRajshahi43109192891E0656Sylhet"/>
        <s v="E0846Sumaiya TalukderFemaleSalesSales AssociateFull-timeKhulna4460491390E0602Sylhet"/>
        <s v="E0847Rafi SharminMaleEngineeringJunior Software EngineerFull-timeDhaka43573171843E0640Sylhet"/>
        <s v="E0848Sajid SadiqMaleCustomer SuccessSupport AssociateFull-timeChattogram43685109974E0728Sylhet"/>
        <s v="E0849Zahid IslamFemaleMarketingMarketing ManagerFull-timeChattogram42790115083Sylhet"/>
        <s v="E0850Fahim ChowdhuryFemaleHRHR Business PartnerInternRemote4269757385Sylhet"/>
        <s v="E0851Esha MahmudFemaleEngineeringSoftware EngineerFull-timeChattogram43713206117E0123Sylhet"/>
        <s v="E0852Tasnim TalukderMaleFinanceFinance ManagerFull-timeSylhet45077237253E0646Sylhet"/>
        <s v="E0853Jannat RahmanMaleEngineeringDevOps EngineerFull-timeDhaka43580154315E0684Sylhet"/>
        <s v="E0854Esha FerdousFemaleOperationsOperations ManagerFull-timeChattogram43625198624E0912Sylhet"/>
        <s v="E0855Tasnim FerdousFemaleEngineeringEngineering ManagerFull-timeDhaka44196183621E0479Sylhet"/>
        <s v="E0856Sajid MiahPrefer not to sayEngineeringSoftware EngineerFull-timeChattogram44838119454E0179Sylhet"/>
        <s v="E0857Jannat TalukderFemaleEngineeringQA EngineerFull-timeKhulna45309220349E0407Sylhet"/>
        <s v="E0858Shawon AkterMaleMarketingContent SpecialistFull-timeChattogram44115106040E0013Sylhet"/>
        <s v="E0859Nadia AhmedMaleMarketingSEO SpecialistFull-timeKhulna43052131677E0416Sylhet"/>
        <s v="E0860Rashed AhmedFemaleEngineeringQA EngineerFull-timeDhaka45195190765E0701Sylhet"/>
        <s v="E0861Shafiq AlamFemaleOperationsOperations ManagerInternKhulna44188104645E0797Sylhet"/>
        <s v="E0862Tasnim HaiderMaleSalesSenior Account ExecutiveFull-timeDhaka43809224247E0161Sylhet"/>
        <s v="E0863Esha HaiderFemaleMarketingMarketing AssociateFull-timeRemote44201107673E0448Sylhet"/>
        <s v="E0864Jannat KhanFemaleSalesAccount ExecutiveFull-timeRajshahi42543164002E0511Sylhet"/>
        <s v="E0865Nafiz RasheedMaleSalesSales ManagerFull-timeChattogram4534789730E0927Sylhet"/>
        <s v="E0866Tamanna MiahFemaleMarketingMarketing ManagerContractSylhet43814196595E0226Sylhet"/>
        <s v="E0867Farhan ChowdhuryMaleEngineeringJunior Software EngineerFull-timeSylhet44888157668E0831Sylhet"/>
        <s v="E0868Jannat ShahMaleEngineeringJunior Software EngineerFull-timeRajshahi4415192728Sylhet"/>
        <s v="E0869Nabila HaiderMaleOperationsOperations AssociateFull-timeRemote4349499636E0376Sylhet"/>
        <s v="E0870Nadia AhmedMaleCustomer SuccessCustomer Success ManagerFull-timeDhaka44989162213E0387Sylhet"/>
        <s v="E0871Tania SadiqFemaleSalesSales ManagerFull-timeKhulna45611119877E0782Sylhet"/>
        <s v="E0872Imran BanuFemaleProductProduct AnalystFull-timeChattogram42604182719E0559Sylhet"/>
        <s v="E0873Karim SultanaMaleHRRecruiterFull-timeSylhet4267788094E0938Sylhet"/>
        <s v="E0874Shawon UddinMaleSalesSales ManagerFull-timeRemote45119290910E0037Sylhet"/>
        <s v="E0875Sajid BanuFemaleEngineeringQA EngineerFull-timeChattogram44981120440E0456Sylhet"/>
        <s v="E0876Sajid KabirFemaleEngineeringSenior Software EngineerFull-timeSylhet44033282635E0938Sylhet"/>
        <s v="E0877Noman AlamMaleFinanceSenior Financial AnalystFull-timeRemote43858197092Sylhet"/>
        <s v="E0878Nafiz RasheedFemaleHRRecruiterFull-timeKhulna4447159548E0538Sylhet"/>
        <s v="E0879Jannat SharminMaleEngineeringSoftware EngineerFull-timeRajshahi45651104355E0777Sylhet"/>
        <s v="E0880Esha KhanMaleProductAssociate Product ManagerFull-timeKhulna45441170251Sylhet"/>
        <s v="E0881Arif AminMaleProductProduct ManagerFull-timeDhaka45152139832E0812Sylhet"/>
        <s v="E0882Shawon ParvinMaleFinanceFinance ManagerContractKhulna43025266975E0051Sylhet"/>
        <s v="E0883Ayesha AnjumMaleEngineeringQA EngineerFull-timeDhaka4249794532E0448Sylhet"/>
        <s v="E0884Imran ChowdhuryFemaleEngineeringQA EngineerContractRemote42954143737E0273Sylhet"/>
        <s v="E0885Sajid RahmanFemaleOperationsOperations AssociateFull-timeDhaka45846111594E0251Sylhet"/>
        <s v="E0886Shafiq BiswasFemaleEngineeringSenior Software EngineerFull-timeSylhet44858114726E0426Sylhet"/>
        <s v="E0887Rafi MorshedMaleHRHR AssociateFull-timeRajshahi4514747603E0982Sylhet"/>
        <s v="E0888Nabila IslamMaleProductProduct AnalystInternKhulna45570210895Sylhet"/>
        <s v="E0889Arif ChowdhuryMaleEngineeringQA EngineerFull-timeKhulna4416499615E0132Sylhet"/>
        <s v="E0890Rahim AlamFemaleProductSenior Product ManagerContractChattogram42512132104E0682Sylhet"/>
        <s v="E0891Arif KabirFemaleFinanceAccounts ExecutiveFull-timeSylhet42887136774E0762Sylhet"/>
        <s v="E0892Nafiz ShahMaleOperationsSupply Chain AnalystFull-timeSylhet42645103522E0166Sylhet"/>
        <s v="E0893Arif RahmanMaleOperationsOperations ManagerInternDhaka43336198114E0965Sylhet"/>
        <s v="E0894Tasnim MiahFemaleSalesSales AssociateFull-timeKhulna45558161772E0123Sylhet"/>
        <s v="E0895Mahin HaiderMaleHRRecruiterFull-timeRemote4501285586E0314Sylhet"/>
        <s v="E0896Zahid HossainMaleEngineeringQA EngineerFull-timeRemote43870106488E0161Sylhet"/>
        <s v="E0897Mahin HasanMaleProductProduct ManagerFull-timeDhaka43853136448E0968Sylhet"/>
        <s v="E0898Sadia HaiderMaleOperationsOperations AssociateInternRemote4393852388E0184Sylhet"/>
        <s v="E0899Sumaiya SadiqFemaleEngineeringSoftware EngineerFull-timeDhaka44693111622E0085Sylhet"/>
        <s v="E0900Tania SultanaFemaleEngineeringDevOps EngineerFull-timeSylhet4250292293E0741Sylhet"/>
        <s v="E0901Sadia ChowdhuryPrefer not to sayEngineeringSenior Software EngineerFull-timeDhaka44848181738E0756Sylhet"/>
        <s v="E0902Lamia BiswasMaleEngineeringJunior Software EngineerFull-timeChattogram42998146796E0757Sylhet"/>
        <s v="E0903Noman BiswasNon-binaryEngineeringQA EngineerFull-timeChattogram45151129546E0085Sylhet"/>
        <s v="E0904Esha AnjumFemaleMarketingMarketing AssociateFull-timeKhulna4421289567E0456Sylhet"/>
        <s v="E0905Ovi RanaMaleSalesSenior Account ExecutiveFull-timeKhulna43889205212E0080Sylhet"/>
        <s v="E0906Tasnim AlamFemaleOperationsOperations AssociateFull-timeKhulna43893129144E0380Sylhet"/>
        <s v="E0907Ovi SharminFemaleOperationsOperations ManagerFull-timeRajshahi44188175765E0528Sylhet"/>
        <s v="E0908Nabila UddinFemaleSalesAccount ExecutiveFull-timeRajshahi4549569496E0150Sylhet"/>
        <s v="E0909Tania TalukderMaleProductAssociate Product ManagerFull-timeRemote42684284203E0376Sylhet"/>
        <s v="E0910Sajid UddinFemaleSalesSales AssociateFull-timeKhulna44720150980Sylhet"/>
        <s v="E0911Esha IslamMaleHRRecruiterFull-timeSylhet42933122176E0330Sylhet"/>
        <s v="E0912Ayesha IslamFemaleProductSenior Product ManagerFull-timeRajshahi44538241079E0687Sylhet"/>
        <s v="E0913Mahin MiahMaleHRHR ManagerFull-timeKhulna43873144906E0152Sylhet"/>
        <s v="E0914Arif SadiqFemaleSalesAccount ExecutiveFull-timeDhaka44000109791E0161Sylhet"/>
        <s v="E0915Jannat KabirFemaleMarketingContent SpecialistFull-timeRajshahi43657121425E0053Sylhet"/>
        <s v="E0916Shawon ShahMaleSalesSenior Account ExecutiveFull-timeChattogram4503088941E0302Sylhet"/>
        <s v="E0917Zahid ChowdhuryFemaleProductSenior Product ManagerFull-timeSylhet43511320505E0453Sylhet"/>
        <s v="E0918Tania HasanFemaleCustomer SuccessSupport SpecialistContractKhulna43392103974E0166Sylhet"/>
        <s v="E0919Shafiq AminFemaleFinanceFinancial AnalystInternSylhet4283479692E0122Sylhet"/>
        <s v="E0920Nadia FerdousFemaleEngineeringSoftware EngineerFull-timeRemote42476224389E0003Sylhet"/>
        <s v="E0921Fahim RanaFemaleOperationsSupply Chain AnalystFull-timeRajshahi4538373928E0229Sylhet"/>
        <s v="E0922Tamanna TalukderFemaleMarketingMarketing AssociateInternRemote4313269077Sylhet"/>
        <s v="E0923Priya SharminFemaleOperationsSupply Chain AnalystFull-timeDhaka4441472855E0518Sylhet"/>
        <s v="E0924Esha AminFemaleOperationsSupply Chain AnalystContractRajshahi44490123718E0008Sylhet"/>
        <s v="E0925Noman TalukderFemaleSalesSenior Account ExecutiveInternDhaka43955216552E0513Sylhet"/>
        <s v="E0926Nabila TalukderMaleEngineeringJunior Software EngineerContractRemote4467089519E0635Sylhet"/>
        <s v="E0927Nabila SadiqMaleProductProduct ManagerFull-timeRemote42852222698E0465Sylhet"/>
        <s v="E0928Rashed KhanFemaleMarketingContent SpecialistContractRemote43442105766E0075Sylhet"/>
        <s v="E0929Farhan AkterFemaleHRHR Business PartnerFull-timeDhaka45544129868E0008Sylhet"/>
        <s v="E0930Zahid HossainMaleProductProduct AnalystFull-timeSylhet43436169924E0574Sylhet"/>
        <s v="E0931Tania FerdousMaleEngineeringSenior Software EngineerContractChattogram45253109277E0664Sylhet"/>
        <s v="E0932Shafiq ShahFemaleOperationsSupply Chain AnalystFull-timeRemote4419785515E0880Sylhet"/>
        <s v="E0933Ayesha BanuMaleCustomer SuccessSupport SpecialistFull-timeDhaka4324880134E0167Sylhet"/>
        <s v="E0934Arif MiahMaleMarketingGrowth MarketerFull-timeChattogram44876124051E0686Sylhet"/>
        <s v="E0935Nabila UddinMaleEngineeringQA EngineerFull-timeRajshahi43539103259E0141Sylhet"/>
        <s v="E0936Shafiq FerdousNon-binaryProductProduct ManagerFull-timeSylhet45212126702E0699Sylhet"/>
        <s v="E0937Rafi MorshedMaleEngineeringSoftware EngineerFull-timeChattogram44381138106E0646Sylhet"/>
        <s v="E0938Priya AminFemaleCustomer SuccessCustomer Success ManagerFull-timeSylhet43189159288E0989Sylhet"/>
        <s v="E0939Sadia BiswasFemaleEngineeringSenior Software EngineerFull-timeKhulna42872212363Sylhet"/>
        <s v="E0940Sumaiya SharminMaleMarketingMarketing AssociateContractSylhet42925131958E0161Sylhet"/>
        <s v="E0941Tasnim AhmedFemaleProductProduct AnalystFull-timeRemote45863201934E0249Sylhet"/>
        <s v="E0942Shawon FerdousMaleMarketingContent SpecialistFull-timeSylhet42673113918E0741Sylhet"/>
        <s v="E0943Tania SarkerFemaleHRHR Business PartnerFull-timeDhaka44221131275E0617Sylhet"/>
        <s v="E0944Shafiq AnjumFemaleOperationsSupply Chain AnalystContractSylhet4307796665E0161Sylhet"/>
        <s v="E0945Nabila IslamMaleEngineeringDevOps EngineerFull-timeRajshahi45291146827E0783Sylhet"/>
        <s v="E0946Nabila SarkerMaleEngineeringSenior Software EngineerContractDhaka44193188623E0991Sylhet"/>
        <s v="E0947Tasnim IslamFemaleEngineeringSenior Software EngineerFull-timeSylhet42729145234Sylhet"/>
        <s v="E0948Fahim IslamMaleCustomer SuccessSupport AssociateFull-timeRajshahi4568992688E0314Sylhet"/>
        <s v="E0949Karim KabirFemaleOperationsOperations AssociateFull-timeDhaka45163126711E0376Sylhet"/>
        <s v="E0950Nabila SadiqFemaleHRRecruiterFull-timeDhaka45833116465E0801Sylhet"/>
        <s v="E0951Rashed KhanFemaleHRHR AssociateFull-timeRajshahi4367960918E0574Sylhet"/>
        <s v="E0952Karim AhmedNon-binaryHRHR AssociateFull-timeRajshahi4510558459Sylhet"/>
        <s v="E0953Sadia BanuFemaleEngineeringSenior Software EngineerFull-timeChattogram43793291785E0111Sylhet"/>
        <s v="E0954Sadia KabirFemaleCustomer SuccessCustomer Success ManagerFull-timeRajshahi45276166404E0243Sylhet"/>
        <s v="E0955Rahim HasanMaleSalesSales ManagerFull-timeChattogram42635250368E0416Sylhet"/>
        <s v="E0956Tania RahmanFemaleSalesSales ManagerFull-timeKhulna44622161678E0742Sylhet"/>
        <s v="E0957Rashed RasheedMaleMarketingGrowth MarketerFull-timeRemote44590166372E0054Sylhet"/>
        <s v="E0958Mahin ParvinMaleEngineeringSoftware EngineerFull-timeSylhet43559202206E0774Sylhet"/>
        <s v="E0959Rahim BanuMaleEngineeringQA EngineerFull-timeDhaka43598121015E0551Sylhet"/>
        <s v="E0960Tania ShahFemaleFinanceSenior Financial AnalystFull-timeChattogram45857102582E0488Sylhet"/>
        <s v="E0961Imran RahmanFemaleEngineeringJunior Software EngineerContractSylhet43015138102E0646Sylhet"/>
        <s v="E0962Karim MiahFemaleHRRecruiterFull-timeRajshahi45285122797E0749Sylhet"/>
        <s v="E0963Ovi AhmedFemaleProductSenior Product ManagerFull-timeRajshahi45276128328E0648Sylhet"/>
        <s v="E0964Sadia KhanFemaleSalesAccount ExecutiveFull-timeSylhet4523874624E0237Sylhet"/>
        <s v="E0965Rashed KhanMaleProductProduct ManagerFull-timeRajshahi44982239646E0663Sylhet"/>
        <s v="E0966Zahid SultanaMaleSalesSenior Account ExecutiveFull-timeKhulna43083142527E0122Sylhet"/>
        <s v="E0967Fahim ParvinMaleFinanceAccounts ExecutiveFull-timeDhaka45620179296E0518Sylhet"/>
        <s v="E0968Tamanna HasanFemaleProductAssociate Product ManagerFull-timeKhulna43850186569E0665Sylhet"/>
        <s v="E0969Sumaiya RasheedFemaleMarketingContent SpecialistFull-timeChattogram44453176225E0865Sylhet"/>
        <s v="E0970Arif AhmedFemaleMarketingMarketing AssociateFull-timeSylhet43288119654E0649Sylhet"/>
        <s v="E0971Karim IslamMaleHRHR AssociateFull-timeKhulna4286771564E0262Sylhet"/>
        <s v="E0972Noman JahanMaleCustomer SuccessCustomer Success ManagerFull-timeRemote43193143911E0003Sylhet"/>
        <s v="E0973Imran ParvinFemaleFinanceAccounts ExecutiveContractChattogram45614153176E0470Sylhet"/>
        <s v="E0974Arif UddinFemaleEngineeringSenior Software EngineerFull-timeRajshahi42938260181E0109Sylhet"/>
        <s v="E0975Sumaiya AnjumMaleEngineeringSoftware EngineerFull-timeKhulna4333998827E0190Sylhet"/>
        <s v="E0976Mahin SadiqMaleProductSenior Product ManagerContractDhaka45607189403E0420Sylhet"/>
        <s v="E0977Shawon SultanaMaleHRHR AssociateFull-timeDhaka4439399341E0330Sylhet"/>
        <s v="E0978Nadia AminFemaleEngineeringSoftware EngineerFull-timeDhaka42477191401E0865Sylhet"/>
        <s v="E0979Sajid HossainMaleMarketingMarketing ManagerFull-timeKhulna43848226360E0012Sylhet"/>
        <s v="E0980Tania FerdousMaleHRHR ManagerFull-timeKhulna44639153159E0736Sylhet"/>
        <s v="E0981Sajid SadiqMaleSalesSales AssociateFull-timeDhaka4471458321E0852Sylhet"/>
        <s v="E0982Ayesha AminFemaleOperationsOperations ManagerContractRajshahi43881125677Sylhet"/>
        <s v="E0983Fahim SharminMaleEngineeringSenior Software EngineerFull-timeChattogram44284298647E0574Sylhet"/>
        <s v="E0984Fahim MiahMaleEngineeringSenior Software EngineerFull-timeRemote45661318169E0008Sylhet"/>
        <s v="E0985Sumaiya MorshedFemaleFinanceAccounts ExecutiveFull-timeSylhet44629148986E0330Sylhet"/>
        <s v="E0986Sadia TalukderFemaleMarketingMarketing AssociateFull-timeSylhet42901164446E0772Sylhet"/>
        <s v="E0987Ayesha JahanFemaleFinanceSenior Financial AnalystContractKhulna44876207869E0024Sylhet"/>
        <s v="E0988Tania ShahMaleSalesAccount ExecutiveFull-timeKhulna42723101036E0179Sylhet"/>
        <s v="E0989Fahim ShahFemaleProductAssociate Product ManagerFull-timeDhaka42639274370E0334Sylhet"/>
        <s v="E0990Mahin AnjumMaleOperationsOperations ManagerFull-timeSylhet43636203573E0481Sylhet"/>
        <s v="E0991Nabila BanuMaleOperationsOperations ManagerFull-timeRemote44000175386E0855Sylhet"/>
        <s v="E0992Arif SharminMaleFinanceAccounts ExecutiveFull-timeRemote45306183865Sylhet"/>
        <s v="E0993Sajid ChowdhuryMaleProductProduct ManagerFull-timeRajshahi45314260780E0144Sylhet"/>
        <s v="E0994Rafi RasheedMaleHRHR AssociateFull-timeKhulna4433070605E0963Sylhet"/>
        <s v="E0995Tania ChowdhuryFemaleSalesSenior Account ExecutiveFull-timeSylhet44523167288E0965Sylhet"/>
        <s v="E0996Esha UddinMaleEngineeringQA EngineerFull-timeRajshahi44052131175E0845Sylhet"/>
        <s v="E0997Mitu KabirMaleCustomer SuccessCustomer Success ManagerFull-timeRemote4552089756E0990Sylhet"/>
        <s v="E0998Fahim AminMaleEngineeringJunior Software EngineerFull-timeDhaka44047150479E0882Sylhet"/>
        <s v="E0999Nadia KabirFemaleCustomer SuccessSupport AssociateFull-timeSylhet4574271076E0595Sylhet"/>
        <s v="E1000Tania SadiqFemaleSalesSales AssociateFull-timeRajshahi44724108334E0306Sylhet"/>
      </sharedItems>
    </cacheField>
    <cacheField name="Median" numFmtId="0">
      <sharedItems containsSemiMixedTypes="0" containsString="0" containsNumber="1" minValue="89705" maxValue="165867" count="115">
        <n v="134130"/>
        <n v="134271"/>
        <n v="134276"/>
        <n v="133989"/>
        <n v="133901"/>
        <n v="133813"/>
        <n v="133779.5"/>
        <n v="133746"/>
        <n v="133741"/>
        <n v="133736"/>
        <n v="133493.5"/>
        <n v="133251"/>
        <n v="133075.5"/>
        <n v="132900"/>
        <n v="132820"/>
        <n v="132740"/>
        <n v="132553"/>
        <n v="132366"/>
        <n v="132359"/>
        <n v="132352"/>
        <n v="132269"/>
        <n v="132186"/>
        <n v="132145"/>
        <n v="132104"/>
        <n v="132031"/>
        <n v="131958"/>
        <n v="131899"/>
        <n v="131840"/>
        <n v="131792"/>
        <n v="131744"/>
        <n v="131710.5"/>
        <n v="131677"/>
        <n v="131671.5"/>
        <n v="132276"/>
        <n v="132808.5"/>
        <n v="133498.5"/>
        <n v="134135"/>
        <n v="134281"/>
        <n v="134308"/>
        <n v="134335"/>
        <n v="134588.5"/>
        <n v="134842"/>
        <n v="134858.5"/>
        <n v="134047"/>
        <n v="134875"/>
        <n v="134973.5"/>
        <n v="135072"/>
        <n v="135184.5"/>
        <n v="135297"/>
        <n v="135421"/>
        <n v="135545"/>
        <n v="135607.5"/>
        <n v="135670"/>
        <n v="135687.5"/>
        <n v="135705"/>
        <n v="135845.5"/>
        <n v="135986"/>
        <n v="136164.5"/>
        <n v="136343"/>
        <n v="136395.5"/>
        <n v="136217"/>
        <n v="136448"/>
        <n v="136611"/>
        <n v="136774"/>
        <n v="137427"/>
        <n v="138080"/>
        <n v="138091"/>
        <n v="138102"/>
        <n v="138104"/>
        <n v="135501"/>
        <n v="135086"/>
        <n v="133793"/>
        <n v="133219.5"/>
        <n v="131817.5"/>
        <n v="131666"/>
        <n v="131642.5"/>
        <n v="131619"/>
        <n v="135273.5"/>
        <n v="136076.5"/>
        <n v="135020"/>
        <n v="135391.5"/>
        <n v="137438"/>
        <n v="131616.5"/>
        <n v="134203"/>
        <n v="135030"/>
        <n v="138106"/>
        <n v="140316.5"/>
        <n v="142527"/>
        <n v="143219"/>
        <n v="143911"/>
        <n v="144572.5"/>
        <n v="145234"/>
        <n v="146030.5"/>
        <n v="146827"/>
        <n v="147906.5"/>
        <n v="148986"/>
        <n v="149732.5"/>
        <n v="150479"/>
        <n v="151819"/>
        <n v="153159"/>
        <n v="153167.5"/>
        <n v="153176"/>
        <n v="157427"/>
        <n v="158811"/>
        <n v="164446"/>
        <n v="158802.5"/>
        <n v="157462.5"/>
        <n v="165867"/>
        <n v="158883.5"/>
        <n v="140827"/>
        <n v="131175"/>
        <n v="119754.5"/>
        <n v="108334"/>
        <n v="99045"/>
        <n v="89705"/>
      </sharedItems>
    </cacheField>
    <cacheField name="Tenure" numFmtId="0">
      <sharedItems containsSemiMixedTypes="0" containsString="0" containsNumber="1" containsInteger="1" minValue="0" maxValue="10" count="11">
        <n v="9"/>
        <n v="2"/>
        <n v="6"/>
        <n v="4"/>
        <n v="5"/>
        <n v="7"/>
        <n v="8"/>
        <n v="0"/>
        <n v="3"/>
        <n v="1"/>
        <n v="10"/>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5" refreshedVersion="5" minRefreshableVersion="3" refreshedDate="46098.4781597222" refreshedBy="HP" recordCount="1000">
  <cacheSource type="worksheet">
    <worksheetSource ref="A1:N1001" sheet="abc_inc_employees_master"/>
  </cacheSource>
  <cacheFields count="14">
    <cacheField name="employee_id" numFmtId="0">
      <sharedItems count="1000">
        <s v="E0001"/>
        <s v="E0002"/>
        <s v="E0003"/>
        <s v="E0004"/>
        <s v="E0005"/>
        <s v="E0006"/>
        <s v="E0007"/>
        <s v="E0008"/>
        <s v="E0009"/>
        <s v="E0010"/>
        <s v="E0011"/>
        <s v="E0012"/>
        <s v="E0013"/>
        <s v="E0014"/>
        <s v="E0015"/>
        <s v="E0016"/>
        <s v="E0017"/>
        <s v="E0018"/>
        <s v="E0019"/>
        <s v="E0020"/>
        <s v="E0021"/>
        <s v="E0022"/>
        <s v="E0023"/>
        <s v="E0024"/>
        <s v="E0025"/>
        <s v="E0026"/>
        <s v="E0027"/>
        <s v="E0028"/>
        <s v="E0029"/>
        <s v="E0030"/>
        <s v="E0031"/>
        <s v="E0032"/>
        <s v="E0033"/>
        <s v="E0034"/>
        <s v="E0035"/>
        <s v="E0036"/>
        <s v="E0037"/>
        <s v="E0038"/>
        <s v="E0039"/>
        <s v="E0040"/>
        <s v="E0041"/>
        <s v="E0042"/>
        <s v="E0043"/>
        <s v="E0044"/>
        <s v="E0045"/>
        <s v="E0046"/>
        <s v="E0047"/>
        <s v="E0048"/>
        <s v="E0049"/>
        <s v="E0050"/>
        <s v="E0051"/>
        <s v="E0052"/>
        <s v="E0053"/>
        <s v="E0054"/>
        <s v="E0055"/>
        <s v="E0056"/>
        <s v="E0057"/>
        <s v="E0058"/>
        <s v="E0059"/>
        <s v="E0060"/>
        <s v="E0061"/>
        <s v="E0062"/>
        <s v="E0063"/>
        <s v="E0064"/>
        <s v="E0065"/>
        <s v="E0066"/>
        <s v="E0067"/>
        <s v="E0068"/>
        <s v="E0069"/>
        <s v="E0070"/>
        <s v="E0071"/>
        <s v="E0072"/>
        <s v="E0073"/>
        <s v="E0074"/>
        <s v="E0075"/>
        <s v="E0076"/>
        <s v="E0077"/>
        <s v="E0078"/>
        <s v="E0079"/>
        <s v="E0080"/>
        <s v="E0081"/>
        <s v="E0082"/>
        <s v="E0083"/>
        <s v="E0084"/>
        <s v="E0085"/>
        <s v="E0086"/>
        <s v="E0087"/>
        <s v="E0088"/>
        <s v="E0089"/>
        <s v="E0090"/>
        <s v="E0091"/>
        <s v="E0092"/>
        <s v="E0093"/>
        <s v="E0094"/>
        <s v="E0095"/>
        <s v="E0096"/>
        <s v="E0097"/>
        <s v="E0098"/>
        <s v="E0099"/>
        <s v="E0100"/>
        <s v="E0101"/>
        <s v="E0102"/>
        <s v="E0103"/>
        <s v="E0104"/>
        <s v="E0105"/>
        <s v="E0106"/>
        <s v="E0107"/>
        <s v="E0108"/>
        <s v="E0109"/>
        <s v="E0110"/>
        <s v="E0111"/>
        <s v="E0112"/>
        <s v="E0113"/>
        <s v="E0114"/>
        <s v="E0115"/>
        <s v="E0116"/>
        <s v="E0117"/>
        <s v="E0118"/>
        <s v="E0119"/>
        <s v="E0120"/>
        <s v="E0121"/>
        <s v="E0122"/>
        <s v="E0123"/>
        <s v="E0124"/>
        <s v="E0125"/>
        <s v="E0126"/>
        <s v="E0127"/>
        <s v="E0128"/>
        <s v="E0129"/>
        <s v="E0130"/>
        <s v="E0131"/>
        <s v="E0132"/>
        <s v="E0133"/>
        <s v="E0134"/>
        <s v="E0135"/>
        <s v="E0136"/>
        <s v="E0137"/>
        <s v="E0138"/>
        <s v="E0139"/>
        <s v="E0140"/>
        <s v="E0141"/>
        <s v="E0142"/>
        <s v="E0143"/>
        <s v="E0144"/>
        <s v="E0145"/>
        <s v="E0146"/>
        <s v="E0147"/>
        <s v="E0148"/>
        <s v="E0149"/>
        <s v="E0150"/>
        <s v="E0151"/>
        <s v="E0152"/>
        <s v="E0153"/>
        <s v="E0154"/>
        <s v="E0155"/>
        <s v="E0156"/>
        <s v="E0157"/>
        <s v="E0158"/>
        <s v="E0159"/>
        <s v="E0160"/>
        <s v="E0161"/>
        <s v="E0162"/>
        <s v="E0163"/>
        <s v="E0164"/>
        <s v="E0165"/>
        <s v="E0166"/>
        <s v="E0167"/>
        <s v="E0168"/>
        <s v="E0169"/>
        <s v="E0170"/>
        <s v="E0171"/>
        <s v="E0172"/>
        <s v="E0173"/>
        <s v="E0174"/>
        <s v="E0175"/>
        <s v="E0176"/>
        <s v="E0177"/>
        <s v="E0178"/>
        <s v="E0179"/>
        <s v="E0180"/>
        <s v="E0181"/>
        <s v="E0182"/>
        <s v="E0183"/>
        <s v="E0184"/>
        <s v="E0185"/>
        <s v="E0186"/>
        <s v="E0187"/>
        <s v="E0188"/>
        <s v="E0189"/>
        <s v="E0190"/>
        <s v="E0191"/>
        <s v="E0192"/>
        <s v="E0193"/>
        <s v="E0194"/>
        <s v="E0195"/>
        <s v="E0196"/>
        <s v="E0197"/>
        <s v="E0198"/>
        <s v="E0199"/>
        <s v="E0200"/>
        <s v="E0201"/>
        <s v="E0202"/>
        <s v="E0203"/>
        <s v="E0204"/>
        <s v="E0205"/>
        <s v="E0206"/>
        <s v="E0207"/>
        <s v="E0208"/>
        <s v="E0209"/>
        <s v="E0210"/>
        <s v="E0211"/>
        <s v="E0212"/>
        <s v="E0213"/>
        <s v="E0214"/>
        <s v="E0215"/>
        <s v="E0216"/>
        <s v="E0217"/>
        <s v="E0218"/>
        <s v="E0219"/>
        <s v="E0220"/>
        <s v="E0221"/>
        <s v="E0222"/>
        <s v="E0223"/>
        <s v="E0224"/>
        <s v="E0225"/>
        <s v="E0226"/>
        <s v="E0227"/>
        <s v="E0228"/>
        <s v="E0229"/>
        <s v="E0230"/>
        <s v="E0231"/>
        <s v="E0232"/>
        <s v="E0233"/>
        <s v="E0234"/>
        <s v="E0235"/>
        <s v="E0236"/>
        <s v="E0237"/>
        <s v="E0238"/>
        <s v="E0239"/>
        <s v="E0240"/>
        <s v="E0241"/>
        <s v="E0242"/>
        <s v="E0243"/>
        <s v="E0244"/>
        <s v="E0245"/>
        <s v="E0246"/>
        <s v="E0247"/>
        <s v="E0248"/>
        <s v="E0249"/>
        <s v="E0250"/>
        <s v="E0251"/>
        <s v="E0252"/>
        <s v="E0253"/>
        <s v="E0254"/>
        <s v="E0255"/>
        <s v="E0256"/>
        <s v="E0257"/>
        <s v="E0258"/>
        <s v="E0259"/>
        <s v="E0260"/>
        <s v="E0261"/>
        <s v="E0262"/>
        <s v="E0263"/>
        <s v="E0264"/>
        <s v="E0265"/>
        <s v="E0266"/>
        <s v="E0267"/>
        <s v="E0268"/>
        <s v="E0269"/>
        <s v="E0270"/>
        <s v="E0271"/>
        <s v="E0272"/>
        <s v="E0273"/>
        <s v="E0274"/>
        <s v="E0275"/>
        <s v="E0276"/>
        <s v="E0277"/>
        <s v="E0278"/>
        <s v="E0279"/>
        <s v="E0280"/>
        <s v="E0281"/>
        <s v="E0282"/>
        <s v="E0283"/>
        <s v="E0284"/>
        <s v="E0285"/>
        <s v="E0286"/>
        <s v="E0287"/>
        <s v="E0288"/>
        <s v="E0289"/>
        <s v="E0290"/>
        <s v="E0291"/>
        <s v="E0292"/>
        <s v="E0293"/>
        <s v="E0294"/>
        <s v="E0295"/>
        <s v="E0296"/>
        <s v="E0297"/>
        <s v="E0298"/>
        <s v="E0299"/>
        <s v="E0300"/>
        <s v="E0301"/>
        <s v="E0302"/>
        <s v="E0303"/>
        <s v="E0304"/>
        <s v="E0305"/>
        <s v="E0306"/>
        <s v="E0307"/>
        <s v="E0308"/>
        <s v="E0309"/>
        <s v="E0310"/>
        <s v="E0311"/>
        <s v="E0312"/>
        <s v="E0313"/>
        <s v="E0314"/>
        <s v="E0315"/>
        <s v="E0316"/>
        <s v="E0317"/>
        <s v="E0318"/>
        <s v="E0319"/>
        <s v="E0320"/>
        <s v="E0321"/>
        <s v="E0322"/>
        <s v="E0323"/>
        <s v="E0324"/>
        <s v="E0325"/>
        <s v="E0326"/>
        <s v="E0327"/>
        <s v="E0328"/>
        <s v="E0329"/>
        <s v="E0330"/>
        <s v="E0331"/>
        <s v="E0332"/>
        <s v="E0333"/>
        <s v="E0334"/>
        <s v="E0335"/>
        <s v="E0336"/>
        <s v="E0337"/>
        <s v="E0338"/>
        <s v="E0339"/>
        <s v="E0340"/>
        <s v="E0341"/>
        <s v="E0342"/>
        <s v="E0343"/>
        <s v="E0344"/>
        <s v="E0345"/>
        <s v="E0346"/>
        <s v="E0347"/>
        <s v="E0348"/>
        <s v="E0349"/>
        <s v="E0350"/>
        <s v="E0351"/>
        <s v="E0352"/>
        <s v="E0353"/>
        <s v="E0354"/>
        <s v="E0355"/>
        <s v="E0356"/>
        <s v="E0357"/>
        <s v="E0358"/>
        <s v="E0359"/>
        <s v="E0360"/>
        <s v="E0361"/>
        <s v="E0362"/>
        <s v="E0363"/>
        <s v="E0364"/>
        <s v="E0365"/>
        <s v="E0366"/>
        <s v="E0367"/>
        <s v="E0368"/>
        <s v="E0369"/>
        <s v="E0370"/>
        <s v="E0371"/>
        <s v="E0372"/>
        <s v="E0373"/>
        <s v="E0374"/>
        <s v="E0375"/>
        <s v="E0376"/>
        <s v="E0377"/>
        <s v="E0378"/>
        <s v="E0379"/>
        <s v="E0380"/>
        <s v="E0381"/>
        <s v="E0382"/>
        <s v="E0383"/>
        <s v="E0384"/>
        <s v="E0385"/>
        <s v="E0386"/>
        <s v="E0387"/>
        <s v="E0388"/>
        <s v="E0389"/>
        <s v="E0390"/>
        <s v="E0391"/>
        <s v="E0392"/>
        <s v="E0393"/>
        <s v="E0394"/>
        <s v="E0395"/>
        <s v="E0396"/>
        <s v="E0397"/>
        <s v="E0398"/>
        <s v="E0399"/>
        <s v="E0400"/>
        <s v="E0401"/>
        <s v="E0402"/>
        <s v="E0403"/>
        <s v="E0404"/>
        <s v="E0405"/>
        <s v="E0406"/>
        <s v="E0407"/>
        <s v="E0408"/>
        <s v="E0409"/>
        <s v="E0410"/>
        <s v="E0411"/>
        <s v="E0412"/>
        <s v="E0413"/>
        <s v="E0414"/>
        <s v="E0415"/>
        <s v="E0416"/>
        <s v="E0417"/>
        <s v="E0418"/>
        <s v="E0419"/>
        <s v="E0420"/>
        <s v="E0421"/>
        <s v="E0422"/>
        <s v="E0423"/>
        <s v="E0424"/>
        <s v="E0425"/>
        <s v="E0426"/>
        <s v="E0427"/>
        <s v="E0428"/>
        <s v="E0429"/>
        <s v="E0430"/>
        <s v="E0431"/>
        <s v="E0432"/>
        <s v="E0433"/>
        <s v="E0434"/>
        <s v="E0435"/>
        <s v="E0436"/>
        <s v="E0437"/>
        <s v="E0438"/>
        <s v="E0439"/>
        <s v="E0440"/>
        <s v="E0441"/>
        <s v="E0442"/>
        <s v="E0443"/>
        <s v="E0444"/>
        <s v="E0445"/>
        <s v="E0446"/>
        <s v="E0447"/>
        <s v="E0448"/>
        <s v="E0449"/>
        <s v="E0450"/>
        <s v="E0451"/>
        <s v="E0452"/>
        <s v="E0453"/>
        <s v="E0454"/>
        <s v="E0455"/>
        <s v="E0456"/>
        <s v="E0457"/>
        <s v="E0458"/>
        <s v="E0459"/>
        <s v="E0460"/>
        <s v="E0461"/>
        <s v="E0462"/>
        <s v="E0463"/>
        <s v="E0464"/>
        <s v="E0465"/>
        <s v="E0466"/>
        <s v="E0467"/>
        <s v="E0468"/>
        <s v="E0469"/>
        <s v="E0470"/>
        <s v="E0471"/>
        <s v="E0472"/>
        <s v="E0473"/>
        <s v="E0474"/>
        <s v="E0475"/>
        <s v="E0476"/>
        <s v="E0477"/>
        <s v="E0478"/>
        <s v="E0479"/>
        <s v="E0480"/>
        <s v="E0481"/>
        <s v="E0482"/>
        <s v="E0483"/>
        <s v="E0484"/>
        <s v="E0485"/>
        <s v="E0486"/>
        <s v="E0487"/>
        <s v="E0488"/>
        <s v="E0489"/>
        <s v="E0490"/>
        <s v="E0491"/>
        <s v="E0492"/>
        <s v="E0493"/>
        <s v="E0494"/>
        <s v="E0495"/>
        <s v="E0496"/>
        <s v="E0497"/>
        <s v="E0498"/>
        <s v="E0499"/>
        <s v="E0500"/>
        <s v="E0501"/>
        <s v="E0502"/>
        <s v="E0503"/>
        <s v="E0504"/>
        <s v="E0505"/>
        <s v="E0506"/>
        <s v="E0507"/>
        <s v="E0508"/>
        <s v="E0509"/>
        <s v="E0510"/>
        <s v="E0511"/>
        <s v="E0512"/>
        <s v="E0513"/>
        <s v="E0514"/>
        <s v="E0515"/>
        <s v="E0516"/>
        <s v="E0517"/>
        <s v="E0518"/>
        <s v="E0519"/>
        <s v="E0520"/>
        <s v="E0521"/>
        <s v="E0522"/>
        <s v="E0523"/>
        <s v="E0524"/>
        <s v="E0525"/>
        <s v="E0526"/>
        <s v="E0527"/>
        <s v="E0528"/>
        <s v="E0529"/>
        <s v="E0530"/>
        <s v="E0531"/>
        <s v="E0532"/>
        <s v="E0533"/>
        <s v="E0534"/>
        <s v="E0535"/>
        <s v="E0536"/>
        <s v="E0537"/>
        <s v="E0538"/>
        <s v="E0539"/>
        <s v="E0540"/>
        <s v="E0541"/>
        <s v="E0542"/>
        <s v="E0543"/>
        <s v="E0544"/>
        <s v="E0545"/>
        <s v="E0546"/>
        <s v="E0547"/>
        <s v="E0548"/>
        <s v="E0549"/>
        <s v="E0550"/>
        <s v="E0551"/>
        <s v="E0552"/>
        <s v="E0553"/>
        <s v="E0554"/>
        <s v="E0555"/>
        <s v="E0556"/>
        <s v="E0557"/>
        <s v="E0558"/>
        <s v="E0559"/>
        <s v="E0560"/>
        <s v="E0561"/>
        <s v="E0562"/>
        <s v="E0563"/>
        <s v="E0564"/>
        <s v="E0565"/>
        <s v="E0566"/>
        <s v="E0567"/>
        <s v="E0568"/>
        <s v="E0569"/>
        <s v="E0570"/>
        <s v="E0571"/>
        <s v="E0572"/>
        <s v="E0573"/>
        <s v="E0574"/>
        <s v="E0575"/>
        <s v="E0576"/>
        <s v="E0577"/>
        <s v="E0578"/>
        <s v="E0579"/>
        <s v="E0580"/>
        <s v="E0581"/>
        <s v="E0582"/>
        <s v="E0583"/>
        <s v="E0584"/>
        <s v="E0585"/>
        <s v="E0586"/>
        <s v="E0587"/>
        <s v="E0588"/>
        <s v="E0589"/>
        <s v="E0590"/>
        <s v="E0591"/>
        <s v="E0592"/>
        <s v="E0593"/>
        <s v="E0594"/>
        <s v="E0595"/>
        <s v="E0596"/>
        <s v="E0597"/>
        <s v="E0598"/>
        <s v="E0599"/>
        <s v="E0600"/>
        <s v="E0601"/>
        <s v="E0602"/>
        <s v="E0603"/>
        <s v="E0604"/>
        <s v="E0605"/>
        <s v="E0606"/>
        <s v="E0607"/>
        <s v="E0608"/>
        <s v="E0609"/>
        <s v="E0610"/>
        <s v="E0611"/>
        <s v="E0612"/>
        <s v="E0613"/>
        <s v="E0614"/>
        <s v="E0615"/>
        <s v="E0616"/>
        <s v="E0617"/>
        <s v="E0618"/>
        <s v="E0619"/>
        <s v="E0620"/>
        <s v="E0621"/>
        <s v="E0622"/>
        <s v="E0623"/>
        <s v="E0624"/>
        <s v="E0625"/>
        <s v="E0626"/>
        <s v="E0627"/>
        <s v="E0628"/>
        <s v="E0629"/>
        <s v="E0630"/>
        <s v="E0631"/>
        <s v="E0632"/>
        <s v="E0633"/>
        <s v="E0634"/>
        <s v="E0635"/>
        <s v="E0636"/>
        <s v="E0637"/>
        <s v="E0638"/>
        <s v="E0639"/>
        <s v="E0640"/>
        <s v="E0641"/>
        <s v="E0642"/>
        <s v="E0643"/>
        <s v="E0644"/>
        <s v="E0645"/>
        <s v="E0646"/>
        <s v="E0647"/>
        <s v="E0648"/>
        <s v="E0649"/>
        <s v="E0650"/>
        <s v="E0651"/>
        <s v="E0652"/>
        <s v="E0653"/>
        <s v="E0654"/>
        <s v="E0655"/>
        <s v="E0656"/>
        <s v="E0657"/>
        <s v="E0658"/>
        <s v="E0659"/>
        <s v="E0660"/>
        <s v="E0661"/>
        <s v="E0662"/>
        <s v="E0663"/>
        <s v="E0664"/>
        <s v="E0665"/>
        <s v="E0666"/>
        <s v="E0667"/>
        <s v="E0668"/>
        <s v="E0669"/>
        <s v="E0670"/>
        <s v="E0671"/>
        <s v="E0672"/>
        <s v="E0673"/>
        <s v="E0674"/>
        <s v="E0675"/>
        <s v="E0676"/>
        <s v="E0677"/>
        <s v="E0678"/>
        <s v="E0679"/>
        <s v="E0680"/>
        <s v="E0681"/>
        <s v="E0682"/>
        <s v="E0683"/>
        <s v="E0684"/>
        <s v="E0685"/>
        <s v="E0686"/>
        <s v="E0687"/>
        <s v="E0688"/>
        <s v="E0689"/>
        <s v="E0690"/>
        <s v="E0691"/>
        <s v="E0692"/>
        <s v="E0693"/>
        <s v="E0694"/>
        <s v="E0695"/>
        <s v="E0696"/>
        <s v="E0697"/>
        <s v="E0698"/>
        <s v="E0699"/>
        <s v="E0700"/>
        <s v="E0701"/>
        <s v="E0702"/>
        <s v="E0703"/>
        <s v="E0704"/>
        <s v="E0705"/>
        <s v="E0706"/>
        <s v="E0707"/>
        <s v="E0708"/>
        <s v="E0709"/>
        <s v="E0710"/>
        <s v="E0711"/>
        <s v="E0712"/>
        <s v="E0713"/>
        <s v="E0714"/>
        <s v="E0715"/>
        <s v="E0716"/>
        <s v="E0717"/>
        <s v="E0718"/>
        <s v="E0719"/>
        <s v="E0720"/>
        <s v="E0721"/>
        <s v="E0722"/>
        <s v="E0723"/>
        <s v="E0724"/>
        <s v="E0725"/>
        <s v="E0726"/>
        <s v="E0727"/>
        <s v="E0728"/>
        <s v="E0729"/>
        <s v="E0730"/>
        <s v="E0731"/>
        <s v="E0732"/>
        <s v="E0733"/>
        <s v="E0734"/>
        <s v="E0735"/>
        <s v="E0736"/>
        <s v="E0737"/>
        <s v="E0738"/>
        <s v="E0739"/>
        <s v="E0740"/>
        <s v="E0741"/>
        <s v="E0742"/>
        <s v="E0743"/>
        <s v="E0744"/>
        <s v="E0745"/>
        <s v="E0746"/>
        <s v="E0747"/>
        <s v="E0748"/>
        <s v="E0749"/>
        <s v="E0750"/>
        <s v="E0751"/>
        <s v="E0752"/>
        <s v="E0753"/>
        <s v="E0754"/>
        <s v="E0755"/>
        <s v="E0756"/>
        <s v="E0757"/>
        <s v="E0758"/>
        <s v="E0759"/>
        <s v="E0760"/>
        <s v="E0761"/>
        <s v="E0762"/>
        <s v="E0763"/>
        <s v="E0764"/>
        <s v="E0765"/>
        <s v="E0766"/>
        <s v="E0767"/>
        <s v="E0768"/>
        <s v="E0769"/>
        <s v="E0770"/>
        <s v="E0771"/>
        <s v="E0772"/>
        <s v="E0773"/>
        <s v="E0774"/>
        <s v="E0775"/>
        <s v="E0776"/>
        <s v="E0777"/>
        <s v="E0778"/>
        <s v="E0779"/>
        <s v="E0780"/>
        <s v="E0781"/>
        <s v="E0782"/>
        <s v="E0783"/>
        <s v="E0784"/>
        <s v="E0785"/>
        <s v="E0786"/>
        <s v="E0787"/>
        <s v="E0788"/>
        <s v="E0789"/>
        <s v="E0790"/>
        <s v="E0791"/>
        <s v="E0792"/>
        <s v="E0793"/>
        <s v="E0794"/>
        <s v="E0795"/>
        <s v="E0796"/>
        <s v="E0797"/>
        <s v="E0798"/>
        <s v="E0799"/>
        <s v="E0800"/>
        <s v="E0801"/>
        <s v="E0802"/>
        <s v="E0803"/>
        <s v="E0804"/>
        <s v="E0805"/>
        <s v="E0806"/>
        <s v="E0807"/>
        <s v="E0808"/>
        <s v="E0809"/>
        <s v="E0810"/>
        <s v="E0811"/>
        <s v="E0812"/>
        <s v="E0813"/>
        <s v="E0814"/>
        <s v="E0815"/>
        <s v="E0816"/>
        <s v="E0817"/>
        <s v="E0818"/>
        <s v="E0819"/>
        <s v="E0820"/>
        <s v="E0821"/>
        <s v="E0822"/>
        <s v="E0823"/>
        <s v="E0824"/>
        <s v="E0825"/>
        <s v="E0826"/>
        <s v="E0827"/>
        <s v="E0828"/>
        <s v="E0829"/>
        <s v="E0830"/>
        <s v="E0831"/>
        <s v="E0832"/>
        <s v="E0833"/>
        <s v="E0834"/>
        <s v="E0835"/>
        <s v="E0836"/>
        <s v="E0837"/>
        <s v="E0838"/>
        <s v="E0839"/>
        <s v="E0840"/>
        <s v="E0841"/>
        <s v="E0842"/>
        <s v="E0843"/>
        <s v="E0844"/>
        <s v="E0845"/>
        <s v="E0846"/>
        <s v="E0847"/>
        <s v="E0848"/>
        <s v="E0849"/>
        <s v="E0850"/>
        <s v="E0851"/>
        <s v="E0852"/>
        <s v="E0853"/>
        <s v="E0854"/>
        <s v="E0855"/>
        <s v="E0856"/>
        <s v="E0857"/>
        <s v="E0858"/>
        <s v="E0859"/>
        <s v="E0860"/>
        <s v="E0861"/>
        <s v="E0862"/>
        <s v="E0863"/>
        <s v="E0864"/>
        <s v="E0865"/>
        <s v="E0866"/>
        <s v="E0867"/>
        <s v="E0868"/>
        <s v="E0869"/>
        <s v="E0870"/>
        <s v="E0871"/>
        <s v="E0872"/>
        <s v="E0873"/>
        <s v="E0874"/>
        <s v="E0875"/>
        <s v="E0876"/>
        <s v="E0877"/>
        <s v="E0878"/>
        <s v="E0879"/>
        <s v="E0880"/>
        <s v="E0881"/>
        <s v="E0882"/>
        <s v="E0883"/>
        <s v="E0884"/>
        <s v="E0885"/>
        <s v="E0886"/>
        <s v="E0887"/>
        <s v="E0888"/>
        <s v="E0889"/>
        <s v="E0890"/>
        <s v="E0891"/>
        <s v="E0892"/>
        <s v="E0893"/>
        <s v="E0894"/>
        <s v="E0895"/>
        <s v="E0896"/>
        <s v="E0897"/>
        <s v="E0898"/>
        <s v="E0899"/>
        <s v="E0900"/>
        <s v="E0901"/>
        <s v="E0902"/>
        <s v="E0903"/>
        <s v="E0904"/>
        <s v="E0905"/>
        <s v="E0906"/>
        <s v="E0907"/>
        <s v="E0908"/>
        <s v="E0909"/>
        <s v="E0910"/>
        <s v="E0911"/>
        <s v="E0912"/>
        <s v="E0913"/>
        <s v="E0914"/>
        <s v="E0915"/>
        <s v="E0916"/>
        <s v="E0917"/>
        <s v="E0918"/>
        <s v="E0919"/>
        <s v="E0920"/>
        <s v="E0921"/>
        <s v="E0922"/>
        <s v="E0923"/>
        <s v="E0924"/>
        <s v="E0925"/>
        <s v="E0926"/>
        <s v="E0927"/>
        <s v="E0928"/>
        <s v="E0929"/>
        <s v="E0930"/>
        <s v="E0931"/>
        <s v="E0932"/>
        <s v="E0933"/>
        <s v="E0934"/>
        <s v="E0935"/>
        <s v="E0936"/>
        <s v="E0937"/>
        <s v="E0938"/>
        <s v="E0939"/>
        <s v="E0940"/>
        <s v="E0941"/>
        <s v="E0942"/>
        <s v="E0943"/>
        <s v="E0944"/>
        <s v="E0945"/>
        <s v="E0946"/>
        <s v="E0947"/>
        <s v="E0948"/>
        <s v="E0949"/>
        <s v="E0950"/>
        <s v="E0951"/>
        <s v="E0952"/>
        <s v="E0953"/>
        <s v="E0954"/>
        <s v="E0955"/>
        <s v="E0956"/>
        <s v="E0957"/>
        <s v="E0958"/>
        <s v="E0959"/>
        <s v="E0960"/>
        <s v="E0961"/>
        <s v="E0962"/>
        <s v="E0963"/>
        <s v="E0964"/>
        <s v="E0965"/>
        <s v="E0966"/>
        <s v="E0967"/>
        <s v="E0968"/>
        <s v="E0969"/>
        <s v="E0970"/>
        <s v="E0971"/>
        <s v="E0972"/>
        <s v="E0973"/>
        <s v="E0974"/>
        <s v="E0975"/>
        <s v="E0976"/>
        <s v="E0977"/>
        <s v="E0978"/>
        <s v="E0979"/>
        <s v="E0980"/>
        <s v="E0981"/>
        <s v="E0982"/>
        <s v="E0983"/>
        <s v="E0984"/>
        <s v="E0985"/>
        <s v="E0986"/>
        <s v="E0987"/>
        <s v="E0988"/>
        <s v="E0989"/>
        <s v="E0990"/>
        <s v="E0991"/>
        <s v="E0992"/>
        <s v="E0993"/>
        <s v="E0994"/>
        <s v="E0995"/>
        <s v="E0996"/>
        <s v="E0997"/>
        <s v="E0998"/>
        <s v="E0999"/>
        <s v="E1000"/>
      </sharedItems>
    </cacheField>
    <cacheField name="full_name" numFmtId="0">
      <sharedItems count="579">
        <s v="Lamia Talukder"/>
        <s v="Ayesha Hasan"/>
        <s v="Sajid Rasheed"/>
        <s v="Shawon Rana"/>
        <s v="Zahid Morshed"/>
        <s v="Rashed Uddin"/>
        <s v="Karim Islam"/>
        <s v="Imran Ferdous"/>
        <s v="Ayesha Biswas"/>
        <s v="Mitu Haider"/>
        <s v="Lamia Ferdous"/>
        <s v="Sumaiya Parvin"/>
        <s v="Priya Mahmud"/>
        <s v="Sumaiya Sultana"/>
        <s v="Tania Anjum"/>
        <s v="Rashed Sadiq"/>
        <s v="Tasnim Sharmin"/>
        <s v="Noman Biswas"/>
        <s v="Nabila Rahman"/>
        <s v="Imran Kabir"/>
        <s v="Karim Banu"/>
        <s v="Tamanna Sarker"/>
        <s v="Arif Akter"/>
        <s v="Esha Miah"/>
        <s v="Fahim Amin"/>
        <s v="Tasnim Chowdhury"/>
        <s v="Tania Uddin"/>
        <s v="Rashed Rahman"/>
        <s v="Sadia Hasan"/>
        <s v="Zahid Hossain"/>
        <s v="Rafi Amin"/>
        <s v="Ayesha Rana"/>
        <s v="Jannat Morshed"/>
        <s v="Mahin Islam"/>
        <s v="Fahim Biswas"/>
        <s v="Zahid Banu"/>
        <s v="Shawon Anjum"/>
        <s v="Mahin Miah"/>
        <s v="Sadia Biswas"/>
        <s v="Shafiq Sadiq"/>
        <s v="Noman Khan"/>
        <s v="Esha Amin"/>
        <s v="Ovi Islam"/>
        <s v="Fahim Jahan"/>
        <s v="Rahim Akter"/>
        <s v="Mitu Sharmin"/>
        <s v="Noman Amin"/>
        <s v="Tania Ahmed"/>
        <s v="Tasnim Shah"/>
        <s v="Rahim Rasheed"/>
        <s v="Noman Sultana"/>
        <s v="Noman Hossain"/>
        <s v="Shawon Akter"/>
        <s v="Tamanna Rahman"/>
        <s v="Tania Amin"/>
        <s v="Sadia Rasheed"/>
        <s v="Shawon Miah"/>
        <s v="Ayesha Parvin"/>
        <s v="Sadia Miah"/>
        <s v="Nafiz Morshed"/>
        <s v="Fahim Hasan"/>
        <s v="Tasnim Alam"/>
        <s v="Lamia Biswas"/>
        <s v="Sadia Akter"/>
        <s v="Ovi Khan"/>
        <s v="Imran Islam"/>
        <s v="Sumaiya Alam"/>
        <s v="Priya Talukder"/>
        <s v="Mahin Khan"/>
        <s v="Fahim Talukder"/>
        <s v="Arif Talukder"/>
        <s v="Shawon Alam"/>
        <s v="Shafiq Sharmin"/>
        <s v="Rashed Miah"/>
        <s v="Sajid Sarker"/>
        <s v="Sumaiya Hossain"/>
        <s v="Tasnim Sultana"/>
        <s v="Tamanna Biswas"/>
        <s v="Lamia Akter"/>
        <s v="Rahim Islam"/>
        <s v="Ayesha Banu"/>
        <s v="Tamanna Rasheed"/>
        <s v="Rahim Khan"/>
        <s v="Mitu Rahman"/>
        <s v="Karim Kabir"/>
        <s v="Mitu Chowdhury"/>
        <s v="Nabila Sultana"/>
        <s v="Tamanna Parvin"/>
        <s v="Nafiz Ferdous"/>
        <s v="Nabila Sharmin"/>
        <s v="Rafi Sultana"/>
        <s v="Arif Miah"/>
        <s v="Shawon Ferdous"/>
        <s v="Fahim Sharmin"/>
        <s v="Rashed Talukder"/>
        <s v="Karim Shah"/>
        <s v="Sadia Sadiq"/>
        <s v="Rafi Parvin"/>
        <s v="Shafiq Hossain"/>
        <s v="Esha Rana"/>
        <s v="Zahid Sharmin"/>
        <s v="Rafi Khan"/>
        <s v="Rafi Miah"/>
        <s v="Ovi Haider"/>
        <s v="Nabila Sadiq"/>
        <s v="Rafi Banu"/>
        <s v="Nadia Sarker"/>
        <s v="Shafiq Anjum"/>
        <s v="Tamanna Sultana"/>
        <s v="Imran Shah"/>
        <s v="Arif Mahmud"/>
        <s v="Sumaiya Sharmin"/>
        <s v="Zahid Rasheed"/>
        <s v="Noman Morshed"/>
        <s v="Jannat Ahmed"/>
        <s v="Jannat Akter"/>
        <s v="Noman Chowdhury"/>
        <s v="Tasnim Sadiq"/>
        <s v="Arif Sultana"/>
        <s v="Sajid Islam"/>
        <s v="Mitu Ferdous"/>
        <s v="Nabila Rana"/>
        <s v="Tania Biswas"/>
        <s v="Lamia Haider"/>
        <s v="Karim Rana"/>
        <s v="Tasnim Talukder"/>
        <s v="Rafi Mahmud"/>
        <s v="Sajid Kabir"/>
        <s v="Nadia Sultana"/>
        <s v="Nadia Talukder"/>
        <s v="Sumaiya Banu"/>
        <s v="Mitu Hossain"/>
        <s v="Shawon Hasan"/>
        <s v="Esha Sharmin"/>
        <s v="Rashed Kabir"/>
        <s v="Sajid Rana"/>
        <s v="Shawon Talukder"/>
        <s v="Nabila Sarker"/>
        <s v="Sumaiya Rasheed"/>
        <s v="Ovi Hossain"/>
        <s v="Shawon Shah"/>
        <s v="Nabila Parvin"/>
        <s v="Esha Banu"/>
        <s v="Tania Parvin"/>
        <s v="Priya Akter"/>
        <s v="Tania Ferdous"/>
        <s v="Rafi Chowdhury"/>
        <s v="Tasnim Mahmud"/>
        <s v="Karim Sultana"/>
        <s v="Tania Rasheed"/>
        <s v="Esha Sultana"/>
        <s v="Sadia Ferdous"/>
        <s v="Mitu Biswas"/>
        <s v="Jannat Haider"/>
        <s v="Ovi Rahman"/>
        <s v="Karim Hasan"/>
        <s v="Esha Islam"/>
        <s v="Tamanna Sadiq"/>
        <s v="Nafiz Rana"/>
        <s v="Ayesha Sadiq"/>
        <s v="Shafiq Rasheed"/>
        <s v="Shafiq Akter"/>
        <s v="Lamia Miah"/>
        <s v="Mitu Sultana"/>
        <s v="Sajid Akter"/>
        <s v="Ovi Morshed"/>
        <s v="Zahid Kabir"/>
        <s v="Nabila Shah"/>
        <s v="Arif Hossain"/>
        <s v="Sajid Ahmed"/>
        <s v="Priya Amin"/>
        <s v="Mitu Anjum"/>
        <s v="Tasnim Rahman"/>
        <s v="Arif Morshed"/>
        <s v="Lamia Rahman"/>
        <s v="Ayesha Sharmin"/>
        <s v="Arif Khan"/>
        <s v="Noman Miah"/>
        <s v="Noman Ahmed"/>
        <s v="Nadia Kabir"/>
        <s v="Shawon Sharmin"/>
        <s v="Mitu Mahmud"/>
        <s v="Mitu Kabir"/>
        <s v="Lamia Hasan"/>
        <s v="Ovi Chowdhury"/>
        <s v="Jannat Islam"/>
        <s v="Zahid Uddin"/>
        <s v="Esha Kabir"/>
        <s v="Shafiq Miah"/>
        <s v="Noman Rasheed"/>
        <s v="Shafiq Islam"/>
        <s v="Ayesha Hossain"/>
        <s v="Nafiz Ahmed"/>
        <s v="Shafiq Jahan"/>
        <s v="Tamanna Banu"/>
        <s v="Ovi Kabir"/>
        <s v="Shafiq Haider"/>
        <s v="Noman Akter"/>
        <s v="Tamanna Rana"/>
        <s v="Priya Chowdhury"/>
        <s v="Farhan Talukder"/>
        <s v="Esha Akter"/>
        <s v="Mitu Uddin"/>
        <s v="Nadia Chowdhury"/>
        <s v="Farhan Sultana"/>
        <s v="Jannat Anjum"/>
        <s v="Shawon Sarker"/>
        <s v="Nabila Amin"/>
        <s v="Zahid Talukder"/>
        <s v="Sajid Uddin"/>
        <s v="Rahim Rahman"/>
        <s v="Sajid Banu"/>
        <s v="Nabila Uddin"/>
        <s v="Jannat Sharmin"/>
        <s v="Shawon Jahan"/>
        <s v="Mahin Anjum"/>
        <s v="Imran Akter"/>
        <s v="Mahin Hossain"/>
        <s v="Mahin Morshed"/>
        <s v="Priya Hossain"/>
        <s v="Nadia Banu"/>
        <s v="Nafiz Jahan"/>
        <s v="Ovi Rasheed"/>
        <s v="Karim Rasheed"/>
        <s v="Nafiz Talukder"/>
        <s v="Rashed Parvin"/>
        <s v="Rahim Morshed"/>
        <s v="Sadia Ahmed"/>
        <s v="Jannat Parvin"/>
        <s v="Shawon Biswas"/>
        <s v="Farhan Uddin"/>
        <s v="Rahim Sharmin"/>
        <s v="Zahid Sultana"/>
        <s v="Sajid Alam"/>
        <s v="Rahim Haider"/>
        <s v="Tasnim Rana"/>
        <s v="Shawon Sultana"/>
        <s v="Ayesha Miah"/>
        <s v="Jannat Hossain"/>
        <s v="Shafiq Amin"/>
        <s v="Karim Anjum"/>
        <s v="Rashed Alam"/>
        <s v="Priya Alam"/>
        <s v="Imran Anjum"/>
        <s v="Imran Ahmed"/>
        <s v="Shawon Khan"/>
        <s v="Zahid Parvin"/>
        <s v="Shawon Islam"/>
        <s v="Ovi Akter"/>
        <s v="Arif Rana"/>
        <s v="Rashed Sharmin"/>
        <s v="Sumaiya Rana"/>
        <s v="Rahim Biswas"/>
        <s v="Priya Shah"/>
        <s v="Sadia Kabir"/>
        <s v="Sadia Mahmud"/>
        <s v="Nadia Rasheed"/>
        <s v="Rafi Jahan"/>
        <s v="Nafiz Chowdhury"/>
        <s v="Fahim Parvin"/>
        <s v="Arif Rahman"/>
        <s v="Nafiz Alam"/>
        <s v="Tania Rahman"/>
        <s v="Sumaiya Akter"/>
        <s v="Mitu Banu"/>
        <s v="Tasnim Banu"/>
        <s v="Shawon Sadiq"/>
        <s v="Nadia Mahmud"/>
        <s v="Ovi Sharmin"/>
        <s v="Farhan Ahmed"/>
        <s v="Rashed Akter"/>
        <s v="Mitu Rasheed"/>
        <s v="Shawon Amin"/>
        <s v="Tania Shah"/>
        <s v="Arif Anjum"/>
        <s v="Zahid Haider"/>
        <s v="Noman Alam"/>
        <s v="Imran Rana"/>
        <s v="Tania Alam"/>
        <s v="Nafiz Parvin"/>
        <s v="Mitu Akter"/>
        <s v="Shawon Rasheed"/>
        <s v="Sajid Sadiq"/>
        <s v="Nabila Chowdhury"/>
        <s v="Ayesha Rasheed"/>
        <s v="Ayesha Ferdous"/>
        <s v="Karim Ahmed"/>
        <s v="Farhan Khan"/>
        <s v="Arif Sarker"/>
        <s v="Imran Hasan"/>
        <s v="Rahim Ahmed"/>
        <s v="Rahim Sultana"/>
        <s v="Esha Hasan"/>
        <s v="Priya Haider"/>
        <s v="Tania Sharmin"/>
        <s v="Tania Hossain"/>
        <s v="Shafiq Mahmud"/>
        <s v="Ovi Sadiq"/>
        <s v="Tamanna Haider"/>
        <s v="Sumaiya Morshed"/>
        <s v="Tasnim Akter"/>
        <s v="Ovi Shah"/>
        <s v="Karim Haider"/>
        <s v="Rafi Shah"/>
        <s v="Imran Sadiq"/>
        <s v="Farhan Sharmin"/>
        <s v="Sumaiya Sadiq"/>
        <s v="Karim Alam"/>
        <s v="Sadia Rahman"/>
        <s v="Shawon Rahman"/>
        <s v="Imran Chowdhury"/>
        <s v="Rafi Hossain"/>
        <s v="Jannat Shah"/>
        <s v="Fahim Sultana"/>
        <s v="Nafiz Banu"/>
        <s v="Tania Islam"/>
        <s v="Lamia Sadiq"/>
        <s v="Farhan Hasan"/>
        <s v="Rafi Sharmin"/>
        <s v="Imran Khan"/>
        <s v="Rahim Hossain"/>
        <s v="Karim Parvin"/>
        <s v="Ayesha Morshed"/>
        <s v="Nafiz Haider"/>
        <s v="Ayesha Shah"/>
        <s v="Mitu Alam"/>
        <s v="Shawon Morshed"/>
        <s v="Mitu Parvin"/>
        <s v="Ayesha Amin"/>
        <s v="Jannat Banu"/>
        <s v="Farhan Mahmud"/>
        <s v="Noman Jahan"/>
        <s v="Sadia Rana"/>
        <s v="Rashed Hossain"/>
        <s v="Lamia Sarker"/>
        <s v="Ayesha Mahmud"/>
        <s v="Nabila Ferdous"/>
        <s v="Sadia Banu"/>
        <s v="Lamia Shah"/>
        <s v="Arif Biswas"/>
        <s v="Ovi Miah"/>
        <s v="Karim Uddin"/>
        <s v="Lamia Anjum"/>
        <s v="Shawon Hossain"/>
        <s v="Tasnim Haider"/>
        <s v="Fahim Chowdhury"/>
        <s v="Fahim Miah"/>
        <s v="Nabila Mahmud"/>
        <s v="Tamanna Khan"/>
        <s v="Nafiz Sharmin"/>
        <s v="Arif Banu"/>
        <s v="Karim Morshed"/>
        <s v="Nafiz Akter"/>
        <s v="Shafiq Rahman"/>
        <s v="Fahim Ahmed"/>
        <s v="Shawon Parvin"/>
        <s v="Nafiz Miah"/>
        <s v="Jannat Talukder"/>
        <s v="Rafi Ahmed"/>
        <s v="Rashed Jahan"/>
        <s v="Rahim Mahmud"/>
        <s v="Tania Hasan"/>
        <s v="Rashed Haider"/>
        <s v="Ovi Amin"/>
        <s v="Rafi Rasheed"/>
        <s v="Noman Anjum"/>
        <s v="Lamia Islam"/>
        <s v="Nadia Shah"/>
        <s v="Karim Rahman"/>
        <s v="Zahid Shah"/>
        <s v="Priya Rahman"/>
        <s v="Nadia Sharmin"/>
        <s v="Nafiz Islam"/>
        <s v="Ayesha Chowdhury"/>
        <s v="Nafiz Rahman"/>
        <s v="Tamanna Miah"/>
        <s v="Tania Akter"/>
        <s v="Esha Parvin"/>
        <s v="Karim Ferdous"/>
        <s v="Esha Khan"/>
        <s v="Tania Banu"/>
        <s v="Priya Rana"/>
        <s v="Priya Sarker"/>
        <s v="Fahim Kabir"/>
        <s v="Esha Jahan"/>
        <s v="Ovi Mahmud"/>
        <s v="Ovi Parvin"/>
        <s v="Rashed Hasan"/>
        <s v="Sajid Chowdhury"/>
        <s v="Farhan Chowdhury"/>
        <s v="Lamia Chowdhury"/>
        <s v="Rafi Sarker"/>
        <s v="Tania Rana"/>
        <s v="Noman Haider"/>
        <s v="Sadia Chowdhury"/>
        <s v="Ayesha Ahmed"/>
        <s v="Sumaiya Shah"/>
        <s v="Karim Sharmin"/>
        <s v="Rashed Rana"/>
        <s v="Nabila Islam"/>
        <s v="Fahim Islam"/>
        <s v="Mahin Akter"/>
        <s v="Farhan Sarker"/>
        <s v="Nabila Banu"/>
        <s v="Arif Kabir"/>
        <s v="Ayesha Talukder"/>
        <s v="Nadia Hasan"/>
        <s v="Tania Sultana"/>
        <s v="Sadia Talukder"/>
        <s v="Mahin Sarker"/>
        <s v="Rafi Sadiq"/>
        <s v="Nafiz Rasheed"/>
        <s v="Fahim Alam"/>
        <s v="Rahim Hasan"/>
        <s v="Noman Shah"/>
        <s v="Sumaiya Chowdhury"/>
        <s v="Nafiz Uddin"/>
        <s v="Tasnim Hasan"/>
        <s v="Farhan Alam"/>
        <s v="Rashed Morshed"/>
        <s v="Rashed Ahmed"/>
        <s v="Jannat Amin"/>
        <s v="Sajid Parvin"/>
        <s v="Shawon Kabir"/>
        <s v="Sadia Khan"/>
        <s v="Tania Sarker"/>
        <s v="Noman Hasan"/>
        <s v="Mitu Morshed"/>
        <s v="Nadia Hossain"/>
        <s v="Jannat Rahman"/>
        <s v="Tamanna Kabir"/>
        <s v="Shafiq Hasan"/>
        <s v="Sajid Rahman"/>
        <s v="Rafi Akter"/>
        <s v="Nadia Morshed"/>
        <s v="Priya Morshed"/>
        <s v="Farhan Anjum"/>
        <s v="Mahin Banu"/>
        <s v="Tamanna Shah"/>
        <s v="Tamanna Ahmed"/>
        <s v="Farhan Rahman"/>
        <s v="Rahim Banu"/>
        <s v="Mahin Rahman"/>
        <s v="Farhan Amin"/>
        <s v="Jannat Sarker"/>
        <s v="Karim Talukder"/>
        <s v="Nabila Jahan"/>
        <s v="Shafiq Uddin"/>
        <s v="Tasnim Sarker"/>
        <s v="Nafiz Hossain"/>
        <s v="Rafi Anjum"/>
        <s v="Sajid Jahan"/>
        <s v="Sadia Islam"/>
        <s v="Noman Sharmin"/>
        <s v="Rashed Anjum"/>
        <s v="Arif Haider"/>
        <s v="Karim Mahmud"/>
        <s v="Tamanna Sharmin"/>
        <s v="Rahim Miah"/>
        <s v="Farhan Sadiq"/>
        <s v="Imran Sharmin"/>
        <s v="Fahim Rana"/>
        <s v="Zahid Rahman"/>
        <s v="Mahin Shah"/>
        <s v="Ovi Uddin"/>
        <s v="Tania Mahmud"/>
        <s v="Arif Uddin"/>
        <s v="Sumaiya Haider"/>
        <s v="Lamia Sharmin"/>
        <s v="Lamia Khan"/>
        <s v="Sajid Anjum"/>
        <s v="Nabila Hasan"/>
        <s v="Sadia Jahan"/>
        <s v="Sadia Sarker"/>
        <s v="Shawon Uddin"/>
        <s v="Tamanna Alam"/>
        <s v="Mahin Rasheed"/>
        <s v="Mahin Amin"/>
        <s v="Lamia Rasheed"/>
        <s v="Esha Talukder"/>
        <s v="Tamanna Morshed"/>
        <s v="Tamanna Chowdhury"/>
        <s v="Tasnim Hossain"/>
        <s v="Tania Chowdhury"/>
        <s v="Mahin Haider"/>
        <s v="Farhan Rasheed"/>
        <s v="Shafiq Banu"/>
        <s v="Noman Rana"/>
        <s v="Nadia Ferdous"/>
        <s v="Sajid Biswas"/>
        <s v="Rashed Biswas"/>
        <s v="Mahin Ferdous"/>
        <s v="Sadia Anjum"/>
        <s v="Nabila Morshed"/>
        <s v="Ovi Rana"/>
        <s v="Shafiq Chowdhury"/>
        <s v="Nadia Khan"/>
        <s v="Rafi Alam"/>
        <s v="Arif Chowdhury"/>
        <s v="Ovi Biswas"/>
        <s v="Arif Islam"/>
        <s v="Ayesha Jahan"/>
        <s v="Lamia Amin"/>
        <s v="Shawon Haider"/>
        <s v="Nabila Miah"/>
        <s v="Shafiq Rana"/>
        <s v="Rafi Biswas"/>
        <s v="Nabila Khan"/>
        <s v="Shawon Banu"/>
        <s v="Tasnim Ahmed"/>
        <s v="Esha Sarker"/>
        <s v="Rafi Uddin"/>
        <s v="Karim Biswas"/>
        <s v="Nafiz Hasan"/>
        <s v="Sajid Amin"/>
        <s v="Nadia Rana"/>
        <s v="Zahid Sadiq"/>
        <s v="Mahin Mahmud"/>
        <s v="Fahim Banu"/>
        <s v="Rahim Shah"/>
        <s v="Mitu Islam"/>
        <s v="Nabila Anjum"/>
        <s v="Noman Talukder"/>
        <s v="Farhan Rana"/>
        <s v="Farhan Jahan"/>
        <s v="Shafiq Ferdous"/>
        <s v="Sajid Sultana"/>
        <s v="Mahin Biswas"/>
        <s v="Ayesha Kabir"/>
        <s v="Nafiz Shah"/>
        <s v="Sumaiya Talukder"/>
        <s v="Zahid Islam"/>
        <s v="Esha Mahmud"/>
        <s v="Esha Ferdous"/>
        <s v="Tasnim Ferdous"/>
        <s v="Sajid Miah"/>
        <s v="Nadia Ahmed"/>
        <s v="Shafiq Alam"/>
        <s v="Esha Haider"/>
        <s v="Jannat Khan"/>
        <s v="Nabila Haider"/>
        <s v="Tania Sadiq"/>
        <s v="Imran Banu"/>
        <s v="Arif Amin"/>
        <s v="Ayesha Anjum"/>
        <s v="Shafiq Biswas"/>
        <s v="Rafi Morshed"/>
        <s v="Rahim Alam"/>
        <s v="Tasnim Miah"/>
        <s v="Mahin Hasan"/>
        <s v="Sadia Haider"/>
        <s v="Esha Anjum"/>
        <s v="Tania Talukder"/>
        <s v="Ayesha Islam"/>
        <s v="Arif Sadiq"/>
        <s v="Jannat Kabir"/>
        <s v="Zahid Chowdhury"/>
        <s v="Tamanna Talukder"/>
        <s v="Priya Sharmin"/>
        <s v="Nabila Talukder"/>
        <s v="Rashed Khan"/>
        <s v="Farhan Akter"/>
        <s v="Shafiq Shah"/>
        <s v="Tasnim Islam"/>
        <s v="Rashed Rasheed"/>
        <s v="Mahin Parvin"/>
        <s v="Imran Rahman"/>
        <s v="Karim Miah"/>
        <s v="Ovi Ahmed"/>
        <s v="Tamanna Hasan"/>
        <s v="Arif Ahmed"/>
        <s v="Imran Parvin"/>
        <s v="Sumaiya Anjum"/>
        <s v="Mahin Sadiq"/>
        <s v="Nadia Amin"/>
        <s v="Sajid Hossain"/>
        <s v="Fahim Shah"/>
        <s v="Arif Sharmin"/>
        <s v="Esha Uddin"/>
      </sharedItems>
    </cacheField>
    <cacheField name="gender" numFmtId="0">
      <sharedItems count="4">
        <s v="Female"/>
        <s v="Male"/>
        <s v="Non-binary"/>
        <s v="Prefer not to say"/>
      </sharedItems>
    </cacheField>
    <cacheField name="department" numFmtId="0">
      <sharedItems count="8">
        <s v="Sales"/>
        <s v="Customer Success"/>
        <s v="Finance"/>
        <s v="HR"/>
        <s v="Engineering"/>
        <s v="Operations"/>
        <s v="Product"/>
        <s v="Marketing"/>
      </sharedItems>
    </cacheField>
    <cacheField name="job_title" numFmtId="0">
      <sharedItems count="33">
        <s v="Sales Associate"/>
        <s v="Support Specialist"/>
        <s v="Finance Manager"/>
        <s v="HR Business Partner"/>
        <s v="DevOps Engineer"/>
        <s v="QA Engineer"/>
        <s v="Operations Manager"/>
        <s v="HR Associate"/>
        <s v="Financial Analyst"/>
        <s v="Software Engineer"/>
        <s v="Customer Success Manager"/>
        <s v="Junior Software Engineer"/>
        <s v="Engineering Manager"/>
        <s v="Product Analyst"/>
        <s v="Growth Marketer"/>
        <s v="Sales Manager"/>
        <s v="Senior Product Manager"/>
        <s v="Supply Chain Analyst"/>
        <s v="SEO Specialist"/>
        <s v="Recruiter"/>
        <s v="Senior Software Engineer"/>
        <s v="Support Associate"/>
        <s v="Associate Product Manager"/>
        <s v="Accounts Executive"/>
        <s v="Account Executive"/>
        <s v="Marketing Associate"/>
        <s v="Marketing Manager"/>
        <s v="HR Manager"/>
        <s v="Senior Account Executive"/>
        <s v="Operations Associate"/>
        <s v="Senior Financial Analyst"/>
        <s v="Product Manager"/>
        <s v="Content Specialist"/>
      </sharedItems>
    </cacheField>
    <cacheField name="employment_type" numFmtId="0">
      <sharedItems count="3">
        <s v="Full-time"/>
        <s v="Intern"/>
        <s v="Contract"/>
      </sharedItems>
    </cacheField>
    <cacheField name="location" numFmtId="0">
      <sharedItems count="6">
        <s v="Khulna"/>
        <s v="Remote"/>
        <s v="Sylhet"/>
        <s v="Dhaka"/>
        <s v="Chattogram"/>
        <s v="Rajshahi"/>
      </sharedItems>
    </cacheField>
    <cacheField name="hire_date" numFmtId="183">
      <sharedItems containsSemiMixedTypes="0" containsString="0" containsNonDate="0" containsDate="1" minDate="2016-01-07T00:00:00" maxDate="2025-09-01T00:00:00" count="864">
        <d v="2017-02-10T00:00:00"/>
        <d v="2023-09-09T00:00:00"/>
        <d v="2020-02-13T00:00:00"/>
        <d v="2022-02-08T00:00:00"/>
        <d v="2023-03-26T00:00:00"/>
        <d v="2020-01-09T00:00:00"/>
        <d v="2016-09-05T00:00:00"/>
        <d v="2020-06-18T00:00:00"/>
        <d v="2019-02-04T00:00:00"/>
        <d v="2018-02-16T00:00:00"/>
        <d v="2017-05-15T00:00:00"/>
        <d v="2025-07-05T00:00:00"/>
        <d v="2025-03-29T00:00:00"/>
        <d v="2021-02-05T00:00:00"/>
        <d v="2017-01-10T00:00:00"/>
        <d v="2023-06-07T00:00:00"/>
        <d v="2018-05-18T00:00:00"/>
        <d v="2023-03-13T00:00:00"/>
        <d v="2023-03-04T00:00:00"/>
        <d v="2022-09-11T00:00:00"/>
        <d v="2016-03-28T00:00:00"/>
        <d v="2016-07-26T00:00:00"/>
        <d v="2024-10-27T00:00:00"/>
        <d v="2019-09-28T00:00:00"/>
        <d v="2018-09-24T00:00:00"/>
        <d v="2017-05-30T00:00:00"/>
        <d v="2024-10-28T00:00:00"/>
        <d v="2022-05-01T00:00:00"/>
        <d v="2018-04-20T00:00:00"/>
        <d v="2016-10-08T00:00:00"/>
        <d v="2025-04-21T00:00:00"/>
        <d v="2024-07-31T00:00:00"/>
        <d v="2022-03-20T00:00:00"/>
        <d v="2018-04-28T00:00:00"/>
        <d v="2022-07-29T00:00:00"/>
        <d v="2018-06-03T00:00:00"/>
        <d v="2025-02-12T00:00:00"/>
        <d v="2018-08-12T00:00:00"/>
        <d v="2019-09-07T00:00:00"/>
        <d v="2024-09-06T00:00:00"/>
        <d v="2017-08-27T00:00:00"/>
        <d v="2024-11-04T00:00:00"/>
        <d v="2022-09-07T00:00:00"/>
        <d v="2016-01-12T00:00:00"/>
        <d v="2019-02-09T00:00:00"/>
        <d v="2025-08-17T00:00:00"/>
        <d v="2017-08-15T00:00:00"/>
        <d v="2017-06-16T00:00:00"/>
        <d v="2022-01-21T00:00:00"/>
        <d v="2018-10-23T00:00:00"/>
        <d v="2024-12-14T00:00:00"/>
        <d v="2017-12-15T00:00:00"/>
        <d v="2017-03-26T00:00:00"/>
        <d v="2023-05-31T00:00:00"/>
        <d v="2016-04-15T00:00:00"/>
        <d v="2017-06-23T00:00:00"/>
        <d v="2016-03-01T00:00:00"/>
        <d v="2020-01-07T00:00:00"/>
        <d v="2024-11-09T00:00:00"/>
        <d v="2024-11-03T00:00:00"/>
        <d v="2018-09-01T00:00:00"/>
        <d v="2022-08-08T00:00:00"/>
        <d v="2019-08-19T00:00:00"/>
        <d v="2016-03-05T00:00:00"/>
        <d v="2017-12-14T00:00:00"/>
        <d v="2018-12-22T00:00:00"/>
        <d v="2016-08-02T00:00:00"/>
        <d v="2017-06-03T00:00:00"/>
        <d v="2024-04-26T00:00:00"/>
        <d v="2020-09-20T00:00:00"/>
        <d v="2021-11-24T00:00:00"/>
        <d v="2017-04-10T00:00:00"/>
        <d v="2024-05-12T00:00:00"/>
        <d v="2016-09-17T00:00:00"/>
        <d v="2021-05-04T00:00:00"/>
        <d v="2021-01-10T00:00:00"/>
        <d v="2024-09-21T00:00:00"/>
        <d v="2020-01-22T00:00:00"/>
        <d v="2021-10-03T00:00:00"/>
        <d v="2022-08-28T00:00:00"/>
        <d v="2017-03-22T00:00:00"/>
        <d v="2021-01-25T00:00:00"/>
        <d v="2021-08-25T00:00:00"/>
        <d v="2018-06-26T00:00:00"/>
        <d v="2022-11-24T00:00:00"/>
        <d v="2016-06-26T00:00:00"/>
        <d v="2024-02-26T00:00:00"/>
        <d v="2024-10-13T00:00:00"/>
        <d v="2023-05-22T00:00:00"/>
        <d v="2021-11-05T00:00:00"/>
        <d v="2019-05-20T00:00:00"/>
        <d v="2021-02-19T00:00:00"/>
        <d v="2023-03-20T00:00:00"/>
        <d v="2016-05-07T00:00:00"/>
        <d v="2016-09-06T00:00:00"/>
        <d v="2021-05-15T00:00:00"/>
        <d v="2025-07-02T00:00:00"/>
        <d v="2020-07-03T00:00:00"/>
        <d v="2020-10-12T00:00:00"/>
        <d v="2023-09-11T00:00:00"/>
        <d v="2017-03-18T00:00:00"/>
        <d v="2021-07-01T00:00:00"/>
        <d v="2023-12-27T00:00:00"/>
        <d v="2020-12-21T00:00:00"/>
        <d v="2016-10-28T00:00:00"/>
        <d v="2016-11-26T00:00:00"/>
        <d v="2019-08-12T00:00:00"/>
        <d v="2022-10-27T00:00:00"/>
        <d v="2017-08-30T00:00:00"/>
        <d v="2016-09-26T00:00:00"/>
        <d v="2017-05-31T00:00:00"/>
        <d v="2019-01-31T00:00:00"/>
        <d v="2023-01-01T00:00:00"/>
        <d v="2023-02-06T00:00:00"/>
        <d v="2022-07-25T00:00:00"/>
        <d v="2022-02-24T00:00:00"/>
        <d v="2023-12-26T00:00:00"/>
        <d v="2019-08-24T00:00:00"/>
        <d v="2020-04-09T00:00:00"/>
        <d v="2022-09-12T00:00:00"/>
        <d v="2021-12-13T00:00:00"/>
        <d v="2019-04-22T00:00:00"/>
        <d v="2021-02-01T00:00:00"/>
        <d v="2021-09-01T00:00:00"/>
        <d v="2022-10-15T00:00:00"/>
        <d v="2020-10-28T00:00:00"/>
        <d v="2024-11-22T00:00:00"/>
        <d v="2023-11-14T00:00:00"/>
        <d v="2017-04-13T00:00:00"/>
        <d v="2025-07-25T00:00:00"/>
        <d v="2023-05-05T00:00:00"/>
        <d v="2023-04-20T00:00:00"/>
        <d v="2024-08-15T00:00:00"/>
        <d v="2022-03-08T00:00:00"/>
        <d v="2024-01-31T00:00:00"/>
        <d v="2018-05-30T00:00:00"/>
        <d v="2020-10-27T00:00:00"/>
        <d v="2021-01-23T00:00:00"/>
        <d v="2018-07-24T00:00:00"/>
        <d v="2020-08-21T00:00:00"/>
        <d v="2019-10-20T00:00:00"/>
        <d v="2025-04-12T00:00:00"/>
        <d v="2021-01-31T00:00:00"/>
        <d v="2020-06-21T00:00:00"/>
        <d v="2020-08-30T00:00:00"/>
        <d v="2024-03-07T00:00:00"/>
        <d v="2017-01-24T00:00:00"/>
        <d v="2019-07-04T00:00:00"/>
        <d v="2020-10-14T00:00:00"/>
        <d v="2023-06-17T00:00:00"/>
        <d v="2018-11-10T00:00:00"/>
        <d v="2020-03-13T00:00:00"/>
        <d v="2017-09-17T00:00:00"/>
        <d v="2023-09-14T00:00:00"/>
        <d v="2021-04-26T00:00:00"/>
        <d v="2016-10-01T00:00:00"/>
        <d v="2017-01-08T00:00:00"/>
        <d v="2025-04-29T00:00:00"/>
        <d v="2016-12-15T00:00:00"/>
        <d v="2017-01-16T00:00:00"/>
        <d v="2020-11-03T00:00:00"/>
        <d v="2017-01-30T00:00:00"/>
        <d v="2024-05-07T00:00:00"/>
        <d v="2024-04-14T00:00:00"/>
        <d v="2020-03-06T00:00:00"/>
        <d v="2025-02-07T00:00:00"/>
        <d v="2022-03-28T00:00:00"/>
        <d v="2016-09-02T00:00:00"/>
        <d v="2022-07-30T00:00:00"/>
        <d v="2022-04-19T00:00:00"/>
        <d v="2019-09-12T00:00:00"/>
        <d v="2023-07-07T00:00:00"/>
        <d v="2020-08-09T00:00:00"/>
        <d v="2019-12-19T00:00:00"/>
        <d v="2023-06-18T00:00:00"/>
        <d v="2024-05-31T00:00:00"/>
        <d v="2020-09-28T00:00:00"/>
        <d v="2024-02-01T00:00:00"/>
        <d v="2016-07-29T00:00:00"/>
        <d v="2019-03-24T00:00:00"/>
        <d v="2022-09-25T00:00:00"/>
        <d v="2019-07-03T00:00:00"/>
        <d v="2019-12-11T00:00:00"/>
        <d v="2017-02-28T00:00:00"/>
        <d v="2022-06-25T00:00:00"/>
        <d v="2021-09-09T00:00:00"/>
        <d v="2018-05-21T00:00:00"/>
        <d v="2017-09-25T00:00:00"/>
        <d v="2023-05-13T00:00:00"/>
        <d v="2021-05-29T00:00:00"/>
        <d v="2018-07-07T00:00:00"/>
        <d v="2017-03-19T00:00:00"/>
        <d v="2019-12-05T00:00:00"/>
        <d v="2025-06-24T00:00:00"/>
        <d v="2020-02-14T00:00:00"/>
        <d v="2017-04-15T00:00:00"/>
        <d v="2024-07-20T00:00:00"/>
        <d v="2019-02-15T00:00:00"/>
        <d v="2022-06-09T00:00:00"/>
        <d v="2018-07-15T00:00:00"/>
        <d v="2025-01-19T00:00:00"/>
        <d v="2020-10-23T00:00:00"/>
        <d v="2025-06-23T00:00:00"/>
        <d v="2022-04-16T00:00:00"/>
        <d v="2024-08-09T00:00:00"/>
        <d v="2025-03-06T00:00:00"/>
        <d v="2022-12-21T00:00:00"/>
        <d v="2022-11-18T00:00:00"/>
        <d v="2023-07-27T00:00:00"/>
        <d v="2023-03-17T00:00:00"/>
        <d v="2022-03-30T00:00:00"/>
        <d v="2016-04-17T00:00:00"/>
        <d v="2022-10-30T00:00:00"/>
        <d v="2023-05-18T00:00:00"/>
        <d v="2025-04-20T00:00:00"/>
        <d v="2023-10-11T00:00:00"/>
        <d v="2018-12-31T00:00:00"/>
        <d v="2016-04-28T00:00:00"/>
        <d v="2018-01-08T00:00:00"/>
        <d v="2019-01-24T00:00:00"/>
        <d v="2023-11-18T00:00:00"/>
        <d v="2024-07-19T00:00:00"/>
        <d v="2019-06-19T00:00:00"/>
        <d v="2019-10-23T00:00:00"/>
        <d v="2019-12-08T00:00:00"/>
        <d v="2016-01-26T00:00:00"/>
        <d v="2018-01-13T00:00:00"/>
        <d v="2017-08-09T00:00:00"/>
        <d v="2022-05-08T00:00:00"/>
        <d v="2023-05-16T00:00:00"/>
        <d v="2020-06-29T00:00:00"/>
        <d v="2016-10-12T00:00:00"/>
        <d v="2017-08-04T00:00:00"/>
        <d v="2024-04-23T00:00:00"/>
        <d v="2016-05-05T00:00:00"/>
        <d v="2024-05-14T00:00:00"/>
        <d v="2021-12-12T00:00:00"/>
        <d v="2018-05-31T00:00:00"/>
        <d v="2020-03-20T00:00:00"/>
        <d v="2020-09-15T00:00:00"/>
        <d v="2019-10-28T00:00:00"/>
        <d v="2017-10-06T00:00:00"/>
        <d v="2020-02-24T00:00:00"/>
        <d v="2019-06-30T00:00:00"/>
        <d v="2024-02-03T00:00:00"/>
        <d v="2019-08-21T00:00:00"/>
        <d v="2024-09-16T00:00:00"/>
        <d v="2022-05-13T00:00:00"/>
        <d v="2022-09-08T00:00:00"/>
        <d v="2016-12-13T00:00:00"/>
        <d v="2016-08-03T00:00:00"/>
        <d v="2017-09-29T00:00:00"/>
        <d v="2024-06-17T00:00:00"/>
        <d v="2022-12-05T00:00:00"/>
        <d v="2016-07-22T00:00:00"/>
        <d v="2023-07-23T00:00:00"/>
        <d v="2016-11-30T00:00:00"/>
        <d v="2019-01-19T00:00:00"/>
        <d v="2020-12-19T00:00:00"/>
        <d v="2023-06-04T00:00:00"/>
        <d v="2020-10-02T00:00:00"/>
        <d v="2021-06-12T00:00:00"/>
        <d v="2022-10-22T00:00:00"/>
        <d v="2020-12-15T00:00:00"/>
        <d v="2020-08-23T00:00:00"/>
        <d v="2019-01-23T00:00:00"/>
        <d v="2018-06-01T00:00:00"/>
        <d v="2024-06-19T00:00:00"/>
        <d v="2021-09-29T00:00:00"/>
        <d v="2017-04-11T00:00:00"/>
        <d v="2019-11-14T00:00:00"/>
        <d v="2020-10-26T00:00:00"/>
        <d v="2017-03-30T00:00:00"/>
        <d v="2019-03-06T00:00:00"/>
        <d v="2023-08-09T00:00:00"/>
        <d v="2023-08-11T00:00:00"/>
        <d v="2022-08-26T00:00:00"/>
        <d v="2021-06-16T00:00:00"/>
        <d v="2021-11-28T00:00:00"/>
        <d v="2023-06-25T00:00:00"/>
        <d v="2019-06-17T00:00:00"/>
        <d v="2016-07-05T00:00:00"/>
        <d v="2018-06-22T00:00:00"/>
        <d v="2020-06-06T00:00:00"/>
        <d v="2022-09-20T00:00:00"/>
        <d v="2016-08-12T00:00:00"/>
        <d v="2016-02-01T00:00:00"/>
        <d v="2018-04-17T00:00:00"/>
        <d v="2019-05-19T00:00:00"/>
        <d v="2018-05-15T00:00:00"/>
        <d v="2017-07-16T00:00:00"/>
        <d v="2024-07-27T00:00:00"/>
        <d v="2018-11-12T00:00:00"/>
        <d v="2019-03-31T00:00:00"/>
        <d v="2019-09-05T00:00:00"/>
        <d v="2017-05-06T00:00:00"/>
        <d v="2021-07-30T00:00:00"/>
        <d v="2024-05-17T00:00:00"/>
        <d v="2020-10-29T00:00:00"/>
        <d v="2017-12-20T00:00:00"/>
        <d v="2017-06-13T00:00:00"/>
        <d v="2020-04-06T00:00:00"/>
        <d v="2021-12-21T00:00:00"/>
        <d v="2023-11-22T00:00:00"/>
        <d v="2018-07-31T00:00:00"/>
        <d v="2021-08-11T00:00:00"/>
        <d v="2022-04-07T00:00:00"/>
        <d v="2025-05-06T00:00:00"/>
        <d v="2023-06-29T00:00:00"/>
        <d v="2025-01-15T00:00:00"/>
        <d v="2019-12-21T00:00:00"/>
        <d v="2016-10-22T00:00:00"/>
        <d v="2020-06-14T00:00:00"/>
        <d v="2025-08-30T00:00:00"/>
        <d v="2024-04-27T00:00:00"/>
        <d v="2016-06-22T00:00:00"/>
        <d v="2020-11-21T00:00:00"/>
        <d v="2016-03-17T00:00:00"/>
        <d v="2021-02-26T00:00:00"/>
        <d v="2016-11-14T00:00:00"/>
        <d v="2025-09-01T00:00:00"/>
        <d v="2019-07-06T00:00:00"/>
        <d v="2022-06-16T00:00:00"/>
        <d v="2020-10-24T00:00:00"/>
        <d v="2022-06-06T00:00:00"/>
        <d v="2020-07-14T00:00:00"/>
        <d v="2023-12-16T00:00:00"/>
        <d v="2023-03-07T00:00:00"/>
        <d v="2020-09-06T00:00:00"/>
        <d v="2017-04-16T00:00:00"/>
        <d v="2020-07-17T00:00:00"/>
        <d v="2016-03-26T00:00:00"/>
        <d v="2019-08-23T00:00:00"/>
        <d v="2017-12-04T00:00:00"/>
        <d v="2024-12-26T00:00:00"/>
        <d v="2022-12-06T00:00:00"/>
        <d v="2021-02-27T00:00:00"/>
        <d v="2025-04-30T00:00:00"/>
        <d v="2023-09-25T00:00:00"/>
        <d v="2016-12-26T00:00:00"/>
        <d v="2020-11-23T00:00:00"/>
        <d v="2025-06-21T00:00:00"/>
        <d v="2017-03-09T00:00:00"/>
        <d v="2018-09-23T00:00:00"/>
        <d v="2020-11-19T00:00:00"/>
        <d v="2022-08-09T00:00:00"/>
        <d v="2020-06-28T00:00:00"/>
        <d v="2021-11-16T00:00:00"/>
        <d v="2016-11-18T00:00:00"/>
        <d v="2020-06-09T00:00:00"/>
        <d v="2019-06-24T00:00:00"/>
        <d v="2019-10-22T00:00:00"/>
        <d v="2019-09-26T00:00:00"/>
        <d v="2024-09-26T00:00:00"/>
        <d v="2017-11-19T00:00:00"/>
        <d v="2016-11-08T00:00:00"/>
        <d v="2021-09-21T00:00:00"/>
        <d v="2017-04-12T00:00:00"/>
        <d v="2021-09-19T00:00:00"/>
        <d v="2018-03-05T00:00:00"/>
        <d v="2024-09-14T00:00:00"/>
        <d v="2019-12-02T00:00:00"/>
        <d v="2019-12-09T00:00:00"/>
        <d v="2024-02-27T00:00:00"/>
        <d v="2025-03-08T00:00:00"/>
        <d v="2023-03-28T00:00:00"/>
        <d v="2025-02-20T00:00:00"/>
        <d v="2018-08-25T00:00:00"/>
        <d v="2017-02-25T00:00:00"/>
        <d v="2017-08-22T00:00:00"/>
        <d v="2018-11-14T00:00:00"/>
        <d v="2018-03-19T00:00:00"/>
        <d v="2017-12-11T00:00:00"/>
        <d v="2022-10-03T00:00:00"/>
        <d v="2017-09-18T00:00:00"/>
        <d v="2024-07-10T00:00:00"/>
        <d v="2024-07-06T00:00:00"/>
        <d v="2023-05-08T00:00:00"/>
        <d v="2016-11-04T00:00:00"/>
        <d v="2017-12-26T00:00:00"/>
        <d v="2024-08-31T00:00:00"/>
        <d v="2023-01-16T00:00:00"/>
        <d v="2021-07-16T00:00:00"/>
        <d v="2021-03-15T00:00:00"/>
        <d v="2022-04-28T00:00:00"/>
        <d v="2024-07-09T00:00:00"/>
        <d v="2022-07-01T00:00:00"/>
        <d v="2021-01-12T00:00:00"/>
        <d v="2023-08-21T00:00:00"/>
        <d v="2023-03-18T00:00:00"/>
        <d v="2023-02-15T00:00:00"/>
        <d v="2023-01-02T00:00:00"/>
        <d v="2019-08-16T00:00:00"/>
        <d v="2023-01-13T00:00:00"/>
        <d v="2019-07-18T00:00:00"/>
        <d v="2017-09-10T00:00:00"/>
        <d v="2020-12-06T00:00:00"/>
        <d v="2016-10-06T00:00:00"/>
        <d v="2021-04-04T00:00:00"/>
        <d v="2020-12-16T00:00:00"/>
        <d v="2023-01-30T00:00:00"/>
        <d v="2019-05-25T00:00:00"/>
        <d v="2024-12-05T00:00:00"/>
        <d v="2019-01-30T00:00:00"/>
        <d v="2022-08-19T00:00:00"/>
        <d v="2016-08-18T00:00:00"/>
        <d v="2019-12-12T00:00:00"/>
        <d v="2016-10-30T00:00:00"/>
        <d v="2019-06-25T00:00:00"/>
        <d v="2021-03-06T00:00:00"/>
        <d v="2016-06-03T00:00:00"/>
        <d v="2016-08-21T00:00:00"/>
        <d v="2020-02-19T00:00:00"/>
        <d v="2019-03-21T00:00:00"/>
        <d v="2016-11-10T00:00:00"/>
        <d v="2023-03-25T00:00:00"/>
        <d v="2025-08-04T00:00:00"/>
        <d v="2017-01-04T00:00:00"/>
        <d v="2022-08-30T00:00:00"/>
        <d v="2021-09-07T00:00:00"/>
        <d v="2020-04-23T00:00:00"/>
        <d v="2021-03-10T00:00:00"/>
        <d v="2022-07-05T00:00:00"/>
        <d v="2024-11-17T00:00:00"/>
        <d v="2016-06-17T00:00:00"/>
        <d v="2021-01-16T00:00:00"/>
        <d v="2025-01-30T00:00:00"/>
        <d v="2022-05-30T00:00:00"/>
        <d v="2023-04-23T00:00:00"/>
        <d v="2018-02-10T00:00:00"/>
        <d v="2019-08-09T00:00:00"/>
        <d v="2022-10-14T00:00:00"/>
        <d v="2021-05-02T00:00:00"/>
        <d v="2021-08-15T00:00:00"/>
        <d v="2017-09-09T00:00:00"/>
        <d v="2016-09-10T00:00:00"/>
        <d v="2021-01-19T00:00:00"/>
        <d v="2017-02-27T00:00:00"/>
        <d v="2025-02-03T00:00:00"/>
        <d v="2025-05-22T00:00:00"/>
        <d v="2019-11-07T00:00:00"/>
        <d v="2024-01-04T00:00:00"/>
        <d v="2016-12-11T00:00:00"/>
        <d v="2021-08-28T00:00:00"/>
        <d v="2023-03-31T00:00:00"/>
        <d v="2017-12-07T00:00:00"/>
        <d v="2016-06-09T00:00:00"/>
        <d v="2018-10-11T00:00:00"/>
        <d v="2023-12-08T00:00:00"/>
        <d v="2020-11-28T00:00:00"/>
        <d v="2020-12-04T00:00:00"/>
        <d v="2021-11-11T00:00:00"/>
        <d v="2022-11-02T00:00:00"/>
        <d v="2017-10-12T00:00:00"/>
        <d v="2020-01-30T00:00:00"/>
        <d v="2020-03-07T00:00:00"/>
        <d v="2019-03-04T00:00:00"/>
        <d v="2020-05-05T00:00:00"/>
        <d v="2020-08-01T00:00:00"/>
        <d v="2024-09-07T00:00:00"/>
        <d v="2019-10-17T00:00:00"/>
        <d v="2023-08-12T00:00:00"/>
        <d v="2022-09-14T00:00:00"/>
        <d v="2024-11-06T00:00:00"/>
        <d v="2023-01-28T00:00:00"/>
        <d v="2023-04-05T00:00:00"/>
        <d v="2019-10-02T00:00:00"/>
        <d v="2017-01-22T00:00:00"/>
        <d v="2022-04-04T00:00:00"/>
        <d v="2023-08-10T00:00:00"/>
        <d v="2020-05-02T00:00:00"/>
        <d v="2019-03-09T00:00:00"/>
        <d v="2018-10-29T00:00:00"/>
        <d v="2024-02-12T00:00:00"/>
        <d v="2025-07-20T00:00:00"/>
        <d v="2022-10-04T00:00:00"/>
        <d v="2017-09-07T00:00:00"/>
        <d v="2019-09-27T00:00:00"/>
        <d v="2016-11-29T00:00:00"/>
        <d v="2022-07-14T00:00:00"/>
        <d v="2023-06-11T00:00:00"/>
        <d v="2017-08-02T00:00:00"/>
        <d v="2019-12-03T00:00:00"/>
        <d v="2023-05-11T00:00:00"/>
        <d v="2023-10-31T00:00:00"/>
        <d v="2023-06-05T00:00:00"/>
        <d v="2020-05-24T00:00:00"/>
        <d v="2017-06-12T00:00:00"/>
        <d v="2022-09-03T00:00:00"/>
        <d v="2023-12-13T00:00:00"/>
        <d v="2019-06-22T00:00:00"/>
        <d v="2022-04-08T00:00:00"/>
        <d v="2020-03-22T00:00:00"/>
        <d v="2024-11-16T00:00:00"/>
        <d v="2017-06-07T00:00:00"/>
        <d v="2025-04-18T00:00:00"/>
        <d v="2023-09-08T00:00:00"/>
        <d v="2021-11-26T00:00:00"/>
        <d v="2017-01-17T00:00:00"/>
        <d v="2023-07-09T00:00:00"/>
        <d v="2020-09-30T00:00:00"/>
        <d v="2021-09-13T00:00:00"/>
        <d v="2016-03-15T00:00:00"/>
        <d v="2020-01-25T00:00:00"/>
        <d v="2018-05-27T00:00:00"/>
        <d v="2019-10-31T00:00:00"/>
        <d v="2024-08-04T00:00:00"/>
        <d v="2021-06-14T00:00:00"/>
        <d v="2018-02-25T00:00:00"/>
        <d v="2018-07-16T00:00:00"/>
        <d v="2017-07-17T00:00:00"/>
        <d v="2017-09-26T00:00:00"/>
        <d v="2016-11-12T00:00:00"/>
        <d v="2019-04-26T00:00:00"/>
        <d v="2025-06-20T00:00:00"/>
        <d v="2024-11-02T00:00:00"/>
        <d v="2017-02-18T00:00:00"/>
        <d v="2021-09-10T00:00:00"/>
        <d v="2024-08-23T00:00:00"/>
        <d v="2022-01-19T00:00:00"/>
        <d v="2025-05-13T00:00:00"/>
        <d v="2024-04-13T00:00:00"/>
        <d v="2019-10-11T00:00:00"/>
        <d v="2017-06-20T00:00:00"/>
        <d v="2020-03-23T00:00:00"/>
        <d v="2017-09-23T00:00:00"/>
        <d v="2017-10-26T00:00:00"/>
        <d v="2018-01-10T00:00:00"/>
        <d v="2025-04-28T00:00:00"/>
        <d v="2023-10-08T00:00:00"/>
        <d v="2024-08-24T00:00:00"/>
        <d v="2025-01-26T00:00:00"/>
        <d v="2017-11-09T00:00:00"/>
        <d v="2020-11-27T00:00:00"/>
        <d v="2016-06-27T00:00:00"/>
        <d v="2020-02-01T00:00:00"/>
        <d v="2023-08-02T00:00:00"/>
        <d v="2024-01-26T00:00:00"/>
        <d v="2018-08-30T00:00:00"/>
        <d v="2020-12-24T00:00:00"/>
        <d v="2022-11-05T00:00:00"/>
        <d v="2019-03-13T00:00:00"/>
        <d v="2024-06-08T00:00:00"/>
        <d v="2024-05-24T00:00:00"/>
        <d v="2024-10-15T00:00:00"/>
        <d v="2018-08-16T00:00:00"/>
        <d v="2021-12-27T00:00:00"/>
        <d v="2018-09-06T00:00:00"/>
        <d v="2019-06-21T00:00:00"/>
        <d v="2025-01-25T00:00:00"/>
        <d v="2024-10-17T00:00:00"/>
        <d v="2021-04-05T00:00:00"/>
        <d v="2020-02-15T00:00:00"/>
        <d v="2022-05-25T00:00:00"/>
        <d v="2020-12-09T00:00:00"/>
        <d v="2024-08-17T00:00:00"/>
        <d v="2019-02-28T00:00:00"/>
        <d v="2024-09-22T00:00:00"/>
        <d v="2020-04-13T00:00:00"/>
        <d v="2021-08-21T00:00:00"/>
        <d v="2021-11-30T00:00:00"/>
        <d v="2020-09-10T00:00:00"/>
        <d v="2017-10-25T00:00:00"/>
        <d v="2025-02-27T00:00:00"/>
        <d v="2018-03-28T00:00:00"/>
        <d v="2024-12-25T00:00:00"/>
        <d v="2022-10-12T00:00:00"/>
        <d v="2017-07-20T00:00:00"/>
        <d v="2018-10-21T00:00:00"/>
        <d v="2016-08-01T00:00:00"/>
        <d v="2023-03-11T00:00:00"/>
        <d v="2021-05-22T00:00:00"/>
        <d v="2020-02-29T00:00:00"/>
        <d v="2022-03-21T00:00:00"/>
        <d v="2017-02-24T00:00:00"/>
        <d v="2023-12-23T00:00:00"/>
        <d v="2025-06-26T00:00:00"/>
        <d v="2021-10-14T00:00:00"/>
        <d v="2025-07-18T00:00:00"/>
        <d v="2017-05-25T00:00:00"/>
        <d v="2016-12-09T00:00:00"/>
        <d v="2024-07-22T00:00:00"/>
        <d v="2017-10-18T00:00:00"/>
        <d v="2019-01-22T00:00:00"/>
        <d v="2021-01-14T00:00:00"/>
        <d v="2017-08-26T00:00:00"/>
        <d v="2025-04-26T00:00:00"/>
        <d v="2020-11-26T00:00:00"/>
        <d v="2018-06-28T00:00:00"/>
        <d v="2021-01-21T00:00:00"/>
        <d v="2016-04-19T00:00:00"/>
        <d v="2020-08-26T00:00:00"/>
        <d v="2016-08-06T00:00:00"/>
        <d v="2020-06-11T00:00:00"/>
        <d v="2021-08-18T00:00:00"/>
        <d v="2020-03-11T00:00:00"/>
        <d v="2018-08-23T00:00:00"/>
        <d v="2020-04-30T00:00:00"/>
        <d v="2020-03-15T00:00:00"/>
        <d v="2018-07-08T00:00:00"/>
        <d v="2016-04-25T00:00:00"/>
        <d v="2019-07-29T00:00:00"/>
        <d v="2017-02-09T00:00:00"/>
        <d v="2025-05-30T00:00:00"/>
        <d v="2024-01-06T00:00:00"/>
        <d v="2023-04-16T00:00:00"/>
        <d v="2019-10-05T00:00:00"/>
        <d v="2024-11-15T00:00:00"/>
        <d v="2017-08-21T00:00:00"/>
        <d v="2016-06-05T00:00:00"/>
        <d v="2021-04-19T00:00:00"/>
        <d v="2023-10-22T00:00:00"/>
        <d v="2025-04-27T00:00:00"/>
        <d v="2017-07-22T00:00:00"/>
        <d v="2024-07-05T00:00:00"/>
        <d v="2023-11-29T00:00:00"/>
        <d v="2021-01-11T00:00:00"/>
        <d v="2022-11-25T00:00:00"/>
        <d v="2016-01-22T00:00:00"/>
        <d v="2016-11-20T00:00:00"/>
        <d v="2016-03-18T00:00:00"/>
        <d v="2018-06-02T00:00:00"/>
        <d v="2017-09-04T00:00:00"/>
        <d v="2022-02-25T00:00:00"/>
        <d v="2022-10-29T00:00:00"/>
        <d v="2021-12-01T00:00:00"/>
        <d v="2020-09-29T00:00:00"/>
        <d v="2017-03-31T00:00:00"/>
        <d v="2019-03-26T00:00:00"/>
        <d v="2018-08-31T00:00:00"/>
        <d v="2019-05-18T00:00:00"/>
        <d v="2017-05-14T00:00:00"/>
        <d v="2016-07-14T00:00:00"/>
        <d v="2018-09-03T00:00:00"/>
        <d v="2023-03-02T00:00:00"/>
        <d v="2024-11-25T00:00:00"/>
        <d v="2022-12-26T00:00:00"/>
        <d v="2021-02-15T00:00:00"/>
        <d v="2016-09-14T00:00:00"/>
        <d v="2025-05-20T00:00:00"/>
        <d v="2021-08-09T00:00:00"/>
        <d v="2022-09-10T00:00:00"/>
        <d v="2022-01-04T00:00:00"/>
        <d v="2016-03-08T00:00:00"/>
        <d v="2023-02-01T00:00:00"/>
        <d v="2021-10-11T00:00:00"/>
        <d v="2022-06-13T00:00:00"/>
        <d v="2018-09-17T00:00:00"/>
        <d v="2024-01-22T00:00:00"/>
        <d v="2017-08-11T00:00:00"/>
        <d v="2019-04-08T00:00:00"/>
        <d v="2016-01-07T00:00:00"/>
        <d v="2022-11-23T00:00:00"/>
        <d v="2019-12-16T00:00:00"/>
        <d v="2018-09-12T00:00:00"/>
        <d v="2022-05-26T00:00:00"/>
        <d v="2020-09-02T00:00:00"/>
        <d v="2018-02-06T00:00:00"/>
        <d v="2023-06-14T00:00:00"/>
        <d v="2023-06-30T00:00:00"/>
        <d v="2016-12-16T00:00:00"/>
        <d v="2021-11-14T00:00:00"/>
        <d v="2020-01-17T00:00:00"/>
        <d v="2016-10-04T00:00:00"/>
        <d v="2022-02-06T00:00:00"/>
        <d v="2024-10-26T00:00:00"/>
        <d v="2022-03-19T00:00:00"/>
        <d v="2016-03-24T00:00:00"/>
        <d v="2020-05-18T00:00:00"/>
        <d v="2021-04-09T00:00:00"/>
        <d v="2023-02-16T00:00:00"/>
        <d v="2020-05-03T00:00:00"/>
        <d v="2020-03-09T00:00:00"/>
        <d v="2018-11-04T00:00:00"/>
        <d v="2024-05-19T00:00:00"/>
        <d v="2016-03-07T00:00:00"/>
        <d v="2020-01-02T00:00:00"/>
        <d v="2016-10-03T00:00:00"/>
        <d v="2019-11-13T00:00:00"/>
        <d v="2018-09-14T00:00:00"/>
        <d v="2024-03-21T00:00:00"/>
        <d v="2023-05-15T00:00:00"/>
        <d v="2023-01-17T00:00:00"/>
        <d v="2024-08-26T00:00:00"/>
        <d v="2022-07-11T00:00:00"/>
        <d v="2024-03-30T00:00:00"/>
        <d v="2024-06-26T00:00:00"/>
        <d v="2019-09-23T00:00:00"/>
        <d v="2017-06-30T00:00:00"/>
        <d v="2016-06-30T00:00:00"/>
        <d v="2019-12-14T00:00:00"/>
        <d v="2022-02-14T00:00:00"/>
        <d v="2019-10-18T00:00:00"/>
        <d v="2025-02-14T00:00:00"/>
        <d v="2017-12-18T00:00:00"/>
        <d v="2025-04-24T00:00:00"/>
        <d v="2023-09-05T00:00:00"/>
        <d v="2021-03-18T00:00:00"/>
        <d v="2023-10-19T00:00:00"/>
        <d v="2021-05-14T00:00:00"/>
        <d v="2023-01-31T00:00:00"/>
        <d v="2018-01-16T00:00:00"/>
        <d v="2025-02-05T00:00:00"/>
        <d v="2017-07-06T00:00:00"/>
        <d v="2016-09-15T00:00:00"/>
        <d v="2024-01-11T00:00:00"/>
        <d v="2021-02-17T00:00:00"/>
        <d v="2016-05-31T00:00:00"/>
        <d v="2019-04-16T00:00:00"/>
        <d v="2018-04-05T00:00:00"/>
        <d v="2016-06-28T00:00:00"/>
        <d v="2024-11-14T00:00:00"/>
        <d v="2016-06-20T00:00:00"/>
        <d v="2019-07-16T00:00:00"/>
        <d v="2021-10-12T00:00:00"/>
        <d v="2020-06-19T00:00:00"/>
        <d v="2025-02-21T00:00:00"/>
        <d v="2022-02-02T00:00:00"/>
        <d v="2021-04-23T00:00:00"/>
        <d v="2018-11-03T00:00:00"/>
        <d v="2016-05-29T00:00:00"/>
        <d v="2024-06-12T00:00:00"/>
        <d v="2023-04-03T00:00:00"/>
        <d v="2018-02-21T00:00:00"/>
        <d v="2019-03-17T00:00:00"/>
        <d v="2024-10-03T00:00:00"/>
        <d v="2023-05-09T00:00:00"/>
        <d v="2019-09-21T00:00:00"/>
        <d v="2017-05-24T00:00:00"/>
        <d v="2024-12-18T00:00:00"/>
        <d v="2020-02-16T00:00:00"/>
        <d v="2020-11-24T00:00:00"/>
        <d v="2020-06-26T00:00:00"/>
        <d v="2024-05-02T00:00:00"/>
        <d v="2018-02-04T00:00:00"/>
        <d v="2021-07-25T00:00:00"/>
        <d v="2023-10-05T00:00:00"/>
        <d v="2024-12-09T00:00:00"/>
        <d v="2021-10-27T00:00:00"/>
        <d v="2018-12-28T00:00:00"/>
        <d v="2016-12-04T00:00:00"/>
        <d v="2020-10-04T00:00:00"/>
        <d v="2016-11-19T00:00:00"/>
        <d v="2025-03-22T00:00:00"/>
        <d v="2018-01-09T00:00:00"/>
        <d v="2022-02-12T00:00:00"/>
        <d v="2019-04-18T00:00:00"/>
        <d v="2019-08-08T00:00:00"/>
        <d v="2016-11-23T00:00:00"/>
        <d v="2019-04-25T00:00:00"/>
        <d v="2019-06-09T00:00:00"/>
        <d v="2020-12-31T00:00:00"/>
        <d v="2024-01-18T00:00:00"/>
        <d v="2020-10-11T00:00:00"/>
        <d v="2017-11-13T00:00:00"/>
        <d v="2023-09-26T00:00:00"/>
        <d v="2020-12-23T00:00:00"/>
        <d v="2019-12-10T00:00:00"/>
        <d v="2021-01-05T00:00:00"/>
        <d v="2024-02-25T00:00:00"/>
        <d v="2019-12-15T00:00:00"/>
        <d v="2020-11-16T00:00:00"/>
        <d v="2019-01-29T00:00:00"/>
        <d v="2016-08-22T00:00:00"/>
        <d v="2016-11-03T00:00:00"/>
        <d v="2023-07-12T00:00:00"/>
        <d v="2023-02-24T00:00:00"/>
        <d v="2020-07-21T00:00:00"/>
        <d v="2020-01-28T00:00:00"/>
        <d v="2021-10-02T00:00:00"/>
        <d v="2024-05-29T00:00:00"/>
        <d v="2023-08-14T00:00:00"/>
        <d v="2017-10-17T00:00:00"/>
        <d v="2017-08-07T00:00:00"/>
        <d v="2025-07-08T00:00:00"/>
        <d v="2022-10-24T00:00:00"/>
        <d v="2024-10-05T00:00:00"/>
        <d v="2020-11-29T00:00:00"/>
        <d v="2016-05-22T00:00:00"/>
        <d v="2017-06-01T00:00:00"/>
        <d v="2016-10-02T00:00:00"/>
        <d v="2018-08-24T00:00:00"/>
        <d v="2024-09-23T00:00:00"/>
        <d v="2023-03-27T00:00:00"/>
        <d v="2020-02-09T00:00:00"/>
        <d v="2020-01-23T00:00:00"/>
        <d v="2020-04-17T00:00:00"/>
        <d v="2022-05-12T00:00:00"/>
        <d v="2016-05-12T00:00:00"/>
        <d v="2017-09-20T00:00:00"/>
        <d v="2023-08-13T00:00:00"/>
        <d v="2020-02-28T00:00:00"/>
        <d v="2020-03-03T00:00:00"/>
        <d v="2022-06-08T00:00:00"/>
        <d v="2021-12-08T00:00:00"/>
        <d v="2020-02-12T00:00:00"/>
        <d v="2019-07-11T00:00:00"/>
        <d v="2023-04-14T00:00:00"/>
        <d v="2018-10-19T00:00:00"/>
        <d v="2017-04-09T00:00:00"/>
        <d v="2016-04-16T00:00:00"/>
        <d v="2024-04-01T00:00:00"/>
        <d v="2018-02-01T00:00:00"/>
        <d v="2021-08-06T00:00:00"/>
        <d v="2021-10-21T00:00:00"/>
        <d v="2020-05-04T00:00:00"/>
        <d v="2017-04-27T00:00:00"/>
        <d v="2018-12-08T00:00:00"/>
        <d v="2024-09-09T00:00:00"/>
        <d v="2018-12-02T00:00:00"/>
        <d v="2023-11-23T00:00:00"/>
        <d v="2021-01-01T00:00:00"/>
        <d v="2018-05-28T00:00:00"/>
        <d v="2022-11-11T00:00:00"/>
        <d v="2019-03-15T00:00:00"/>
        <d v="2023-10-13T00:00:00"/>
        <d v="2021-07-04T00:00:00"/>
        <d v="2018-03-30T00:00:00"/>
        <d v="2017-05-17T00:00:00"/>
        <d v="2017-07-09T00:00:00"/>
        <d v="2017-12-08T00:00:00"/>
        <d v="2023-12-31T00:00:00"/>
        <d v="2020-12-28T00:00:00"/>
        <d v="2016-12-25T00:00:00"/>
        <d v="2025-02-01T00:00:00"/>
        <d v="2023-08-25T00:00:00"/>
        <d v="2025-06-25T00:00:00"/>
        <d v="2019-08-02T00:00:00"/>
        <d v="2023-06-28T00:00:00"/>
        <d v="2019-11-24T00:00:00"/>
        <d v="2016-09-22T00:00:00"/>
        <d v="2022-03-02T00:00:00"/>
        <d v="2022-01-29T00:00:00"/>
        <d v="2019-04-04T00:00:00"/>
        <d v="2019-05-13T00:00:00"/>
        <d v="2025-07-19T00:00:00"/>
        <d v="2017-10-07T00:00:00"/>
        <d v="2023-12-25T00:00:00"/>
        <d v="2023-11-08T00:00:00"/>
        <d v="2023-02-25T00:00:00"/>
        <d v="2024-11-24T00:00:00"/>
        <d v="2020-01-20T00:00:00"/>
        <d v="2021-09-14T00:00:00"/>
        <d v="2017-05-12T00:00:00"/>
        <d v="2018-04-03T00:00:00"/>
        <d v="2024-11-18T00:00:00"/>
        <d v="2018-08-27T00:00:00"/>
        <d v="2024-11-11T00:00:00"/>
        <d v="2020-01-18T00:00:00"/>
        <d v="2022-06-02T00:00:00"/>
        <d v="2020-02-20T00:00:00"/>
        <d v="2021-03-29T00:00:00"/>
        <d v="2025-01-04T00:00:00"/>
        <d v="2022-03-09T00:00:00"/>
        <d v="2017-06-15T00:00:00"/>
        <d v="2016-12-19T00:00:00"/>
        <d v="2019-06-20T00:00:00"/>
        <d v="2024-01-15T00:00:00"/>
        <d v="2024-01-23T00:00:00"/>
        <d v="2021-11-23T00:00:00"/>
        <d v="2024-08-16T00:00:00"/>
        <d v="2020-08-04T00:00:00"/>
        <d v="2025-03-26T00:00:00"/>
        <d v="2022-06-12T00:00:00"/>
      </sharedItems>
    </cacheField>
    <cacheField name="monthly_salary_bdt" numFmtId="184">
      <sharedItems containsSemiMixedTypes="0" containsString="0" containsNumber="1" containsInteger="1" minValue="44753" maxValue="344942" count="999">
        <n v="97605"/>
        <n v="57499"/>
        <n v="136659"/>
        <n v="115085"/>
        <n v="164000"/>
        <n v="113810"/>
        <n v="148804"/>
        <n v="163417"/>
        <n v="59023"/>
        <n v="184800"/>
        <n v="76400"/>
        <n v="91466"/>
        <n v="144623"/>
        <n v="97343"/>
        <n v="221527"/>
        <n v="169776"/>
        <n v="227464"/>
        <n v="73216"/>
        <n v="116055"/>
        <n v="188711"/>
        <n v="63778"/>
        <n v="215065"/>
        <n v="122086"/>
        <n v="141478"/>
        <n v="131411"/>
        <n v="104751"/>
        <n v="218329"/>
        <n v="157690"/>
        <n v="141183"/>
        <n v="99920"/>
        <n v="78647"/>
        <n v="233085"/>
        <n v="153390"/>
        <n v="105962"/>
        <n v="116624"/>
        <n v="77427"/>
        <n v="317015"/>
        <n v="206071"/>
        <n v="132584"/>
        <n v="74566"/>
        <n v="164307"/>
        <n v="143885"/>
        <n v="151772"/>
        <n v="72635"/>
        <n v="228086"/>
        <n v="117000"/>
        <n v="104908"/>
        <n v="134577"/>
        <n v="211918"/>
        <n v="173897"/>
        <n v="121481"/>
        <n v="158063"/>
        <n v="173570"/>
        <n v="147590"/>
        <n v="138544"/>
        <n v="89940"/>
        <n v="209299"/>
        <n v="96715"/>
        <n v="165688"/>
        <n v="95553"/>
        <n v="225796"/>
        <n v="164207"/>
        <n v="157208"/>
        <n v="205545"/>
        <n v="331486"/>
        <n v="134863"/>
        <n v="96418"/>
        <n v="117217"/>
        <n v="119297"/>
        <n v="96180"/>
        <n v="69424"/>
        <n v="125767"/>
        <n v="171120"/>
        <n v="73342"/>
        <n v="126028"/>
        <n v="84403"/>
        <n v="58098"/>
        <n v="173927"/>
        <n v="149187"/>
        <n v="278581"/>
        <n v="75559"/>
        <n v="84502"/>
        <n v="152331"/>
        <n v="195944"/>
        <n v="268922"/>
        <n v="198013"/>
        <n v="266602"/>
        <n v="136974"/>
        <n v="127230"/>
        <n v="147356"/>
        <n v="161402"/>
        <n v="233536"/>
        <n v="257374"/>
        <n v="91158"/>
        <n v="106333"/>
        <n v="75235"/>
        <n v="60785"/>
        <n v="55786"/>
        <n v="134271"/>
        <n v="156178"/>
        <n v="131877"/>
        <n v="138408"/>
        <n v="253791"/>
        <n v="234882"/>
        <n v="171732"/>
        <n v="124374"/>
        <n v="180577"/>
        <n v="214709"/>
        <n v="272489"/>
        <n v="179920"/>
        <n v="274622"/>
        <n v="115486"/>
        <n v="47847"/>
        <n v="150407"/>
        <n v="75402"/>
        <n v="90308"/>
        <n v="93271"/>
        <n v="166489"/>
        <n v="127253"/>
        <n v="156698"/>
        <n v="105032"/>
        <n v="194473"/>
        <n v="223604"/>
        <n v="116353"/>
        <n v="323393"/>
        <n v="204089"/>
        <n v="115492"/>
        <n v="63509"/>
        <n v="150359"/>
        <n v="188137"/>
        <n v="180052"/>
        <n v="331014"/>
        <n v="150872"/>
        <n v="74066"/>
        <n v="71853"/>
        <n v="145378"/>
        <n v="80214"/>
        <n v="153114"/>
        <n v="107540"/>
        <n v="133736"/>
        <n v="193662"/>
        <n v="214124"/>
        <n v="160401"/>
        <n v="292950"/>
        <n v="156121"/>
        <n v="144739"/>
        <n v="66930"/>
        <n v="66367"/>
        <n v="125613"/>
        <n v="235298"/>
        <n v="90082"/>
        <n v="229275"/>
        <n v="122342"/>
        <n v="153272"/>
        <n v="76212"/>
        <n v="204194"/>
        <n v="163259"/>
        <n v="191622"/>
        <n v="254146"/>
        <n v="114415"/>
        <n v="190248"/>
        <n v="60029"/>
        <n v="132352"/>
        <n v="172506"/>
        <n v="112641"/>
        <n v="98319"/>
        <n v="184159"/>
        <n v="176571"/>
        <n v="109974"/>
        <n v="63596"/>
        <n v="164223"/>
        <n v="197542"/>
        <n v="124487"/>
        <n v="170924"/>
        <n v="89719"/>
        <n v="143847"/>
        <n v="129577"/>
        <n v="154566"/>
        <n v="168895"/>
        <n v="193255"/>
        <n v="195037"/>
        <n v="149426"/>
        <n v="99935"/>
        <n v="191513"/>
        <n v="147331"/>
        <n v="186702"/>
        <n v="76155"/>
        <n v="83898"/>
        <n v="80935"/>
        <n v="184157"/>
        <n v="174728"/>
        <n v="161761"/>
        <n v="101902"/>
        <n v="71442"/>
        <n v="56829"/>
        <n v="107371"/>
        <n v="225835"/>
        <n v="163677"/>
        <n v="81456"/>
        <n v="115471"/>
        <n v="147911"/>
        <n v="79321"/>
        <n v="78363"/>
        <n v="110723"/>
        <n v="63622"/>
        <n v="100219"/>
        <n v="90603"/>
        <n v="68932"/>
        <n v="200191"/>
        <n v="276214"/>
        <n v="91942"/>
        <n v="115210"/>
        <n v="60224"/>
        <n v="154511"/>
        <n v="217157"/>
        <n v="115743"/>
        <n v="86601"/>
        <n v="188835"/>
        <n v="72912"/>
        <n v="148023"/>
        <n v="186275"/>
        <n v="132900"/>
        <n v="197759"/>
        <n v="186825"/>
        <n v="238674"/>
        <n v="190351"/>
        <n v="85676"/>
        <n v="126090"/>
        <n v="132740"/>
        <n v="145727"/>
        <n v="201055"/>
        <n v="160791"/>
        <n v="112634"/>
        <n v="104145"/>
        <n v="125871"/>
        <n v="138097"/>
        <n v="137134"/>
        <n v="150761"/>
        <n v="199207"/>
        <n v="81364"/>
        <n v="139274"/>
        <n v="110145"/>
        <n v="96473"/>
        <n v="243473"/>
        <n v="117681"/>
        <n v="91573"/>
        <n v="108435"/>
        <n v="63968"/>
        <n v="86122"/>
        <n v="113140"/>
        <n v="210984"/>
        <n v="100793"/>
        <n v="100319"/>
        <n v="98081"/>
        <n v="163185"/>
        <n v="123657"/>
        <n v="118593"/>
        <n v="73943"/>
        <n v="139284"/>
        <n v="161928"/>
        <n v="107400"/>
        <n v="99598"/>
        <n v="81876"/>
        <n v="190900"/>
        <n v="92057"/>
        <n v="120976"/>
        <n v="86707"/>
        <n v="129733"/>
        <n v="83187"/>
        <n v="271250"/>
        <n v="115810"/>
        <n v="122316"/>
        <n v="183817"/>
        <n v="78062"/>
        <n v="139206"/>
        <n v="64953"/>
        <n v="90476"/>
        <n v="95485"/>
        <n v="90571"/>
        <n v="165934"/>
        <n v="144447"/>
        <n v="262569"/>
        <n v="177614"/>
        <n v="78609"/>
        <n v="90107"/>
        <n v="218934"/>
        <n v="66490"/>
        <n v="148675"/>
        <n v="198833"/>
        <n v="99645"/>
        <n v="110649"/>
        <n v="90407"/>
        <n v="86531"/>
        <n v="166965"/>
        <n v="220987"/>
        <n v="126321"/>
        <n v="142246"/>
        <n v="105719"/>
        <n v="65312"/>
        <n v="109499"/>
        <n v="195905"/>
        <n v="208862"/>
        <n v="81885"/>
        <n v="83292"/>
        <n v="119968"/>
        <n v="112609"/>
        <n v="88616"/>
        <n v="89011"/>
        <n v="61353"/>
        <n v="123846"/>
        <n v="173306"/>
        <n v="216411"/>
        <n v="254167"/>
        <n v="111527"/>
        <n v="116603"/>
        <n v="141544"/>
        <n v="178865"/>
        <n v="182959"/>
        <n v="96425"/>
        <n v="176119"/>
        <n v="70238"/>
        <n v="192123"/>
        <n v="159552"/>
        <n v="210429"/>
        <n v="144541"/>
        <n v="188550"/>
        <n v="116526"/>
        <n v="114641"/>
        <n v="133989"/>
        <n v="223179"/>
        <n v="111484"/>
        <n v="105193"/>
        <n v="220613"/>
        <n v="214751"/>
        <n v="166907"/>
        <n v="146147"/>
        <n v="75475"/>
        <n v="202663"/>
        <n v="59142"/>
        <n v="79373"/>
        <n v="70398"/>
        <n v="80395"/>
        <n v="177426"/>
        <n v="110823"/>
        <n v="220957"/>
        <n v="106259"/>
        <n v="126480"/>
        <n v="181290"/>
        <n v="235921"/>
        <n v="57356"/>
        <n v="132366"/>
        <n v="99779"/>
        <n v="107395"/>
        <n v="168443"/>
        <n v="284119"/>
        <n v="89306"/>
        <n v="150615"/>
        <n v="104105"/>
        <n v="44753"/>
        <n v="108200"/>
        <n v="173554"/>
        <n v="75264"/>
        <n v="147296"/>
        <n v="90486"/>
        <n v="126897"/>
        <n v="89410"/>
        <n v="100267"/>
        <n v="157989"/>
        <n v="153782"/>
        <n v="140850"/>
        <n v="166149"/>
        <n v="114574"/>
        <n v="214819"/>
        <n v="126300"/>
        <n v="145347"/>
        <n v="292121"/>
        <n v="137578"/>
        <n v="138211"/>
        <n v="86949"/>
        <n v="212485"/>
        <n v="106629"/>
        <n v="154672"/>
        <n v="97415"/>
        <n v="74721"/>
        <n v="117580"/>
        <n v="126200"/>
        <n v="199943"/>
        <n v="173688"/>
        <n v="114847"/>
        <n v="93598"/>
        <n v="115895"/>
        <n v="78604"/>
        <n v="131840"/>
        <n v="135229"/>
        <n v="181022"/>
        <n v="99838"/>
        <n v="143446"/>
        <n v="79711"/>
        <n v="209505"/>
        <n v="127752"/>
        <n v="175759"/>
        <n v="82536"/>
        <n v="97997"/>
        <n v="148933"/>
        <n v="161212"/>
        <n v="133746"/>
        <n v="154689"/>
        <n v="115869"/>
        <n v="66765"/>
        <n v="223811"/>
        <n v="232842"/>
        <n v="46051"/>
        <n v="67599"/>
        <n v="60095"/>
        <n v="74293"/>
        <n v="127508"/>
        <n v="151332"/>
        <n v="78808"/>
        <n v="169481"/>
        <n v="222667"/>
        <n v="126014"/>
        <n v="146117"/>
        <n v="174527"/>
        <n v="101593"/>
        <n v="203703"/>
        <n v="100685"/>
        <n v="64049"/>
        <n v="145409"/>
        <n v="264785"/>
        <n v="158586"/>
        <n v="114635"/>
        <n v="109027"/>
        <n v="78164"/>
        <n v="120831"/>
        <n v="120923"/>
        <n v="152132"/>
        <n v="229625"/>
        <n v="117618"/>
        <n v="169222"/>
        <n v="179843"/>
        <n v="158222"/>
        <n v="64675"/>
        <n v="82815"/>
        <n v="174886"/>
        <n v="194618"/>
        <n v="74103"/>
        <n v="121829"/>
        <n v="255433"/>
        <n v="193112"/>
        <n v="140602"/>
        <n v="82842"/>
        <n v="83584"/>
        <n v="263179"/>
        <n v="95636"/>
        <n v="70124"/>
        <n v="227832"/>
        <n v="197505"/>
        <n v="105291"/>
        <n v="135917"/>
        <n v="166740"/>
        <n v="182833"/>
        <n v="63724"/>
        <n v="173386"/>
        <n v="143282"/>
        <n v="173256"/>
        <n v="69789"/>
        <n v="255591"/>
        <n v="98291"/>
        <n v="276368"/>
        <n v="158145"/>
        <n v="150348"/>
        <n v="120126"/>
        <n v="184741"/>
        <n v="70447"/>
        <n v="97284"/>
        <n v="106133"/>
        <n v="174752"/>
        <n v="119233"/>
        <n v="72655"/>
        <n v="105709"/>
        <n v="180674"/>
        <n v="149123"/>
        <n v="93524"/>
        <n v="86132"/>
        <n v="76505"/>
        <n v="122625"/>
        <n v="93652"/>
        <n v="170512"/>
        <n v="66957"/>
        <n v="71348"/>
        <n v="123353"/>
        <n v="82823"/>
        <n v="244869"/>
        <n v="143367"/>
        <n v="202730"/>
        <n v="164041"/>
        <n v="92112"/>
        <n v="122792"/>
        <n v="63704"/>
        <n v="134281"/>
        <n v="78758"/>
        <n v="116802"/>
        <n v="119337"/>
        <n v="104488"/>
        <n v="131168"/>
        <n v="154602"/>
        <n v="126712"/>
        <n v="81788"/>
        <n v="91568"/>
        <n v="165555"/>
        <n v="112094"/>
        <n v="166948"/>
        <n v="65373"/>
        <n v="58569"/>
        <n v="157572"/>
        <n v="136343"/>
        <n v="151280"/>
        <n v="135072"/>
        <n v="94916"/>
        <n v="161279"/>
        <n v="117086"/>
        <n v="114723"/>
        <n v="93005"/>
        <n v="55063"/>
        <n v="60800"/>
        <n v="127247"/>
        <n v="135545"/>
        <n v="322943"/>
        <n v="168822"/>
        <n v="162991"/>
        <n v="55182"/>
        <n v="101249"/>
        <n v="139243"/>
        <n v="158489"/>
        <n v="80148"/>
        <n v="119007"/>
        <n v="131744"/>
        <n v="321281"/>
        <n v="113727"/>
        <n v="280400"/>
        <n v="102186"/>
        <n v="88171"/>
        <n v="271579"/>
        <n v="167921"/>
        <n v="132186"/>
        <n v="135670"/>
        <n v="144190"/>
        <n v="198074"/>
        <n v="140744"/>
        <n v="141122"/>
        <n v="157660"/>
        <n v="54791"/>
        <n v="144565"/>
        <n v="118399"/>
        <n v="96262"/>
        <n v="120796"/>
        <n v="239730"/>
        <n v="185256"/>
        <n v="253912"/>
        <n v="210488"/>
        <n v="155423"/>
        <n v="100233"/>
        <n v="211477"/>
        <n v="224909"/>
        <n v="238998"/>
        <n v="150971"/>
        <n v="211829"/>
        <n v="145287"/>
        <n v="58483"/>
        <n v="101081"/>
        <n v="89872"/>
        <n v="62383"/>
        <n v="139985"/>
        <n v="102751"/>
        <n v="59718"/>
        <n v="56617"/>
        <n v="78598"/>
        <n v="101482"/>
        <n v="75797"/>
        <n v="243494"/>
        <n v="86634"/>
        <n v="72541"/>
        <n v="156742"/>
        <n v="155431"/>
        <n v="205608"/>
        <n v="157460"/>
        <n v="144619"/>
        <n v="182892"/>
        <n v="171884"/>
        <n v="85557"/>
        <n v="125670"/>
        <n v="159972"/>
        <n v="141698"/>
        <n v="149831"/>
        <n v="186586"/>
        <n v="69151"/>
        <n v="104195"/>
        <n v="157968"/>
        <n v="198433"/>
        <n v="163236"/>
        <n v="148806"/>
        <n v="175181"/>
        <n v="153747"/>
        <n v="170491"/>
        <n v="177297"/>
        <n v="64256"/>
        <n v="171159"/>
        <n v="202406"/>
        <n v="153772"/>
        <n v="133813"/>
        <n v="228212"/>
        <n v="154087"/>
        <n v="99530"/>
        <n v="105296"/>
        <n v="76276"/>
        <n v="68846"/>
        <n v="124898"/>
        <n v="316684"/>
        <n v="104626"/>
        <n v="254832"/>
        <n v="235691"/>
        <n v="107528"/>
        <n v="125443"/>
        <n v="229318"/>
        <n v="69161"/>
        <n v="162546"/>
        <n v="113537"/>
        <n v="162823"/>
        <n v="156024"/>
        <n v="143628"/>
        <n v="250336"/>
        <n v="126833"/>
        <n v="98625"/>
        <n v="181577"/>
        <n v="264639"/>
        <n v="49291"/>
        <n v="128115"/>
        <n v="188148"/>
        <n v="138471"/>
        <n v="133251"/>
        <n v="229364"/>
        <n v="135297"/>
        <n v="215631"/>
        <n v="125647"/>
        <n v="129283"/>
        <n v="144222"/>
        <n v="98071"/>
        <n v="198142"/>
        <n v="143186"/>
        <n v="107440"/>
        <n v="139534"/>
        <n v="140432"/>
        <n v="163230"/>
        <n v="116495"/>
        <n v="129832"/>
        <n v="156323"/>
        <n v="284958"/>
        <n v="189635"/>
        <n v="101750"/>
        <n v="129219"/>
        <n v="223274"/>
        <n v="68587"/>
        <n v="140584"/>
        <n v="219962"/>
        <n v="115007"/>
        <n v="214063"/>
        <n v="185866"/>
        <n v="152869"/>
        <n v="98911"/>
        <n v="220530"/>
        <n v="173326"/>
        <n v="202760"/>
        <n v="163043"/>
        <n v="111351"/>
        <n v="226302"/>
        <n v="66924"/>
        <n v="105800"/>
        <n v="96400"/>
        <n v="108900"/>
        <n v="101913"/>
        <n v="87577"/>
        <n v="211968"/>
        <n v="201850"/>
        <n v="114025"/>
        <n v="121728"/>
        <n v="230250"/>
        <n v="145443"/>
        <n v="344942"/>
        <n v="230193"/>
        <n v="104109"/>
        <n v="123664"/>
        <n v="79430"/>
        <n v="156229"/>
        <n v="121916"/>
        <n v="208355"/>
        <n v="97862"/>
        <n v="130480"/>
        <n v="59947"/>
        <n v="296169"/>
        <n v="110392"/>
        <n v="234854"/>
        <n v="86771"/>
        <n v="152242"/>
        <n v="246659"/>
        <n v="176602"/>
        <n v="91420"/>
        <n v="117598"/>
        <n v="124911"/>
        <n v="171022"/>
        <n v="219044"/>
        <n v="112993"/>
        <n v="90401"/>
        <n v="74498"/>
        <n v="189759"/>
        <n v="93826"/>
        <n v="171523"/>
        <n v="89249"/>
        <n v="48538"/>
        <n v="122096"/>
        <n v="78350"/>
        <n v="109085"/>
        <n v="112504"/>
        <n v="140797"/>
        <n v="131619"/>
        <n v="173103"/>
        <n v="92825"/>
        <n v="290782"/>
        <n v="120139"/>
        <n v="144862"/>
        <n v="201682"/>
        <n v="197277"/>
        <n v="135986"/>
        <n v="56897"/>
        <n v="155461"/>
        <n v="67760"/>
        <n v="180002"/>
        <n v="134875"/>
        <n v="68992"/>
        <n v="154293"/>
        <n v="91470"/>
        <n v="179692"/>
        <n v="182793"/>
        <n v="125899"/>
        <n v="73942"/>
        <n v="264211"/>
        <n v="98638"/>
        <n v="154415"/>
        <n v="74270"/>
        <n v="64708"/>
        <n v="50950"/>
        <n v="251186"/>
        <n v="50074"/>
        <n v="98914"/>
        <n v="151850"/>
        <n v="150316"/>
        <n v="117567"/>
        <n v="101630"/>
        <n v="124782"/>
        <n v="62160"/>
        <n v="128604"/>
        <n v="138156"/>
        <n v="131666"/>
        <n v="181764"/>
        <n v="156370"/>
        <n v="154905"/>
        <n v="64730"/>
        <n v="198501"/>
        <n v="82662"/>
        <n v="148154"/>
        <n v="139764"/>
        <n v="280370"/>
        <n v="85715"/>
        <n v="149792"/>
        <n v="90066"/>
        <n v="209353"/>
        <n v="93583"/>
        <n v="273469"/>
        <n v="92989"/>
        <n v="191081"/>
        <n v="146560"/>
        <n v="151301"/>
        <n v="217008"/>
        <n v="134842"/>
        <n v="173458"/>
        <n v="163741"/>
        <n v="93910"/>
        <n v="129991"/>
        <n v="144722"/>
        <n v="112327"/>
        <n v="68406"/>
        <n v="187804"/>
        <n v="175256"/>
        <n v="149101"/>
        <n v="64223"/>
        <n v="103668"/>
        <n v="98984"/>
        <n v="96703"/>
        <n v="56576"/>
        <n v="160461"/>
        <n v="86429"/>
        <n v="121309"/>
        <n v="128635"/>
        <n v="135705"/>
        <n v="80489"/>
        <n v="101359"/>
        <n v="196965"/>
        <n v="87246"/>
        <n v="57975"/>
        <n v="148174"/>
        <n v="102328"/>
        <n v="76816"/>
        <n v="153074"/>
        <n v="120062"/>
        <n v="98793"/>
        <n v="62931"/>
        <n v="138080"/>
        <n v="113462"/>
        <n v="197390"/>
        <n v="152107"/>
        <n v="97743"/>
        <n v="134335"/>
        <n v="169541"/>
        <n v="138411"/>
        <n v="233575"/>
        <n v="77744"/>
        <n v="66009"/>
        <n v="163219"/>
        <n v="222625"/>
        <n v="286329"/>
        <n v="73250"/>
        <n v="261849"/>
        <n v="199928"/>
        <n v="292571"/>
        <n v="118097"/>
        <n v="162297"/>
        <n v="139606"/>
        <n v="112331"/>
        <n v="124819"/>
        <n v="164021"/>
        <n v="87187"/>
        <n v="176530"/>
        <n v="68510"/>
        <n v="221794"/>
        <n v="50021"/>
        <n v="192891"/>
        <n v="91390"/>
        <n v="171843"/>
        <n v="115083"/>
        <n v="57385"/>
        <n v="206117"/>
        <n v="237253"/>
        <n v="154315"/>
        <n v="198624"/>
        <n v="183621"/>
        <n v="119454"/>
        <n v="220349"/>
        <n v="106040"/>
        <n v="131677"/>
        <n v="190765"/>
        <n v="104645"/>
        <n v="224247"/>
        <n v="107673"/>
        <n v="164002"/>
        <n v="89730"/>
        <n v="196595"/>
        <n v="157668"/>
        <n v="92728"/>
        <n v="99636"/>
        <n v="162213"/>
        <n v="119877"/>
        <n v="182719"/>
        <n v="88094"/>
        <n v="290910"/>
        <n v="120440"/>
        <n v="282635"/>
        <n v="197092"/>
        <n v="59548"/>
        <n v="104355"/>
        <n v="170251"/>
        <n v="139832"/>
        <n v="266975"/>
        <n v="94532"/>
        <n v="143737"/>
        <n v="111594"/>
        <n v="114726"/>
        <n v="47603"/>
        <n v="210895"/>
        <n v="99615"/>
        <n v="132104"/>
        <n v="136774"/>
        <n v="103522"/>
        <n v="198114"/>
        <n v="161772"/>
        <n v="85586"/>
        <n v="106488"/>
        <n v="136448"/>
        <n v="52388"/>
        <n v="111622"/>
        <n v="92293"/>
        <n v="181738"/>
        <n v="146796"/>
        <n v="129546"/>
        <n v="89567"/>
        <n v="205212"/>
        <n v="129144"/>
        <n v="175765"/>
        <n v="69496"/>
        <n v="284203"/>
        <n v="150980"/>
        <n v="122176"/>
        <n v="241079"/>
        <n v="144906"/>
        <n v="109791"/>
        <n v="121425"/>
        <n v="88941"/>
        <n v="320505"/>
        <n v="103974"/>
        <n v="79692"/>
        <n v="224389"/>
        <n v="73928"/>
        <n v="69077"/>
        <n v="72855"/>
        <n v="123718"/>
        <n v="216552"/>
        <n v="89519"/>
        <n v="222698"/>
        <n v="105766"/>
        <n v="129868"/>
        <n v="169924"/>
        <n v="109277"/>
        <n v="85515"/>
        <n v="80134"/>
        <n v="124051"/>
        <n v="103259"/>
        <n v="126702"/>
        <n v="138106"/>
        <n v="159288"/>
        <n v="212363"/>
        <n v="131958"/>
        <n v="201934"/>
        <n v="113918"/>
        <n v="131275"/>
        <n v="96665"/>
        <n v="146827"/>
        <n v="188623"/>
        <n v="145234"/>
        <n v="92688"/>
        <n v="126711"/>
        <n v="116465"/>
        <n v="60918"/>
        <n v="58459"/>
        <n v="291785"/>
        <n v="166404"/>
        <n v="250368"/>
        <n v="161678"/>
        <n v="166372"/>
        <n v="202206"/>
        <n v="121015"/>
        <n v="102582"/>
        <n v="138102"/>
        <n v="122797"/>
        <n v="128328"/>
        <n v="74624"/>
        <n v="239646"/>
        <n v="142527"/>
        <n v="179296"/>
        <n v="186569"/>
        <n v="176225"/>
        <n v="119654"/>
        <n v="71564"/>
        <n v="143911"/>
        <n v="153176"/>
        <n v="260181"/>
        <n v="98827"/>
        <n v="189403"/>
        <n v="99341"/>
        <n v="191401"/>
        <n v="226360"/>
        <n v="153159"/>
        <n v="58321"/>
        <n v="125677"/>
        <n v="298647"/>
        <n v="318169"/>
        <n v="148986"/>
        <n v="164446"/>
        <n v="207869"/>
        <n v="101036"/>
        <n v="274370"/>
        <n v="203573"/>
        <n v="175386"/>
        <n v="183865"/>
        <n v="260780"/>
        <n v="70605"/>
        <n v="167288"/>
        <n v="131175"/>
        <n v="89756"/>
        <n v="150479"/>
        <n v="71076"/>
        <n v="108334"/>
      </sharedItems>
    </cacheField>
    <cacheField name="manager_id" numFmtId="0">
      <sharedItems containsBlank="1" count="237">
        <m/>
        <s v="E0890"/>
        <s v="E0990"/>
        <s v="E0982"/>
        <s v="E0741"/>
        <s v="E0775"/>
        <s v="E0102"/>
        <s v="E0646"/>
        <s v="E0314"/>
        <s v="E0380"/>
        <s v="E0648"/>
        <s v="E0816"/>
        <s v="E0396"/>
        <s v="E0270"/>
        <s v="E0123"/>
        <s v="E0783"/>
        <s v="E0893"/>
        <s v="E0917"/>
        <s v="E0777"/>
        <s v="E0665"/>
        <s v="E0190"/>
        <s v="E0989"/>
        <s v="E0756"/>
        <s v="E0161"/>
        <s v="E0755"/>
        <s v="E0356"/>
        <s v="E0630"/>
        <s v="E0699"/>
        <s v="E0709"/>
        <s v="E0938"/>
        <s v="E0865"/>
        <s v="E0701"/>
        <s v="E0849"/>
        <s v="E0251"/>
        <s v="E0141"/>
        <s v="E0736"/>
        <s v="E0186"/>
        <s v="E0025"/>
        <s v="E0456"/>
        <s v="E0927"/>
        <s v="E0592"/>
        <s v="E0383"/>
        <s v="E0742"/>
        <s v="E0425"/>
        <s v="E0728"/>
        <s v="E0580"/>
        <s v="E0184"/>
        <s v="E0839"/>
        <s v="E0453"/>
        <s v="E0980"/>
        <s v="E0797"/>
        <s v="E0782"/>
        <s v="E0831"/>
        <s v="E0179"/>
        <s v="E0065"/>
        <s v="E0159"/>
        <s v="E0109"/>
        <s v="E0428"/>
        <s v="E0239"/>
        <s v="E0008"/>
        <s v="E0045"/>
        <s v="E0657"/>
        <s v="E0278"/>
        <s v="E0617"/>
        <s v="E0063"/>
        <s v="E0310"/>
        <s v="E0172"/>
        <s v="E0420"/>
        <s v="E0404"/>
        <s v="E0196"/>
        <s v="E0330"/>
        <s v="E0197"/>
        <s v="E0684"/>
        <s v="E0672"/>
        <s v="E0663"/>
        <s v="E0855"/>
        <s v="E0774"/>
        <s v="E0828"/>
        <s v="E0861"/>
        <s v="E0500"/>
        <s v="E0080"/>
        <s v="E0156"/>
        <s v="E0881"/>
        <s v="E0780"/>
        <s v="E0150"/>
        <s v="E0037"/>
        <s v="E0585"/>
        <s v="E0979"/>
        <s v="E0407"/>
        <s v="E0016"/>
        <s v="E0061"/>
        <s v="E0357"/>
        <s v="E0103"/>
        <s v="E0081"/>
        <s v="E0024"/>
        <s v="E0554"/>
        <s v="E0132"/>
        <s v="E0956"/>
        <s v="E0682"/>
        <s v="E0012"/>
        <s v="E0560"/>
        <s v="E0416"/>
        <s v="E0907"/>
        <s v="E0152"/>
        <s v="E0656"/>
        <s v="E0181"/>
        <s v="E0909"/>
        <s v="E0574"/>
        <s v="E0229"/>
        <s v="E0686"/>
        <s v="E0249"/>
        <s v="E0972"/>
        <s v="E0595"/>
        <s v="E0866"/>
        <s v="E0198"/>
        <s v="E0719"/>
        <s v="E0963"/>
        <s v="E0624"/>
        <s v="E0639"/>
        <s v="E0565"/>
        <s v="E0389"/>
        <s v="E0912"/>
        <s v="E0469"/>
        <s v="E0085"/>
        <s v="E0520"/>
        <s v="E0533"/>
        <s v="E0602"/>
        <s v="E0488"/>
        <s v="E0511"/>
        <s v="E0241"/>
        <s v="E0538"/>
        <s v="E0365"/>
        <s v="E0049"/>
        <s v="E0543"/>
        <s v="E0243"/>
        <s v="E0882"/>
        <s v="E0936"/>
        <s v="E0852"/>
        <s v="E0448"/>
        <s v="E0244"/>
        <s v="E0167"/>
        <s v="E0762"/>
        <s v="E0019"/>
        <s v="E0121"/>
        <s v="E0054"/>
        <s v="E0688"/>
        <s v="E0642"/>
        <s v="E0166"/>
        <s v="E0528"/>
        <s v="E0122"/>
        <s v="E0976"/>
        <s v="E0965"/>
        <s v="E0716"/>
        <s v="E0210"/>
        <s v="E0376"/>
        <s v="E0801"/>
        <s v="E0618"/>
        <s v="E0144"/>
        <s v="E0368"/>
        <s v="E0845"/>
        <s v="E0334"/>
        <s v="E0749"/>
        <s v="E0668"/>
        <s v="E0075"/>
        <s v="E0772"/>
        <s v="E0991"/>
        <s v="E0871"/>
        <s v="E0465"/>
        <s v="E0335"/>
        <s v="E0231"/>
        <s v="E0870"/>
        <s v="E0371"/>
        <s v="E0467"/>
        <s v="E0968"/>
        <s v="E0237"/>
        <s v="E0745"/>
        <s v="E0226"/>
        <s v="E0874"/>
        <s v="E0479"/>
        <s v="E0513"/>
        <s v="E0812"/>
        <s v="E0954"/>
        <s v="E0545"/>
        <s v="E0387"/>
        <s v="E0361"/>
        <s v="E0472"/>
        <s v="E0518"/>
        <s v="E0221"/>
        <s v="E0913"/>
        <s v="E0089"/>
        <s v="E0349"/>
        <s v="E0649"/>
        <s v="E0323"/>
        <s v="E0670"/>
        <s v="E0449"/>
        <s v="E0997"/>
        <s v="E0635"/>
        <s v="E0023"/>
        <s v="E0158"/>
        <s v="E0242"/>
        <s v="E0640"/>
        <s v="E0559"/>
        <s v="E0273"/>
        <s v="E0214"/>
        <s v="E0445"/>
        <s v="E0224"/>
        <s v="E0104"/>
        <s v="E0142"/>
        <s v="E0897"/>
        <s v="E0111"/>
        <s v="E0053"/>
        <s v="E0055"/>
        <s v="E0351"/>
        <s v="E0470"/>
        <s v="E0062"/>
        <s v="E0955"/>
        <s v="E0051"/>
        <s v="E0013"/>
        <s v="E0551"/>
        <s v="E0664"/>
        <s v="E0687"/>
        <s v="E0441"/>
        <s v="E0003"/>
        <s v="E0272"/>
        <s v="E0786"/>
        <s v="E0522"/>
        <s v="E0225"/>
        <s v="E0426"/>
        <s v="E0325"/>
        <s v="E0199"/>
        <s v="E0125"/>
        <s v="E0302"/>
        <s v="E0757"/>
        <s v="E0880"/>
        <s v="E0262"/>
        <s v="E0481"/>
        <s v="E0306"/>
      </sharedItems>
    </cacheField>
    <cacheField name="Temporary column" numFmtId="0">
      <sharedItems count="1000">
        <s v="E0001Lamia TalukderFemaleSalesSales AssociateFull-timeKhulna4277697605Sylhet"/>
        <s v="E0002Ayesha HasanMaleCustomer SuccessSupport SpecialistInternKhulna4517857499E0890Sylhet"/>
        <s v="E0003Sajid RasheedMaleFinanceFinance ManagerFull-timeRemote43874136659E0990Sylhet"/>
        <s v="E0004Shawon RanaMaleHRHR Business PartnerFull-timeSylhet44600115085E0982Sylhet"/>
        <s v="E0005Zahid MorshedFemaleEngineeringDevOps EngineerFull-timeDhaka45011164000E0741Sylhet"/>
        <s v="E0006Rashed UddinFemaleEngineeringQA EngineerFull-timeDhaka43839113810E0775Sylhet"/>
        <s v="E0007Karim IslamFemaleEngineeringQA EngineerContractSylhet42618148804E0102Sylhet"/>
        <s v="E0008Imran FerdousMaleOperationsOperations ManagerFull-timeKhulna44000163417E0646Sylhet"/>
        <s v="E0009Ayesha BiswasMaleHRHR AssociateFull-timeDhaka4350059023E0314Sylhet"/>
        <s v="E0010Mitu HaiderMaleFinanceFinancial AnalystFull-timeChattogram43147184800E0380Sylhet"/>
        <s v="E0011Lamia FerdousMaleEngineeringSoftware EngineerInternRemote4287076400E0648Sylhet"/>
        <s v="E0012Sumaiya ParvinMaleCustomer SuccessCustomer Success ManagerFull-timeDhaka4584391466E0816Sylhet"/>
        <s v="E0013Priya MahmudMaleOperationsOperations ManagerContractKhulna45745144623E0396Sylhet"/>
        <s v="E0014Sumaiya SultanaMaleEngineeringJunior Software EngineerFull-timeKhulna4423297343E0270Sylhet"/>
        <s v="E0015Tania AnjumFemaleEngineeringQA EngineerFull-timeDhaka42745221527E0123Sylhet"/>
        <s v="E0016Rashed SadiqMaleEngineeringEngineering ManagerFull-timeRemote45084169776E0648Sylhet"/>
        <s v="E0017Tasnim SharminMaleProductProduct AnalystFull-timeDhaka43238227464E0783Sylhet"/>
        <s v="E0018Noman BiswasFemaleMarketingGrowth MarketerFull-timeRajshahi4499873216E0893Sylhet"/>
        <s v="E0019Nabila RahmanFemaleSalesSales ManagerFull-timeDhaka44989116055E0917Sylhet"/>
        <s v="E0020Imran KabirMaleProductProduct AnalystFull-timeRajshahi44815188711E0777Sylhet"/>
        <s v="E0021Karim BanuFemaleHRHR Business PartnerContractSylhet4245763778E0665Sylhet"/>
        <s v="E0022Tamanna SarkerFemaleEngineeringSoftware EngineerContractKhulna42577215065E0190Sylhet"/>
        <s v="E0023Arif AkterMaleProductSenior Product ManagerContractRajshahi45592122086E0270Sylhet"/>
        <s v="E0024Esha MiahMaleSalesSales ManagerFull-timeDhaka43736141478E0989Sylhet"/>
        <s v="E0025Fahim AminFemaleSalesSales ManagerFull-timeSylhet43367131411E0756Sylhet"/>
        <s v="E0026Tasnim ChowdhuryMaleOperationsSupply Chain AnalystFull-timeKhulna42885104751E0161Sylhet"/>
        <s v="E0027Tania UddinMaleEngineeringDevOps EngineerFull-timeRemote45593218329E0741Sylhet"/>
        <s v="E0028Rashed RahmanMaleMarketingSEO SpecialistFull-timeDhaka44682157690E0755Sylhet"/>
        <s v="E0029Sadia HasanFemaleHRRecruiterFull-timeDhaka43210141183E0356Sylhet"/>
        <s v="E0030Zahid HossainFemaleEngineeringDevOps EngineerFull-timeKhulna4265199920E0630Sylhet"/>
        <s v="E0031Rafi AminFemaleHRHR AssociateFull-timeRajshahi4576878647E0699Sylhet"/>
        <s v="E0032Ayesha RanaFemaleEngineeringSenior Software EngineerContractSylhet45504233085E0709Sylhet"/>
        <s v="E0033Jannat MorshedMaleEngineeringSoftware EngineerFull-timeRemote44640153390E0893Sylhet"/>
        <s v="E0034Mahin IslamNon-binaryCustomer SuccessSupport AssociateFull-timeChattogram43218105962E0938Sylhet"/>
        <s v="E0035Fahim BiswasMaleCustomer SuccessSupport AssociateFull-timeDhaka44771116624E0865Sylhet"/>
        <s v="E0036Zahid BanuFemaleOperationsSupply Chain AnalystFull-timeChattogram4325477427Sylhet"/>
        <s v="E0037Shawon AnjumFemaleProductAssociate Product ManagerContractDhaka45700317015E0380Sylhet"/>
        <s v="E0038Mahin MiahFemaleEngineeringQA EngineerFull-timeRajshahi43324206071E0701Sylhet"/>
        <s v="E0039Sadia BiswasFemaleFinanceAccounts ExecutiveContractRajshahi43715132584Sylhet"/>
        <s v="E0040Shafiq SadiqFemaleSalesAccount ExecutiveFull-timeRajshahi4554174566E0849Sylhet"/>
        <s v="E0041Noman KhanFemaleEngineeringSenior Software EngineerFull-timeKhulna42974164307E0251Sylhet"/>
        <s v="E0042Esha AminMaleMarketingSEO SpecialistFull-timeKhulna45600143885E0141Sylhet"/>
        <s v="E0043Ovi IslamMaleEngineeringSoftware EngineerFull-timeRemote44811151772E0736Sylhet"/>
        <s v="E0044Fahim JahanMaleCustomer SuccessSupport SpecialistFull-timeRajshahi4238172635E0186Sylhet"/>
        <s v="E0045Rahim AkterMaleProductSenior Product ManagerFull-timeChattogram43505228086E0025Sylhet"/>
        <s v="E0046Mitu SharminMaleHRHR Business PartnerFull-timeRajshahi45886117000E0456Sylhet"/>
        <s v="E0047Noman AminMaleProductProduct AnalystFull-timeRajshahi42962104908E0927Sylhet"/>
        <s v="E0048Tania AhmedMaleMarketingMarketing AssociateFull-timeKhulna42902134577E0592Sylhet"/>
        <s v="E0049Tasnim ShahFemaleMarketingMarketing ManagerFull-timeChattogram44582211918E0783Sylhet"/>
        <s v="E0050Rahim RasheedMaleEngineeringJunior Software EngineerFull-timeDhaka43396173897E0383Sylhet"/>
        <s v="E0051Noman SultanaMaleCustomer SuccessCustomer Success ManagerContractRemote45640121481E0849Sylhet"/>
        <s v="E0052Noman HossainMaleOperationsSupply Chain AnalystFull-timeRemote43084158063E0742Sylhet"/>
        <s v="E0053Shawon AkterMaleCustomer SuccessCustomer Success ManagerFull-timeSylhet42820173570E0701Sylhet"/>
        <s v="E0054Tamanna RahmanFemaleOperationsOperations ManagerFull-timeDhaka45077147590Sylhet"/>
        <s v="E0055Tania AminFemaleHRHR ManagerFull-timeSylhet42475138544E0425Sylhet"/>
        <s v="E0056Sadia RasheedFemaleCustomer SuccessSupport AssociateFull-timeRajshahi4290989940E0728Sylhet"/>
        <s v="E0057Shawon MiahMaleEngineeringQA EngineerFull-timeRajshahi42430209299E0580Sylhet"/>
        <s v="E0058Ayesha ParvinFemaleEngineeringSoftware EngineerFull-timeRemote4383796715Sylhet"/>
        <s v="E0059Sadia MiahMaleEngineeringSenior Software EngineerFull-timeRemote45605165688E0184Sylhet"/>
        <s v="E0060Nafiz MorshedMaleSalesSenior Account ExecutiveFull-timeRemote4559995553E0839Sylhet"/>
        <s v="E0061Fahim BiswasNon-binarySalesSales ManagerFull-timeDhaka43344225796E0453Sylhet"/>
        <s v="E0062Fahim HasanFemaleProductSenior Product ManagerFull-timeRemote44781164207E0980Sylhet"/>
        <s v="E0063Tasnim AlamFemaleOperationsOperations ManagerFull-timeRajshahi43696157208E0756Sylhet"/>
        <s v="E0064Lamia BiswasFemaleSalesAccount ExecutiveFull-timeSylhet42434205545E0797Sylhet"/>
        <s v="E0065Sadia AkterFemaleProductAssociate Product ManagerContractKhulna43083331486E0782Sylhet"/>
        <s v="E0066Ovi KhanFemaleMarketingSEO SpecialistInternKhulna43456134863E0831Sylhet"/>
        <s v="E0067Imran IslamMaleEngineeringSoftware EngineerFull-timeRemote4258496418E0179Sylhet"/>
        <s v="E0068Sumaiya AlamMaleOperationsOperations AssociateFull-timeKhulna42889117217E0161Sylhet"/>
        <s v="E0069Tania AhmedMaleEngineeringSoftware EngineerFull-timeDhaka45408119297E0065Sylhet"/>
        <s v="E0070Priya TalukderMaleCustomer SuccessSupport AssociateFull-timeDhaka4409496180E0159Sylhet"/>
        <s v="E0071Mahin KhanMaleOperationsOperations AssociateFull-timeChattogram4452469424E0109Sylhet"/>
        <s v="E0072Fahim TalukderFemaleEngineeringSoftware EngineerFull-timeDhaka42835125767E0428Sylhet"/>
        <s v="E0073Arif TalukderFemaleEngineeringJunior Software EngineerFull-timeDhaka45424171120E0239Sylhet"/>
        <s v="E0074Shawon AlamMaleOperationsOperations AssociateFull-timeKhulna4263073342E0630Sylhet"/>
        <s v="E0075Shafiq SharminFemaleFinanceFinance ManagerFull-timeRajshahi44320126028E0008Sylhet"/>
        <s v="E0076Rashed MiahMaleFinanceFinancial AnalystFull-timeRajshahi4420684403E0755Sylhet"/>
        <s v="E0077Sajid SarkerFemaleOperationsSupply Chain AnalystFull-timeRajshahi4555658098E0045Sylhet"/>
        <s v="E0078Sumaiya HossainMaleEngineeringQA EngineerFull-timeSylhet43852173927E0314Sylhet"/>
        <s v="E0079Tasnim SultanaMaleSalesSales AssociateContractKhulna44472149187E0831Sylhet"/>
        <s v="E0080Tamanna BiswasMaleEngineeringEngineering ManagerFull-timeDhaka44801278581E0657Sylhet"/>
        <s v="E0081Lamia AkterFemaleOperationsOperations ManagerFull-timeRajshahi4281675559E0278Sylhet"/>
        <s v="E0082Rahim IslamMaleHRHR AssociateFull-timeRajshahi4422184502E0617Sylhet"/>
        <s v="E0083Ayesha BanuFemaleSalesAccount ExecutiveFull-timeChattogram44433152331E0063Sylhet"/>
        <s v="E0084Tamanna RasheedFemaleEngineeringDevOps EngineerFull-timeChattogram43277195944E0310Sylhet"/>
        <s v="E0085Rahim KhanMaleProductSenior Product ManagerFull-timeRajshahi44889268922E0172Sylhet"/>
        <s v="E0086Mitu RahmanMaleSalesAccount ExecutiveFull-timeChattogram42547198013E0849Sylhet"/>
        <s v="E0087Karim KabirPrefer not to sayFinanceSenior Financial AnalystFull-timeKhulna45348266602E0420Sylhet"/>
        <s v="E0088Mitu ChowdhuryMaleHRHR AssociateFull-timeRajshahi45578136974E0404Sylhet"/>
        <s v="E0089Nabila SultanaMaleOperationsOperations ManagerFull-timeSylhet45068127230Sylhet"/>
        <s v="E0090Tamanna ParvinMaleMarketingMarketing AssociateContractRajshahi44505147356E0196Sylhet"/>
        <s v="E0091Nafiz FerdousMaleEngineeringEngineering ManagerFull-timeRemote43605161402E0330Sylhet"/>
        <s v="E0092Nabila SharminFemaleFinanceSenior Financial AnalystInternKhulna44246233536E0197Sylhet"/>
        <s v="E0093Rafi SultanaFemaleFinanceSenior Financial AnalystFull-timeDhaka45005257374E0657Sylhet"/>
        <s v="E0094Arif MiahMaleMarketingGrowth MarketerFull-timeKhulna4249791158E0592Sylhet"/>
        <s v="E0095Shawon FerdousMaleOperationsOperations AssociateFull-timeKhulna42619106333E0684Sylhet"/>
        <s v="E0096Fahim SharminMaleMarketingMarketing AssociateFull-timeRemote4433175235Sylhet"/>
        <s v="E0097Sadia RasheedPrefer not to sayMarketingMarketing AssociateContractDhaka4584060785E0453Sylhet"/>
        <s v="E0098Rashed TalukderMaleSalesSales AssociateFull-timeDhaka4401555786E0672Sylhet"/>
        <s v="E0099Karim ShahNon-binaryEngineeringDevOps EngineerFull-timeSylhet44116134271E0663Sylhet"/>
        <s v="E0100Sadia SadiqFemaleEngineeringSoftware EngineerFull-timeSylhet45180156178E0045Sylhet"/>
        <s v="E0101Rafi ParvinMaleEngineeringJunior Software EngineerContractRajshahi42812131877E0314Sylhet"/>
        <s v="E0102Shafiq HossainFemaleHRHR ManagerFull-timeChattogram44378138408E0855Sylhet"/>
        <s v="E0103Esha RanaFemaleProductSenior Product ManagerContractKhulna45287253791E0383Sylhet"/>
        <s v="E0104Zahid SharminMaleMarketingMarketing ManagerFull-timeKhulna44186234882E0774Sylhet"/>
        <s v="E0105Rafi KhanMaleCustomer SuccessCustomer Success ManagerFull-timeDhaka42671171732E0980Sylhet"/>
        <s v="E0106Rafi MiahFemaleProductProduct AnalystFull-timeKhulna42700124374E0828Sylhet"/>
        <s v="E0107Ovi HaiderMaleSalesAccount ExecutiveFull-timeKhulna43689180577E0861Sylhet"/>
        <s v="E0108Nabila SadiqMaleFinanceSenior Financial AnalystFull-timeDhaka44861214709E0500Sylhet"/>
        <s v="E0109Rafi BanuMaleProductProduct ManagerFull-timeRemote42977272489Sylhet"/>
        <s v="E0110Nadia SarkerFemaleEngineeringJunior Software EngineerFull-timeRajshahi42639179920E0179Sylhet"/>
        <s v="E0111Shafiq AnjumFemaleProductSenior Product ManagerFull-timeKhulna42886274622E0080Sylhet"/>
        <s v="E0112Tamanna SultanaMaleEngineeringSoftware EngineerFull-timeKhulna43496115486E0156Sylhet"/>
        <s v="E0113Imran ShahMaleCustomer SuccessSupport AssociateFull-timeChattogram4492747847E0828Sylhet"/>
        <s v="E0114Arif MahmudMaleOperationsSupply Chain AnalystFull-timeDhaka44963150407E0008Sylhet"/>
        <s v="E0115Sumaiya SharminFemaleHRHR Business PartnerInternKhulna4476775402E0190Sylhet"/>
        <s v="E0116Zahid RasheedFemaleOperationsSupply Chain AnalystFull-timeChattogram4461690308E0831Sylhet"/>
        <s v="E0117Shawon RanaMaleOperationsOperations AssociateFull-timeRemote4528693271E0728Sylhet"/>
        <s v="E0118Noman MorshedFemaleEngineeringDevOps EngineerInternKhulna43701166489E0102Sylhet"/>
        <s v="E0119Shawon AkterFemaleOperationsOperations AssociateFull-timeDhaka43930127253E0881Sylhet"/>
        <s v="E0120Jannat AhmedMaleMarketingMarketing AssociateFull-timeKhulna44816156698E0780Sylhet"/>
        <s v="E0121Karim BanuFemaleOperationsOperations ManagerFull-timeChattogram44543105032E0684Sylhet"/>
        <s v="E0122Tania UddinMaleOperationsOperations ManagerContractDhaka43577194473E0063Sylhet"/>
        <s v="E0123Jannat AkterFemaleProductSenior Product ManagerFull-timeKhulna44228223604E0150Sylhet"/>
        <s v="E0124Noman ChowdhuryMaleEngineeringDevOps EngineerFull-timeRajshahi44440116353Sylhet"/>
        <s v="E0125Tasnim SadiqMaleProductProduct ManagerFull-timeDhaka44849323393E0037Sylhet"/>
        <s v="E0126Arif SultanaMaleSalesAccount ExecutiveFull-timeSylhet44132204089Sylhet"/>
        <s v="E0127Sajid IslamMaleOperationsOperations AssociateFull-timeSylhet42776115492Sylhet"/>
        <s v="E0128Mahin KhanFemaleOperationsSupply Chain AnalystFull-timeSylhet4561863509E0585Sylhet"/>
        <s v="E0129Mitu FerdousFemaleEngineeringSoftware EngineerFull-timeRajshahi45244150359Sylhet"/>
        <s v="E0130Nabila RanaFemaleMarketingContent SpecialistFull-timeSylhet42838188137E0979Sylhet"/>
        <s v="E0131Tania BiswasMaleSalesSenior Account ExecutiveFull-timeChattogram45863180052E0383Sylhet"/>
        <s v="E0132Lamia HaiderMaleProductAssociate Product ManagerFull-timeDhaka45051331014E0407Sylhet"/>
        <s v="E0133Karim RanaFemaleEngineeringJunior Software EngineerFull-timeRajshahi45036150872E0016Sylhet"/>
        <s v="E0134Tasnim TalukderFemaleSalesSales AssociateFull-timeKhulna4551974066E0109Sylhet"/>
        <s v="E0135Rafi MahmudMaleCustomer SuccessSupport SpecialistFull-timeChattogram4462871853E0672Sylhet"/>
        <s v="E0136Sajid KabirMaleSalesSales AssociateFull-timeRajshahi45322145378E0061Sylhet"/>
        <s v="E0137Nadia SultanaMaleMarketingSEO SpecialistInternDhaka4325080214E0630Sylhet"/>
        <s v="E0138Nadia TalukderFemaleFinanceFinancial AnalystFull-timeRemote44131153114Sylhet"/>
        <s v="E0139Sumaiya BanuFemaleSalesAccount ExecutiveFull-timeChattogram44219107540E0357Sylhet"/>
        <s v="E0140Mitu HossainMaleCustomer SuccessSupport SpecialistFull-timeSylhet43305133736E0103Sylhet"/>
        <s v="E0141Shawon HasanMaleCustomer SuccessCustomer Success ManagerContractSylhet44064193662E0736Sylhet"/>
        <s v="E0142Esha SharminMaleProductAssociate Product ManagerFull-timeDhaka43758214124E0081Sylhet"/>
        <s v="E0143Sajid KabirMaleMarketingGrowth MarketerFull-timeRemote45759160401E0990Sylhet"/>
        <s v="E0144Rashed KabirFemaleProductAssociate Product ManagerFull-timeRemote44227292950E0396Sylhet"/>
        <s v="E0145Sajid RanaMaleProductProduct AnalystFull-timeRajshahi44003156121E0024Sylhet"/>
        <s v="E0146Shawon TalukderMaleEngineeringDevOps EngineerFull-timeRemote44073144739E0554Sylhet"/>
        <s v="E0147Nabila SarkerMaleHRHR Business PartnerFull-timeKhulna4535866930E0783Sylhet"/>
        <s v="E0148Sumaiya RasheedFemaleMarketingGrowth MarketerInternSylhet4275966367E0855Sylhet"/>
        <s v="E0149Ovi HossainMaleEngineeringDevOps EngineerFull-timeChattogram43650125613E0270Sylhet"/>
        <s v="E0150Shawon ShahMaleProductSenior Product ManagerFull-timeSylhet44118235298E0132Sylhet"/>
        <s v="E0151Nabila ParvinPrefer not to sayCustomer SuccessSupport SpecialistFull-timeKhulna4365090082E0956Sylhet"/>
        <s v="E0152Esha BanuFemaleProductSenior Product ManagerFull-timeChattogram45094229275E0855Sylhet"/>
        <s v="E0153Tania ParvinMaleEngineeringQA EngineerFull-timeDhaka43414122342E0682Sylhet"/>
        <s v="E0154Priya AkterMaleMarketingGrowth MarketerFull-timeSylhet43903153272E0012Sylhet"/>
        <s v="E0155Shawon TalukderMaleCustomer SuccessSupport SpecialistInternRajshahi4299576212E0585Sylhet"/>
        <s v="E0156Tania FerdousMaleProductProduct ManagerFull-timeRemote45183204194E0045Sylhet"/>
        <s v="E0157Rafi ChowdhuryMaleFinanceAccounts ExecutiveFull-timeChattogram44312163259Sylhet"/>
        <s v="E0158Tasnim MahmudFemaleFinanceFinance ManagerFull-timeKhulna42644191622E0560Sylhet"/>
        <s v="E0159Karim SultanaMaleProductSenior Product ManagerFull-timeRemote42743254146E0080Sylhet"/>
        <s v="E0160Tania RasheedMaleFinanceAccounts ExecutiveFull-timeRemote45776114415E0783Sylhet"/>
        <s v="E0161Esha SultanaMaleSalesSales ManagerFull-timeDhaka42719190248E0774Sylhet"/>
        <s v="E0162Sadia FerdousFemaleHRHR AssociateFull-timeSylhet4275160029E0416Sylhet"/>
        <s v="E0163Mitu BiswasMaleHRRecruiterFull-timeChattogram44138132352E0907Sylhet"/>
        <s v="E0164Jannat HaiderFemaleMarketingSEO SpecialistContractRemote42765172506E0152Sylhet"/>
        <s v="E0165Ovi RahmanFemaleEngineeringJunior Software EngineerFull-timeChattogram45419112641E0656Sylhet"/>
        <s v="E0166Karim HasanMaleOperationsOperations ManagerFull-timeRajshahi4539698319E0181Sylhet"/>
        <s v="E0167Esha IslamMaleSalesSales ManagerFull-timeDhaka43896184159E0709Sylhet"/>
        <s v="E0168Tamanna ParvinFemaleEngineeringSenior Software EngineerContractChattogram45695176571E0909Sylhet"/>
        <s v="E0169Tamanna SadiqMaleEngineeringJunior Software EngineerFull-timeRajshahi42902109974Sylhet"/>
        <s v="E0170Nafiz RanaMaleHRRecruiterFull-timeChattogram4464863596E0574Sylhet"/>
        <s v="E0171Ayesha SadiqFemaleFinanceSenior Financial AnalystFull-timeRajshahi42615164223E0574Sylhet"/>
        <s v="E0172Shafiq RasheedFemaleEngineeringEngineering ManagerFull-timeSylhet44772197542Sylhet"/>
        <s v="E0173Shafiq AkterMaleMarketingGrowth MarketerFull-timeRajshahi44670124487E0229Sylhet"/>
        <s v="E0174Lamia MiahFemaleProductProduct AnalystFull-timeSylhet44670170924Sylhet"/>
        <s v="E0175Mitu SultanaFemaleHRHR Business PartnerFull-timeKhulna4372089719E0500Sylhet"/>
        <s v="E0176Sajid AkterMaleEngineeringSenior Software EngineerContractChattogram45114143847E0357Sylhet"/>
        <s v="E0177Fahim HasanMaleFinanceSenior Financial AnalystContractRemote42870129577E0686Sylhet"/>
        <s v="E0178Ovi MorshedMaleSalesSales AssociateFull-timeKhulna44052154566E0249Sylhet"/>
        <s v="E0179Shawon MiahMaleCustomer SuccessCustomer Success ManagerFull-timeChattogram43818168895E0972Sylhet"/>
        <s v="E0180Sajid RanaMaleEngineeringSenior Software EngineerFull-timeDhaka45095193255E0500Sylhet"/>
        <s v="E0181Zahid RasheedFemaleSalesSales ManagerFull-timeSylhet45443195037E0657Sylhet"/>
        <s v="E0182Tasnim ShahFemaleEngineeringSoftware EngineerFull-timeChattogram44102149426E0741Sylhet"/>
        <s v="E0183Zahid KabirNon-binaryCustomer SuccessSupport SpecialistFull-timeSylhet4532399935E0595Sylhet"/>
        <s v="E0184Nabila ShahMaleOperationsOperations ManagerFull-timeRemote42580191513E0866Sylhet"/>
        <s v="E0185Arif HossainMaleProductProduct AnalystFull-timeRemote43548147331E0428Sylhet"/>
        <s v="E0186Sajid AhmedMaleHRHR ManagerFull-timeRemote44829186702E0310Sylhet"/>
        <s v="E0187Priya AminFemaleOperationsSupply Chain AnalystContractDhaka4364976155E0198Sylhet"/>
        <s v="E0188Mitu AnjumMaleMarketingMarketing AssociateFull-timeRajshahi4381083898E0672Sylhet"/>
        <s v="E0189Shafiq AnjumMaleMarketingContent SpecialistFull-timeRemote4279480935E0893Sylhet"/>
        <s v="E0190Tasnim RahmanMaleProductProduct ManagerFull-timeKhulna44737184157E0719Sylhet"/>
        <s v="E0191Arif MorshedMaleEngineeringJunior Software EngineerFull-timeDhaka44448174728E0938Sylhet"/>
        <s v="E0192Lamia RahmanMaleOperationsSupply Chain AnalystFull-timeRajshahi43241161761E0453Sylhet"/>
        <s v="E0193Ayesha SharminMaleCustomer SuccessSupport AssociateFull-timeChattogram43003101902E0278Sylhet"/>
        <s v="E0194Lamia FerdousFemaleHRHR Business PartnerFull-timeSylhet4505971442E0103Sylhet"/>
        <s v="E0195Arif KhanMaleSalesSales AssociateFull-timeDhaka4434556829E0648Sylhet"/>
        <s v="E0196Noman MiahFemaleSalesSales ManagerFull-timeRemote43288107371Sylhet"/>
        <s v="E0197Noman AhmedFemaleFinanceFinance ManagerFull-timeKhulna45840225835E0881Sylhet"/>
        <s v="E0198Nadia KabirMaleOperationsOperations ManagerFull-timeDhaka42813163677E0560Sylhet"/>
        <s v="E0199Nabila ParvinPrefer not to sayOperationsOperations ManagerInternRemote4380481456E0777Sylhet"/>
        <s v="E0200Mitu HaiderFemaleOperationsOperations AssociateFull-timeRemote45832115471E0065Sylhet"/>
        <s v="E0201Shawon SharminFemaleHRHR Business PartnerFull-timeRajshahi44648147911E0963Sylhet"/>
        <s v="E0202Mitu MahmudFemaleEngineeringJunior Software EngineerFull-timeKhulna4387579321Sylhet"/>
        <s v="E0203Mitu KabirFemaleEngineeringJunior Software EngineerFull-timeSylhet4284078363E0024Sylhet"/>
        <s v="E0204Lamia HasanMaleOperationsOperations AssociateFull-timeRemote45493110723E0624Sylhet"/>
        <s v="E0205Ovi ChowdhuryMaleHRRecruiterFull-timeDhaka4351163622E0639Sylhet"/>
        <s v="E0206Jannat IslamMaleEngineeringDevOps EngineerContractDhaka44721100219E0037Sylhet"/>
        <s v="E0207Fahim TalukderMaleEngineeringQA EngineerFull-timeDhaka4329690603E0565Sylhet"/>
        <s v="E0208Mitu FerdousMaleHRRecruiterFull-timeKhulna4567668932E0560Sylhet"/>
        <s v="E0209Zahid UddinMaleEngineeringSoftware EngineerFull-timeDhaka44127200191E0831Sylhet"/>
        <s v="E0210Esha KabirNon-binaryEngineeringEngineering ManagerFull-timeRajshahi45831276214E0389Sylhet"/>
        <s v="E0211Shafiq MiahMaleMarketingContent SpecialistFull-timeSylhet4466791942E0828Sylhet"/>
        <s v="E0212Noman RasheedFemaleFinanceFinancial AnalystInternRemote45513115210E0912Sylhet"/>
        <s v="E0213Shafiq IslamMaleHRHR AssociateFull-timeChattogram4572260224E0469Sylhet"/>
        <s v="E0214Ayesha HossainMaleProductProduct ManagerContractChattogram44916154511E0085Sylhet"/>
        <s v="E0215Nafiz AhmedFemaleFinanceSenior Financial AnalystFull-timeChattogram44883217157E0520Sylhet"/>
        <s v="E0216Shafiq JahanPrefer not to sayProductProduct AnalystFull-timeKhulna45134115743Sylhet"/>
        <s v="E0217Tamanna BanuFemaleSalesSales AssociateFull-timeKhulna4500286601E0865Sylhet"/>
        <s v="E0218Ovi KabirFemaleFinanceSenior Financial AnalystFull-timeKhulna44650188835E0728Sylhet"/>
        <s v="E0219Shafiq HossainMaleHRHR Business PartnerFull-timeChattogram4247772912E0533Sylhet"/>
        <s v="E0220Shafiq HaiderMaleOperationsOperations AssociateFull-timeChattogram44864148023E0150Sylhet"/>
        <s v="E0221Rashed KabirFemaleHRHR ManagerFull-timeDhaka45064186275E0602Sylhet"/>
        <s v="E0222Noman AkterFemaleMarketingMarketing AssociateFull-timeChattogram45767132900E0141Sylhet"/>
        <s v="E0223Tamanna RanaMaleEngineeringSoftware EngineerFull-timeKhulna45210197759E0488Sylhet"/>
        <s v="E0224Nabila SultanaFemaleSalesSales ManagerFull-timeRajshahi43465186825E0045Sylhet"/>
        <s v="E0225Zahid KabirMaleProductAssociate Product ManagerContractDhaka42488238674E0511Sylhet"/>
        <s v="E0226Priya ChowdhuryFemaleProductProduct ManagerFull-timeDhaka43108190351E0241Sylhet"/>
        <s v="E0227Rafi AminMaleCustomer SuccessSupport SpecialistFull-timeSylhet4348985676E0045Sylhet"/>
        <s v="E0228Farhan TalukderFemaleSalesSales AssociateFull-timeSylhet45248126090E0538Sylhet"/>
        <s v="E0229Esha AkterMaleOperationsOperations ManagerFull-timeRajshahi45492132740E0365Sylhet"/>
        <s v="E0230Mitu UddinFemaleHRRecruiterFull-timeRemote43635145727E0980Sylhet"/>
        <s v="E0231Nadia ChowdhuryMaleOperationsOperations ManagerFull-timeChattogram43761201055E0049Sylhet"/>
        <s v="E0232Farhan SultanaMaleMarketingMarketing AssociateFull-timeChattogram43807160791Sylhet"/>
        <s v="E0233Ayesha ParvinFemaleMarketingMarketing AssociateFull-timeChattogram42395112634E0102Sylhet"/>
        <s v="E0234Jannat AnjumFemaleMarketingMarketing AssociateFull-timeDhaka43113104145E0543Sylhet"/>
        <s v="E0235Shawon SarkerMaleEngineeringQA EngineerFull-timeDhaka42956125871E0243Sylhet"/>
        <s v="E0236Nabila AminMaleFinanceFinancial AnalystFull-timeKhulna44689138097E0239Sylhet"/>
        <s v="E0237Imran KabirFemaleProductSenior Product ManagerFull-timeKhulna45062137134E0617Sylhet"/>
        <s v="E0238Zahid TalukderMaleEngineeringSenior Software EngineerFull-timeKhulna44011150761E0686Sylhet"/>
        <s v="E0239Sajid UddinFemaleHRHR ManagerFull-timeDhaka42655199207E0639Sylhet"/>
        <s v="E0240Rahim RahmanFemaleEngineeringJunior Software EngineerFull-timeRemote4295181364E0882Sylhet"/>
        <s v="E0241Sajid BanuMaleCustomer SuccessCustomer Success ManagerContractChattogram45405139274Sylhet"/>
        <s v="E0242Nabila UddinFemaleCustomer SuccessCustomer Success ManagerFull-timeDhaka44963110145E0979Sylhet"/>
        <s v="E0243Tania ParvinMaleCustomer SuccessCustomer Success ManagerContractChattogram4249596473E0407Sylhet"/>
        <s v="E0244Jannat SharminFemaleSalesSales ManagerContractSylhet42745243473E0936Sylhet"/>
        <s v="E0245Karim IslamMaleEngineeringQA EngineerFull-timeRajshahi45426117681E0852Sylhet"/>
        <s v="E0246Shawon JahanFemaleCustomer SuccessSupport SpecialistFull-timeKhulna4454291573E0646Sylhet"/>
        <s v="E0247Mahin AnjumMaleSalesSales AssociateInternChattogram43251108435Sylhet"/>
        <s v="E0248Sadia SadiqMaleCustomer SuccessSupport AssociateFull-timeRemote4391063968E0448Sylhet"/>
        <s v="E0249Imran AkterFemaleCustomer SuccessCustomer Success ManagerFull-timeDhaka4408986122E0065Sylhet"/>
        <s v="E0250Mahin HossainMaleOperationsSupply Chain AnalystContractSylhet44228113140E0244Sylhet"/>
        <s v="E0251Mahin MorshedMaleProductProduct ManagerFull-timeSylhet43766210984E0167Sylhet"/>
        <s v="E0252Priya HossainFemaleSalesAccount ExecutiveFull-timeKhulna43014100793E0646Sylhet"/>
        <s v="E0253Nadia BanuMaleOperationsOperations AssociateFull-timeChattogram43885100319E0109Sylhet"/>
        <s v="E0254Nafiz JahanMaleProductProduct AnalystFull-timeSylhet4364698081E0420Sylhet"/>
        <s v="E0255Ovi RasheedPrefer not to sayEngineeringQA EngineerContractKhulna45325163185E0762Sylhet"/>
        <s v="E0256Karim RasheedPrefer not to sayMarketingContent SpecialistContractDhaka43698123657E0709Sylhet"/>
        <s v="E0257Nafiz TalukderMaleCustomer SuccessSupport AssociateFull-timeDhaka45551118593E0190Sylhet"/>
        <s v="E0258Rashed ParvinMaleFinanceFinancial AnalystContractKhulna4469473943E0682Sylhet"/>
        <s v="E0259Tasnim SultanaMaleMarketingMarketing AssociateFull-timeRemote44812139284E0019Sylhet"/>
        <s v="E0260Rahim MorshedFemaleEngineeringSenior Software EngineerContractDhaka42717161928E0121Sylhet"/>
        <s v="E0261Shawon TalukderFemaleHRHR AssociateInternKhulna42585107400E0152Sylhet"/>
        <s v="E0262Sadia AhmedFemaleCustomer SuccessCustomer Success ManagerFull-timeSylhet4300799598E0538Sylhet"/>
        <s v="E0263Jannat AkterMaleEngineeringSoftware EngineerFull-timeRajshahi4301481876Sylhet"/>
        <s v="E0264Mahin MorshedMaleMarketingContent SpecialistContractRajshahi45460190900E0054Sylhet"/>
        <s v="E0265Jannat ParvinFemaleOperationsOperations AssociateInternRajshahi4490092057E0989Sylhet"/>
        <s v="E0266Shawon BiswasFemaleFinanceAccounts ExecutiveContractChattogram42573120976E0404Sylhet"/>
        <s v="E0267Farhan UddinFemaleFinanceFinancial AnalystContractKhulna4513086707E0595Sylhet"/>
        <s v="E0268Rashed MiahNon-binaryFinanceFinancial AnalystFull-timeDhaka42704129733E0938Sylhet"/>
        <s v="E0269Tasnim ChowdhuryFemaleSalesSenior Account ExecutiveFull-timeDhaka4348483187E0688Sylhet"/>
        <s v="E0270Rahim SharminMaleProductAssociate Product ManagerFull-timeRemote44184271250E0080Sylhet"/>
        <s v="E0271Zahid SultanaFemaleOperationsSupply Chain AnalystInternSylhet45081115810E0648Sylhet"/>
        <s v="E0272Shawon MiahMaleOperationsOperations ManagerFull-timeDhaka44106122316E0936Sylhet"/>
        <s v="E0273Shawon RanaFemaleOperationsOperations ManagerInternRemote44359183817E0198Sylhet"/>
        <s v="E0274Sajid AlamFemaleCustomer SuccessSupport AssociateFull-timeKhulna4485678062E0642Sylhet"/>
        <s v="E0275Rahim HaiderMaleMarketingContent SpecialistFull-timeChattogram44180139206E0630Sylhet"/>
        <s v="E0276Jannat ParvinMaleMarketingMarketing AssociateContractDhaka4406664953E0166Sylhet"/>
        <s v="E0277Sumaiya ParvinMaleOperationsOperations AssociateContractSylhet4348890476E0528Sylhet"/>
        <s v="E0278Rahim RasheedFemaleHRHR ManagerFull-timeChattogram4325295485E0774Sylhet"/>
        <s v="E0279Tasnim RanaMaleFinanceAccounts ExecutiveFull-timeRajshahi4546290571E0989Sylhet"/>
        <s v="E0280Shawon SultanaFemaleOperationsSupply Chain AnalystFull-timeKhulna44468165934E0639Sylhet"/>
        <s v="E0281Ayesha MiahFemaleOperationsSupply Chain AnalystFull-timeSylhet42836144447Sylhet"/>
        <s v="E0282Jannat HossainMaleSalesSenior Account ExecutiveFull-timeDhaka43783262569E0122Sylhet"/>
        <s v="E0283Shafiq AminFemaleSalesAccount ExecutiveFull-timeKhulna44130177614E0184Sylhet"/>
        <s v="E0284Karim AnjumMaleEngineeringJunior Software EngineerFull-timeChattogram4282478609E0976Sylhet"/>
        <s v="E0285Rashed AlamMaleMarketingContent SpecialistFull-timeChattogram4353090107E0425Sylhet"/>
        <s v="E0286Imran IslamFemaleEngineeringSenior Software EngineerFull-timeChattogram45147218934E0648Sylhet"/>
        <s v="E0287Priya AlamFemaleSalesSales AssociateFull-timeChattogram4514966490Sylhet"/>
        <s v="E0288Imran AnjumMaleMarketingContent SpecialistFull-timeRemote44799148675E0656Sylhet"/>
        <s v="E0289Imran AhmedMaleProductProduct AnalystFull-timeDhaka44363198833E0938Sylhet"/>
        <s v="E0290Shawon KhanMaleHRHR AssociateContractRajshahi4452899645E0520Sylhet"/>
        <s v="E0291Priya ChowdhuryMaleEngineeringSoftware EngineerContractChattogram45102110649E0085Sylhet"/>
        <s v="E0292Zahid ParvinFemaleEngineeringJunior Software EngineerContractChattogram4363390407E0122Sylhet"/>
        <s v="E0293Shawon IslamFemaleOperationsSupply Chain AnalystFull-timeSylhet4255686531E0560Sylhet"/>
        <s v="E0294Ovi AkterMaleSalesSenior Account ExecutiveFull-timeRajshahi43273166965E0965Sylhet"/>
        <s v="E0295Arif RanaFemaleEngineeringDevOps EngineerFull-timeDhaka43988220987E0716Sylhet"/>
        <s v="E0296Sumaiya AlamFemaleMarketingMarketing AssociateFull-timeChattogram44824126321E0543Sylhet"/>
        <s v="E0297Rashed SharminMaleFinanceAccounts ExecutiveFull-timeDhaka42594142246E0936Sylhet"/>
        <s v="E0298Nadia BanuMaleEngineeringJunior Software EngineerFull-timeChattogram42401105719Sylhet"/>
        <s v="E0299Sumaiya RanaMaleHRHR Business PartnerFull-timeRemote4320765312E0210Sylhet"/>
        <s v="E0300Mahin AnjumFemaleEngineeringQA EngineerFull-timeRajshahi43604109499E0488Sylhet"/>
        <s v="E0301Rahim BiswasFemaleEngineeringJunior Software EngineerFull-timeRajshahi43235195905E0376Sylhet"/>
        <s v="E0302Karim IslamMaleMarketingMarketing ManagerFull-timeKhulna45513208862E0865Sylhet"/>
        <s v="E0303Priya ShahFemaleMarketingMarketing AssociateContractKhulna4293281885E0801Sylhet"/>
        <s v="E0304Esha IslamFemaleHRRecruiterFull-timeRemote4550083292E0618Sylhet"/>
        <s v="E0305Esha BanuMaleFinanceSenior Financial AnalystFull-timeKhulna43416119968Sylhet"/>
        <s v="E0306Sadia KabirMaleCustomer SuccessCustomer Success ManagerFull-timeSylhet43555112609E0488Sylhet"/>
        <s v="E0307Sadia MahmudMaleMarketingSEO SpecialistFull-timeRajshahi4371388616E0976Sylhet"/>
        <s v="E0308Nadia RasheedFemaleSalesSenior Account ExecutiveFull-timeSylhet4286189011E0249Sylhet"/>
        <s v="E0309Rafi JahanFemaleOperationsOperations AssociateFull-timeRemote4240161353E0565Sylhet"/>
        <s v="E0310Nafiz ChowdhuryFemaleProductSenior Product ManagerFull-timeRajshahi44407123846E0172Sylhet"/>
        <s v="E0311Fahim ParvinFemaleSalesSales AssociateFull-timeSylhet45429173306Sylhet"/>
        <s v="E0312Shawon FerdousMaleEngineeringDevOps EngineerFull-timeChattogram44133216411E0008Sylhet"/>
        <s v="E0313Arif RahmanMaleEngineeringSenior Software EngineerFull-timeChattogram43089254167E0109Sylhet"/>
        <s v="E0314Nafiz AlamMaleCustomer SuccessCustomer Success ManagerContractChattogram42899111527E0376Sylhet"/>
        <s v="E0315Sadia FerdousFemaleOperationsSupply Chain AnalystFull-timeRemote43927116603E0736Sylhet"/>
        <s v="E0316Tania RahmanFemaleFinanceSenior Financial AnalystFull-timeKhulna44551141544E0407Sylhet"/>
        <s v="E0317Sumaiya AkterMaleSalesAccount ExecutiveFull-timeDhaka45252178865E0144Sylhet"/>
        <s v="E0318Mitu BanuFemaleEngineeringQA EngineerContractRemote43312182959E0630Sylhet"/>
        <s v="E0319Tasnim BanuMaleEngineeringJunior Software EngineerFull-timeRajshahi4441996425E0909Sylhet"/>
        <s v="E0320Shawon SadiqFemaleProductProduct AnalystFull-timeKhulna44658176119E0595Sylhet"/>
        <s v="E0321Zahid TalukderFemaleMarketingContent SpecialistFull-timeRemote4578370238E0243Sylhet"/>
        <s v="E0322Nadia MahmudNon-binaryFinanceAccounts ExecutiveFull-timeRemote45106192123E0389Sylhet"/>
        <s v="E0323Ovi SharminFemaleHRHR ManagerFull-timeDhaka45672159552E0420Sylhet"/>
        <s v="E0324Mitu BanuFemaleProductProduct AnalystFull-timeRajshahi43820210429E0585Sylhet"/>
        <s v="E0325Imran IslamMaleCustomer SuccessCustomer Success ManagerFull-timeChattogram42665144541E0368Sylhet"/>
        <s v="E0326Mahin AnjumFemaleFinanceFinancial AnalystFull-timeKhulna43996188550E0488Sylhet"/>
        <s v="E0327Farhan AhmedMaleMarketingMarketing AssociateFull-timeRemote45899116526E0278Sylhet"/>
        <s v="E0328Tasnim ShahFemaleHRHR Business PartnerFull-timeDhaka45409114641E0831Sylhet"/>
        <s v="E0329Rashed AkterFemaleSalesSenior Account ExecutiveFull-timeRemote42543133989E0777Sylhet"/>
        <s v="E0330Mitu RasheedFemaleProductAssociate Product ManagerFull-timeChattogram44156223179E0927Sylhet"/>
        <s v="E0331Shawon AminFemaleSalesAccount ExecutiveFull-timeRemote42446111484E0783Sylhet"/>
        <s v="E0332Ovi RahmanMaleFinanceSenior Financial AnalystFull-timeKhulna44253105193E0845Sylhet"/>
        <s v="E0333Tania ShahFemaleEngineeringSoftware EngineerFull-timeSylhet42688220613E0152Sylhet"/>
        <s v="E0334Lamia HaiderMaleEngineeringEngineering ManagerContractRemote45901214751E0533Sylhet"/>
        <s v="E0335Arif AnjumFemaleEngineeringEngineering ManagerFull-timeRemote43652166907E0334Sylhet"/>
        <s v="E0336Farhan SultanaFemaleEngineeringQA EngineerFull-timeChattogram44728146147E0656Sylhet"/>
        <s v="E0337Zahid HaiderMaleOperationsOperations AssociateFull-timeRajshahi4412875475E0749Sylhet"/>
        <s v="E0338Noman AlamFemaleFinanceSenior Financial AnalystFull-timeKhulna44718202663Sylhet"/>
        <s v="E0339Shawon AlamMaleMarketingMarketing AssociateFull-timeKhulna4402659142E0668Sylhet"/>
        <s v="E0340Imran RanaMaleEngineeringJunior Software EngineerFull-timeRemote4527679373Sylhet"/>
        <s v="E0341Tania AlamFemaleMarketingContent SpecialistFull-timeDhaka4499270398Sylhet"/>
        <s v="E0342Nafiz ParvinMaleMarketingContent SpecialistFull-timeKhulna4408080395E0990Sylhet"/>
        <s v="E0343Mitu AkterMaleEngineeringDevOps EngineerFull-timeRemote43555177426E0081Sylhet"/>
        <s v="E0344Sadia RasheedMaleSalesSenior Account ExecutiveFull-timeRajshahi42841110823Sylhet"/>
        <s v="E0345Shawon SarkerMaleSalesSenior Account ExecutiveFull-timeRajshahi44029220957E0075Sylhet"/>
        <s v="E0346Shawon RasheedFemaleHRRecruiterFull-timeChattogram42455106259E0772Sylhet"/>
        <s v="E0347Sajid SadiqFemaleHRRecruiterFull-timeRemote43700126480E0396Sylhet"/>
        <s v="E0348Fahim AminMaleEngineeringSoftware EngineerFull-timeRemote43073181290E0543Sylhet"/>
        <s v="E0349Shawon RasheedFemaleSalesSales ManagerFull-timeSylhet45652235921E0642Sylhet"/>
        <s v="E0350Nabila ChowdhuryMaleHRHR AssociateFull-timeChattogram4490157356Sylhet"/>
        <s v="E0351Shawon TalukderNon-binaryMarketingMarketing ManagerFull-timeSylhet44254132366E0159Sylhet"/>
        <s v="E0352Ayesha RasheedMaleOperationsSupply Chain AnalystFull-timeDhaka4577799779E0448Sylhet"/>
        <s v="E0353Ayesha FerdousFemaleHRRecruiterFull-timeChattogram45194107395Sylhet"/>
        <s v="E0354Karim AhmedMaleEngineeringQA EngineerFull-timeChattogram43852168443E0991Sylhet"/>
        <s v="E0355Farhan KhanNon-binaryEngineeringSenior Software EngineerFull-timeRajshahi42730284119E0251Sylhet"/>
        <s v="E0356Mahin KhanMaleHRHR ManagerFull-timeDhaka4415889306E0849Sylhet"/>
        <s v="E0357Ovi AkterFemaleEngineeringEngineering ManagerFull-timeRemote45829150615E0543Sylhet"/>
        <s v="E0358Arif SarkerMaleMarketingContent SpecialistFull-timeChattogram42803104105E0656Sylhet"/>
        <s v="E0359Shawon MiahMaleCustomer SuccessSupport AssociateFull-timeDhaka4336644753E0037Sylhet"/>
        <s v="E0360Imran HasanMaleMarketingGrowth MarketerFull-timeKhulna44154108200E0686Sylhet"/>
        <s v="E0361Rahim AhmedFemaleSalesSales ManagerFull-timeRemote44782173554Sylhet"/>
        <s v="E0362Priya HossainMaleHRHR AssociateFull-timeRemote4401075264E0243Sylhet"/>
        <s v="E0363Rahim SultanaFemaleSalesSenior Account ExecutiveFull-timeChattogram44516147296E0356Sylhet"/>
        <s v="E0364Ovi MorshedMaleMarketingGrowth MarketerFull-timeDhaka4269290486E0404Sylhet"/>
        <s v="E0365Esha HasanMaleCustomer SuccessCustomer Success ManagerFull-timeRajshahi43991126897E0543Sylhet"/>
        <s v="E0366Priya HaiderFemaleSalesSales AssociateFull-timeRemote4364089410Sylhet"/>
        <s v="E0367Tania SharminMaleCustomer SuccessCustomer Success ManagerInternKhulna45424100267E0989Sylhet"/>
        <s v="E0368Tania HossainFemaleCustomer SuccessCustomer Success ManagerContractRemote43760157989Sylhet"/>
        <s v="E0369Noman SultanaMaleEngineeringJunior Software EngineerFull-timeRemote43277153782E0881Sylhet"/>
        <s v="E0370Shafiq MahmudFemaleEngineeringSoftware EngineerContractRemote43734140850E0630Sylhet"/>
        <s v="E0371Ovi SadiqMaleEngineeringEngineering ManagerFull-timeSylhet45561166149E0871Sylhet"/>
        <s v="E0372Tamanna HaiderFemaleEngineeringJunior Software EngineerFull-timeRemote43058114574E0648Sylhet"/>
        <s v="E0373Sajid RanaFemaleEngineeringDevOps EngineerFull-timeSylhet42682214819E0465Sylhet"/>
        <s v="E0374Sumaiya MorshedFemaleFinanceFinancial AnalystFull-timeDhaka44460126300E0618Sylhet"/>
        <s v="E0375Tania SharminMaleEngineeringSoftware EngineerInternChattogram44963145347Sylhet"/>
        <s v="E0376Sumaiya AlamMaleProductSenior Product ManagerFull-timeDhaka42837292121E0528Sylhet"/>
        <s v="E0377Tasnim AkterFemaleOperationsSupply Chain AnalystFull-timeDhaka44543137578E0063Sylhet"/>
        <s v="E0378Ovi ShahMaleEngineeringSenior Software EngineerInternRemote44458138211E0335Sylhet"/>
        <s v="E0379Karim HaiderMaleOperationsSupply Chain AnalystFull-timeKhulna4316486949E0861Sylhet"/>
        <s v="E0380Rafi ShahFemaleProductProduct ManagerContractRemote45549212485E0231Sylhet"/>
        <s v="E0381Imran SadiqFemaleEngineeringJunior Software EngineerContractRajshahi43801106629E0870Sylhet"/>
        <s v="E0382Farhan SharminMaleFinanceFinancial AnalystFull-timeChattogram43808154672E0229Sylhet"/>
        <s v="E0383Tamanna RasheedMaleHRHR ManagerFull-timeRemote4534997415E0371Sylhet"/>
        <s v="E0384Sadia SadiqMaleOperationsOperations AssociateFull-timeKhulna4572474721E0828Sylhet"/>
        <s v="E0385Shawon AlamMaleFinanceSenior Financial AnalystFull-timeRemote45013117580E0334Sylhet"/>
        <s v="E0386Sumaiya SadiqMaleOperationsOperations AssociateFull-timeKhulna45708126200E0467Sylhet"/>
        <s v="E0387Karim AlamMaleProductProduct ManagerFull-timeChattogram42974199943E0968Sylhet"/>
        <s v="E0388Sadia RahmanMaleEngineeringJunior Software EngineerFull-timeRajshahi43337173688E0024Sylhet"/>
        <s v="E0389Mitu MahmudFemaleFinanceFinance ManagerFull-timeChattogram42791114847E0237Sylhet"/>
        <s v="E0390Shawon RahmanFemaleOperationsSupply Chain AnalystFull-timeChattogram4296993598Sylhet"/>
        <s v="E0391Imran FerdousFemaleCustomer SuccessSupport AssociateFull-timeKhulna43418115895E0198Sylhet"/>
        <s v="E0392Imran ChowdhuryFemaleSalesSales AssociateFull-timeDhaka4317878604E0210Sylhet"/>
        <s v="E0393Rafi HossainMaleSalesSales AssociateFull-timeKhulna43080131840E0416Sylhet"/>
        <s v="E0394Jannat ShahMaleOperationsSupply Chain AnalystFull-timeRemote44837135229E0538Sylhet"/>
        <s v="E0395Fahim SultanaMaleSalesAccount ExecutiveFull-timeRemote42996181022E0745Sylhet"/>
        <s v="E0396Mitu ChowdhuryMaleCustomer SuccessCustomer Success ManagerFull-timeSylhet4548399838E0226Sylhet"/>
        <s v="E0397Nafiz BanuMaleOperationsSupply Chain AnalystFull-timeRemote45479143446E0396Sylhet"/>
        <s v="E0398Tania IslamFemaleSalesSales AssociateFull-timeRemote4505479711E0874Sylhet"/>
        <s v="E0399Lamia SadiqFemaleFinanceSenior Financial AnalystContractDhaka42678209505E0580Sylhet"/>
        <s v="E0400Farhan HasanMaleFinanceSenior Financial AnalystFull-timeRajshahi43095127752E0479Sylhet"/>
        <s v="E0401Priya HaiderMaleEngineeringJunior Software EngineerFull-timeRemote45535175759E0197Sylhet"/>
        <s v="E0402Tania ShahMaleCustomer SuccessSupport AssociateFull-timeRemote4494282536E0241Sylhet"/>
        <s v="E0403Rafi SharminMaleMarketingMarketing AssociateContractChattogram4439397997E0783Sylhet"/>
        <s v="E0404Imran KhanFemaleOperationsOperations ManagerFull-timeRajshahi44270148933E0979Sylhet"/>
        <s v="E0405Rahim HossainFemaleSalesSenior Account ExecutiveFull-timeRemote45460161212E0777Sylhet"/>
        <s v="E0406Karim ParvinMaleOperationsSupply Chain AnalystFull-timeDhaka44679133746E0777Sylhet"/>
        <s v="E0407Shawon AlamMaleSalesSales ManagerFull-timeKhulna45482154689E0239Sylhet"/>
        <s v="E0408Sadia AkterMaleEngineeringDevOps EngineerFull-timeChattogram44743115869E0184Sylhet"/>
        <s v="E0409Ayesha MorshedFemaleCustomer SuccessSupport SpecialistContractRemote4420866765E0890Sylhet"/>
        <s v="E0410Jannat IslamMaleEngineeringDevOps EngineerFull-timeChattogram45159223811E0144Sylhet"/>
        <s v="E0411Nafiz HaiderFemaleProductProduct AnalystFull-timeRemote44682232842E0109Sylhet"/>
        <s v="E0412Ayesha ShahFemaleCustomer SuccessSupport AssociateFull-timeDhaka4500346051E0716Sylhet"/>
        <s v="E0413Rahim RasheedFemaleCustomer SuccessSupport AssociateFull-timeKhulna4497267599E0513Sylhet"/>
        <s v="E0414Mitu AlamMaleMarketingMarketing AssociateFull-timeRajshahi4492860095E0812Sylhet"/>
        <s v="E0415Shafiq SharminMaleHRRecruiterFull-timeRemote4369374293E0045Sylhet"/>
        <s v="E0416Shawon MorshedMaleSalesSales ManagerFull-timeSylhet44939127508E0368Sylhet"/>
        <s v="E0417Mitu ParvinMaleProductProduct AnalystFull-timeChattogram43664151332E0513Sylhet"/>
        <s v="E0418Ayesha AminMaleSalesSales AssociateFull-timeChattogram4298878808E0954Sylhet"/>
        <s v="E0419Nabila SadiqFemaleFinanceFinancial AnalystFull-timeDhaka44171169481E0927Sylhet"/>
        <s v="E0420Jannat BanuMaleFinanceFinance ManagerFull-timeChattogram42649222667E0166Sylhet"/>
        <s v="E0421Farhan MahmudMaleOperationsOperations AssociateContractDhaka44290126014E0980Sylhet"/>
        <s v="E0422Noman JahanFemaleOperationsSupply Chain AnalystFull-timeDhaka44181146117E0389Sylhet"/>
        <s v="E0423Sadia RanaMaleEngineeringJunior Software EngineerFull-timeSylhet44956174527E0618Sylhet"/>
        <s v="E0424Rashed HossainFemaleMarketingMarketing AssociateFull-timeKhulna43610101593E0545Sylhet"/>
        <s v="E0425Lamia SarkerMaleEngineeringEngineering ManagerFull-timeRemote45631203703E0488Sylhet"/>
        <s v="E0426Ayesha MahmudMaleMarketingMarketing ManagerFull-timeRemote43495100685E0025Sylhet"/>
        <s v="E0427Nabila FerdousFemaleSalesSales AssociateFull-timeSylhet4479264049E0387Sylhet"/>
        <s v="E0428Sadia BanuMaleOperationsOperations ManagerFull-timeSylhet42600145409E0839Sylhet"/>
        <s v="E0429Tania ParvinFemaleSalesSenior Account ExecutiveFull-timeRajshahi43811264785E0109Sylhet"/>
        <s v="E0430Lamia ShahFemaleEngineeringDevOps EngineerFull-timeDhaka44448158586E0467Sylhet"/>
        <s v="E0431Arif BiswasMaleEngineeringSenior Software EngineerFull-timeSylhet42673114635E0012Sylhet"/>
        <s v="E0432Ovi MiahMaleFinanceFinancial AnalystFull-timeRemote43641109027Sylhet"/>
        <s v="E0433Mitu RahmanMaleHRRecruiterFull-timeRajshahi4426178164E0624Sylhet"/>
        <s v="E0434Nafiz HaiderFemaleEngineeringQA EngineerFull-timeKhulna44221120831E0361Sylhet"/>
        <s v="E0435Karim UddinMaleEngineeringJunior Software EngineerFull-timeDhaka42524120923E0237Sylhet"/>
        <s v="E0436Lamia AnjumMaleFinanceAccounts ExecutiveFull-timeDhaka42603152132E0239Sylhet"/>
        <s v="E0437Shawon HossainMaleEngineeringSoftware EngineerContractRemote43880229625E0472Sylhet"/>
        <s v="E0438Esha AkterFemaleOperationsSupply Chain AnalystContractChattogram45776117618E0335Sylhet"/>
        <s v="E0439Sadia SadiqMaleFinanceAccounts ExecutiveContractChattogram43545169222E0518Sylhet"/>
        <s v="E0440Tasnim HaiderFemaleEngineeringQA EngineerFull-timeRemote42684179843E0425Sylhet"/>
        <s v="E0441Fahim ChowdhuryFemaleEngineeringEngineering ManagerFull-timeDhaka45010158222E0368Sylhet"/>
        <s v="E0442Lamia RahmanNon-binaryCustomer SuccessSupport AssociateFull-timeChattogram4587364675E0396Sylhet"/>
        <s v="E0443Mitu RasheedFemaleSalesSenior Account ExecutiveInternSylhet4273982815E0166Sylhet"/>
        <s v="E0444Fahim MiahFemaleSalesAccount ExecutiveContractKhulna44889174886E0618Sylhet"/>
        <s v="E0445Nabila MahmudFemaleOperationsOperations ManagerFull-timeRajshahi44803194618E0871Sylhet"/>
        <s v="E0446Tamanna KhanFemaleCustomer SuccessSupport AssociateFull-timeRemote4444674103Sylhet"/>
        <s v="E0447Nafiz SharminFemaleCustomer SuccessSupport SpecialistFull-timeDhaka43944121829E0221Sylhet"/>
        <s v="E0448Arif BanuMaleFinanceFinance ManagerFull-timeRajshahi44265255433E0913Sylhet"/>
        <s v="E0449Karim MorshedFemaleSalesSales ManagerFull-timeRajshahi44747193112E0141Sylhet"/>
        <s v="E0450Nafiz AkterMaleEngineeringQA EngineerFull-timeSylhet44640140602E0780Sylhet"/>
        <s v="E0451Shawon HasanFemaleOperationsSupply Chain AnalystFull-timeDhaka4561382842E0865Sylhet"/>
        <s v="E0452Shafiq RahmanFemaleMarketingGrowth MarketerFull-timeRemote4539683584Sylhet"/>
        <s v="E0453Fahim AhmedMaleSalesSales ManagerContractDhaka42538263179E0123Sylhet"/>
        <s v="E0454Shawon ParvinMaleCustomer SuccessSupport SpecialistFull-timeRemote4421295636E0907Sylhet"/>
        <s v="E0455Nadia BanuMaleEngineeringJunior Software EngineerFull-timeDhaka4568770124E0554Sylhet"/>
        <s v="E0456Mitu HossainFemaleMarketingMarketing ManagerFull-timeDhaka44711227832E0852Sylhet"/>
        <s v="E0457Rashed TalukderFemaleEngineeringQA EngineerContractChattogram45039197505E0229Sylhet"/>
        <s v="E0458Nafiz MiahMaleSalesSenior Account ExecutiveFull-timeChattogram43141105291E0602Sylhet"/>
        <s v="E0459Jannat TalukderFemaleEngineeringJunior Software EngineerInternKhulna43686135917Sylhet"/>
        <s v="E0460Esha RanaMaleEngineeringQA EngineerFull-timeKhulna44848166740Sylhet"/>
        <s v="E0461Rafi AhmedMaleEngineeringSoftware EngineerFull-timeKhulna44318182833E0197Sylhet"/>
        <s v="E0462Rahim BiswasMaleHRHR Business PartnerFull-timeChattogram4442363724E0479Sylhet"/>
        <s v="E0463Rahim BiswasMaleFinanceAccounts ExecutiveFull-timeChattogram42987173386E0089Sylhet"/>
        <s v="E0464Rashed JahanMaleMarketingGrowth MarketerFull-timeChattogram42623143282E0330Sylhet"/>
        <s v="E0465Rahim MahmudMaleCustomer SuccessCustomer Success ManagerContractDhaka44215173256E0361Sylhet"/>
        <s v="E0466Tania HasanMaleSalesSales AssociateContractRajshahi4279369789E0991Sylhet"/>
        <s v="E0467Rashed HaiderMaleProductSenior Product ManagerFull-timeRemote45691255591E0349Sylhet"/>
        <s v="E0468Ovi AminFemaleOperationsSupply Chain AnalystFull-timeDhaka4579998291Sylhet"/>
        <s v="E0469Rafi RasheedFemaleProductSenior Product ManagerFull-timeSylhet43776276368E0936Sylhet"/>
        <s v="E0470Noman AnjumMaleCustomer SuccessCustomer Success ManagerFull-timeSylhet45295158145E0649Sylhet"/>
        <s v="E0471Lamia IslamMaleEngineeringSenior Software EngineerFull-timeChattogram42715150348E0618Sylhet"/>
        <s v="E0472Shawon ParvinMaleCustomer SuccessCustomer Success ManagerFull-timeRajshahi44436120126E0560Sylhet"/>
        <s v="E0473Nadia ShahMaleEngineeringDevOps EngineerContractRajshahi45016184741E0839Sylhet"/>
        <s v="E0474Karim RahmanMaleOperationsSupply Chain AnalystFull-timeChattogram4307670447E0323Sylhet"/>
        <s v="E0475Shawon IslamMaleMarketingContent SpecialistFull-timeDhaka4253097284E0500Sylhet"/>
        <s v="E0476Jannat HaiderFemaleCustomer SuccessSupport SpecialistFull-timeChattogram43384106133E0453Sylhet"/>
        <s v="E0477Ayesha BanuFemaleEngineeringDevOps EngineerFull-timeChattogram45268174752E0376Sylhet"/>
        <s v="E0478Zahid ShahFemaleMarketingSEO SpecialistFull-timeDhaka44163119233E0469Sylhet"/>
        <s v="E0479Priya RahmanFemaleCustomer SuccessCustomer Success ManagerContractRemote4416972655E0141Sylhet"/>
        <s v="E0480Nadia SharminFemaleMarketingContent SpecialistFull-timeChattogram44516105709E0670Sylhet"/>
        <s v="E0481Nafiz IslamMaleHRHR ManagerContractSylhet44511180674E0334Sylhet"/>
        <s v="E0482Ayesha ChowdhuryMaleFinanceAccounts ExecutiveFull-timeSylhet44867149123E0649Sylhet"/>
        <s v="E0483Nafiz RahmanMaleSalesAccount ExecutiveContractRajshahi4302093524E0907Sylhet"/>
        <s v="E0484Tamanna MiahFemaleHRHR AssociateInternDhaka4386086132E0075Sylhet"/>
        <s v="E0485Esha RanaFemaleMarketingContent SpecialistFull-timeRajshahi4389776505E0210Sylhet"/>
        <s v="E0486Tania AkterFemaleCustomer SuccessSupport SpecialistInternChattogram43528122625E0686Sylhet"/>
        <s v="E0487Priya ChowdhuryMaleEngineeringSoftware EngineerFull-timeRemote4395693652E0241Sylhet"/>
        <s v="E0488Esha ParvinFemaleProductProduct ManagerFull-timeSylhet44044170512E0389Sylhet"/>
        <s v="E0489Karim FerdousMaleCustomer SuccessSupport SpecialistFull-timeSylhet4554266957E0449Sylhet"/>
        <s v="E0490Esha KhanFemaleOperationsSupply Chain AnalystFull-timeChattogram4375571348E0997Sylhet"/>
        <s v="E0491Tania BanuMaleSalesSales AssociateContractSylhet45150123353E0635Sylhet"/>
        <s v="E0492Priya RanaMaleHRRecruiterFull-timeChattogram4481882823E0456Sylhet"/>
        <s v="E0493Priya SarkerMaleProductProduct AnalystFull-timeChattogram42584244869E0167Sylhet"/>
        <s v="E0494Karim RanaMaleEngineeringJunior Software EngineerFull-timeDhaka45602143367E0121Sylhet"/>
        <s v="E0495Fahim KabirMaleSalesSenior Account ExecutiveFull-timeKhulna44954202730E0688Sylhet"/>
        <s v="E0496Shawon RanaFemaleSalesSenior Account ExecutiveFull-timeKhulna45021164041E0782Sylhet"/>
        <s v="E0497Esha JahanMaleMarketingGrowth MarketerFull-timeDhaka4374092112E0075Sylhet"/>
        <s v="E0498Ovi MahmudMaleEngineeringSenior Software EngineerFull-timeSylhet42639122792E0389Sylhet"/>
        <s v="E0499Shawon KhanMaleCustomer SuccessSupport SpecialistFull-timeRajshahi4372063704E0061Sylhet"/>
        <s v="E0500Ovi ParvinMaleCustomer SuccessCustomer Success ManagerFull-timeRemote42757134281E0479Sylhet"/>
        <s v="E0501Lamia IslamFemaleFinanceFinancial AnalystInternRajshahi4465578758E0023Sylhet"/>
        <s v="E0502Shawon FerdousMaleMarketingContent SpecialistFull-timeRajshahi45148116802E0545Sylhet"/>
        <s v="E0503Rashed HasanMaleProductProduct AnalystContractRemote43953119337E0080Sylhet"/>
        <s v="E0504Sadia RahmanFemaleOperationsOperations AssociateContractKhulna43533104488E0657Sylhet"/>
        <s v="E0505Sajid ChowdhuryMaleFinanceFinancial AnalystFull-timeSylhet43402131168E0686Sylhet"/>
        <s v="E0506Shawon HossainFemaleEngineeringSoftware EngineerFull-timeRajshahi45334154602E0383Sylhet"/>
        <s v="E0507Tania AlamMaleCustomer SuccessSupport SpecialistFull-timeRemote45858126712E0226Sylhet"/>
        <s v="E0508Shafiq SadiqMaleOperationsSupply Chain AnalystFull-timeSylhet4505981788E0449Sylhet"/>
        <s v="E0509Farhan ChowdhuryMaleCustomer SuccessSupport SpecialistFull-timeRemote4483891568E0122Sylhet"/>
        <s v="E0510Nabila UddinMaleFinanceSenior Financial AnalystFull-timeSylhet42985165555E0158Sylhet"/>
        <s v="E0511Lamia ChowdhuryMaleHRHR ManagerContractDhaka43735112094Sylhet"/>
        <s v="E0512Rafi SarkerMaleSalesSenior Account ExecutiveFull-timeRemote42703166948E0913Sylhet"/>
        <s v="E0513Zahid ParvinFemaleCustomer SuccessCustomer Success ManagerFull-timeKhulna4475665373E0927Sylhet"/>
        <s v="E0514Rahim IslamMaleOperationsOperations AssociateFull-timeRajshahi4508858569E0927Sylhet"/>
        <s v="E0515Tania RanaFemaleEngineeringJunior Software EngineerFull-timeRemote42949157572E0242Sylhet"/>
        <s v="E0516Noman HaiderFemaleEngineeringJunior Software EngineerFull-timeKhulna43802136343E0123Sylhet"/>
        <s v="E0517Priya MahmudMaleSalesSenior Account ExecutiveContractKhulna43640151280E0742Sylhet"/>
        <s v="E0518Sadia ChowdhuryMaleOperationsOperations ManagerFull-timeRajshahi45057135072E0640Sylhet"/>
        <s v="E0519Ayesha MorshedMaleCustomer SuccessSupport AssociateFull-timeDhaka4523094916E0665Sylhet"/>
        <s v="E0520Jannat HossainMaleEngineeringEngineering ManagerFull-timeKhulna45082161279E0954Sylhet"/>
        <s v="E0521Ayesha AhmedPrefer not to sayHRHR AssociateFull-timeChattogram43975117086E0545Sylhet"/>
        <s v="E0522Sumaiya ShahMaleSalesSales ManagerContractRemote42898114723E0559Sylhet"/>
        <s v="E0523Karim SharminFemaleCustomer SuccessSupport AssociateInternRemote4480793005E0349Sylhet"/>
        <s v="E0524Nafiz ParvinFemaleOperationsOperations AssociateFull-timeKhulna4527355063E0210Sylhet"/>
        <s v="E0525Tamanna MiahFemaleOperationsSupply Chain AnalystFull-timeDhaka4271760800E0449Sylhet"/>
        <s v="E0526Farhan SharminFemaleSalesSales AssociateFull-timeSylhet43638127247E0416Sylhet"/>
        <s v="E0527Rashed RanaFemaleSalesSales AssociateFull-timeRemote44659135545E0273Sylhet"/>
        <s v="E0528Sadia BanuMaleProductAssociate Product ManagerFull-timeSylhet43912322943Sylhet"/>
        <s v="E0529Nabila IslamMaleEngineeringDevOps EngineerFull-timeRemote45005168822E0801Sylhet"/>
        <s v="E0530Fahim IslamMaleOperationsSupply Chain AnalystFull-timeRajshahi45612162991E0349Sylhet"/>
        <s v="E0531Nafiz AlamMaleOperationsOperations AssociateContractRemote4371555182E0554Sylhet"/>
        <s v="E0532Mahin AkterFemaleCustomer SuccessSupport SpecialistFull-timeChattogram45700101249Sylhet"/>
        <s v="E0533Farhan SarkerFemaleCustomer SuccessCustomer Success ManagerFull-timeRemote42893139243E0801Sylhet"/>
        <s v="E0534Sumaiya SultanaMaleMarketingContent SpecialistFull-timeRemote45114158489E0012Sylhet"/>
        <s v="E0535Nabila RahmanFemaleFinanceFinancial AnalystFull-timeDhaka4524880148E0855Sylhet"/>
        <s v="E0536Priya ChowdhuryFemaleCustomer SuccessSupport AssociateContractSylhet45765119007E0214Sylhet"/>
        <s v="E0537Nabila BanuMaleOperationsOperations AssociateContractSylhet45396131744E0574Sylhet"/>
        <s v="E0538Priya HossainFemaleProductProduct ManagerFull-timeChattogram45177321281E0416Sylhet"/>
        <s v="E0539Nafiz FerdousFemaleSalesSales AssociateFull-timeChattogram44526113727E0445Sylhet"/>
        <s v="E0540Rashed MiahMaleEngineeringSenior Software EngineerFull-timeSylhet42752280400E0152Sylhet"/>
        <s v="E0541Arif KabirFemaleCustomer SuccessSupport SpecialistContractRemote45016102186E0682Sylhet"/>
        <s v="E0542Ayesha TalukderFemaleHRHR AssociateFull-timeKhulna4511688171E0371Sylhet"/>
        <s v="E0543Nadia HasanMaleProductAssociate Product ManagerFull-timeRajshahi44104271579E0075Sylhet"/>
        <s v="E0544Tania AminMaleFinanceAccounts ExecutiveFull-timeRajshahi44452167921E0224Sylhet"/>
        <s v="E0545Tania SultanaMaleHRHR ManagerFull-timeSylhet43852132186E0861Sylhet"/>
        <s v="E0546Arif AnjumFemaleSalesAccount ExecutiveFull-timeSylhet42444135670E0865Sylhet"/>
        <s v="E0547Sadia TalukderFemaleEngineeringDevOps EngineerFull-timeDhaka43855144190E0242Sylhet"/>
        <s v="E0548Mahin SarkerMaleFinanceFinancial AnalystFull-timeRajshahi43635198074E0782Sylhet"/>
        <s v="E0549Rafi SadiqFemaleMarketingMarketing AssociateFull-timeKhulna43108140744E0241Sylhet"/>
        <s v="E0550Nafiz RasheedMaleOperationsSupply Chain AnalystFull-timeRemote43247141122E0909Sylhet"/>
        <s v="E0551Fahim AlamFemaleMarketingMarketing ManagerFull-timeRemote43769157660Sylhet"/>
        <s v="E0552Rahim HasanFemaleOperationsSupply Chain AnalystFull-timeRajshahi4550854791E0104Sylhet"/>
        <s v="E0553Tania RanaMaleMarketingSEO SpecialistFull-timeDhaka44361144565E0657Sylhet"/>
        <s v="E0554Shafiq RasheedFemaleMarketingMarketing ManagerFull-timeChattogram43156118399E0749Sylhet"/>
        <s v="E0555Noman ShahFemaleOperationsOperations AssociateFull-timeRajshahi4329796262E0172Sylhet"/>
        <s v="E0556Jannat BanuFemaleSalesSales AssociateFull-timeSylhet42933120796E0142Sylhet"/>
        <s v="E0557Sumaiya ChowdhuryMaleEngineeringSenior Software EngineerInternSylhet43004239730Sylhet"/>
        <s v="E0558Ovi ShahNon-binaryEngineeringSoftware EngineerFull-timeSylhet42686185256E0167Sylhet"/>
        <s v="E0559Rahim RahmanFemaleFinanceFinance ManagerFull-timeSylhet43581253912E0249Sylhet"/>
        <s v="E0560Nafiz UddinMaleHRHR ManagerFull-timeRajshahi45828210488E0762Sylhet"/>
        <s v="E0561Tasnim HasanMaleFinanceFinancial AnalystFull-timeDhaka45598155423E0012Sylhet"/>
        <s v="E0562Farhan AlamMaleEngineeringSoftware EngineerContractChattogram42784100233E0142Sylhet"/>
        <s v="E0563Shawon SultanaMaleEngineeringDevOps EngineerFull-timeDhaka44449211477Sylhet"/>
        <s v="E0564Rashed MorshedMaleEngineeringSoftware EngineerFull-timeRajshahi45527224909E0425Sylhet"/>
        <s v="E0565Sadia AkterFemaleSalesSales ManagerFull-timeKhulna44580238998E0861Sylhet"/>
        <s v="E0566Rahim KhanFemaleMarketingContent SpecialistFull-timeDhaka45790150971E0368Sylhet"/>
        <s v="E0567Shawon RahmanMaleSalesSenior Account ExecutiveFull-timeRemote45395211829E0852Sylhet"/>
        <s v="E0568Zahid TalukderFemaleSalesSales AssociateFull-timeChattogram44526145287Sylhet"/>
        <s v="E0569Sumaiya ChowdhuryFemaleCustomer SuccessSupport SpecialistFull-timeChattogram4252458483Sylhet"/>
        <s v="E0570Rashed AhmedFemaleSalesAccount ExecutiveFull-timeKhulna45081101081E0141Sylhet"/>
        <s v="E0571Jannat AminFemaleMarketingGrowth MarketerFull-timeRemote4374989872Sylhet"/>
        <s v="E0572Tania HossainMaleOperationsOperations AssociateFull-timeRemote4550862383E0063Sylhet"/>
        <s v="E0573Tamanna SarkerFemaleSalesSenior Account ExecutiveFull-timeDhaka44901139985E0166Sylhet"/>
        <s v="E0574Shawon AkterFemaleHRHR ManagerInternKhulna42906102751E0897Sylhet"/>
        <s v="E0575Sajid ParvinMaleOperationsOperations AssociateFull-timeChattogram4481659718E0376Sylhet"/>
        <s v="E0576Shawon KabirFemaleCustomer SuccessSupport AssociateFull-timeChattogram4391356617E0111Sylhet"/>
        <s v="E0577Fahim JahanMaleEngineeringJunior Software EngineerContractSylhet4300178598E0756Sylhet"/>
        <s v="E0578Ovi MorshedMaleCustomer SuccessSupport SpecialistFull-timeKhulna43034101482E0828Sylhet"/>
        <s v="E0579Shawon SarkerMaleMarketingGrowth MarketerContractDhaka4311075797E0226Sylhet"/>
        <s v="E0580Sadia KhanFemaleProductAssociate Product ManagerFull-timeRemote45775243494E0025Sylhet"/>
        <s v="E0581Shawon SarkerMaleSalesSales AssociateFull-timeDhaka4520786634E0777Sylhet"/>
        <s v="E0582Tania SarkerFemaleCustomer SuccessSupport SpecialistFull-timeRemote4552872541E0543Sylhet"/>
        <s v="E0583Shawon KabirFemaleMarketingGrowth MarketerFull-timeSylhet44928156742E0190Sylhet"/>
        <s v="E0584Noman HasanMaleSalesAccount ExecutiveFull-timeKhulna45683155431E0719Sylhet"/>
        <s v="E0585Mitu MorshedFemaleHRHR ManagerFull-timeChattogram43048205608E0997Sylhet"/>
        <s v="E0586Nadia HossainMaleProductProduct AnalystFull-timeSylhet45323157460E0665Sylhet"/>
        <s v="E0587Jannat ParvinMaleEngineeringQA EngineerFull-timeRajshahi44162144619E0782Sylhet"/>
        <s v="E0588Jannat RahmanFemaleEngineeringSoftware EngineerFull-timeChattogram42548182892E0543Sylhet"/>
        <s v="E0589Tamanna KabirMaleEngineeringSoftware EngineerFull-timeChattogram44052171884E0488Sylhet"/>
        <s v="E0590Shafiq HasanMaleEngineeringQA EngineerFull-timeKhulna4386285557E0181Sylhet"/>
        <s v="E0591Zahid SultanaFemaleEngineeringQA EngineerContractKhulna45140125670E0053Sylhet"/>
        <s v="E0592Rafi ChowdhuryMaleHRHR ManagerFull-timeKhulna45317159972E0197Sylhet"/>
        <s v="E0593Mitu UddinMaleEngineeringJunior Software EngineerFull-timeRemote43342141698E0221Sylhet"/>
        <s v="E0594Shafiq AkterFemaleSalesSales AssociateFull-timeKhulna44189149831E0323Sylhet"/>
        <s v="E0595Shawon HasanMaleOperationsOperations ManagerFull-timeRajshahi44870186586Sylhet"/>
        <s v="E0596Nafiz UddinFemaleMarketingGrowth MarketerContractDhaka4353769151E0630Sylhet"/>
        <s v="E0597Imran HasanFemaleHRHR AssociateContractChattogram45451104195E0852Sylhet"/>
        <s v="E0598Shawon IslamMaleEngineeringJunior Software EngineerFull-timeRajshahi45436157968E0045Sylhet"/>
        <s v="E0599Rahim SharminMaleEngineeringJunior Software EngineerFull-timeDhaka45580198433E0736Sylhet"/>
        <s v="E0600Sajid RahmanFemaleEngineeringDevOps EngineerFull-timeRemote44208163236E0640Sylhet"/>
        <s v="E0601Imran IslamMaleEngineeringJunior Software EngineerContractRemote43328148806E0828Sylhet"/>
        <s v="E0602Tania AnjumFemaleProductAssociate Product ManagerContractDhaka44557175181Sylhet"/>
        <s v="E0603Rafi AkterMaleEngineeringSoftware EngineerFull-timeChattogram43349153747E0085Sylhet"/>
        <s v="E0604Farhan ChowdhuryFemaleEngineeringSoftware EngineerFull-timeKhulna43637170491E0334Sylhet"/>
        <s v="E0605Sadia BiswasFemaleEngineeringJunior Software EngineerContractRemote45682177297E0801Sylhet"/>
        <s v="E0606Nadia MorshedFemaleSalesAccount ExecutiveFull-timeChattogram4558264256E0055Sylhet"/>
        <s v="E0607Tasnim SultanaMaleEngineeringJunior Software EngineerInternSylhet44291171159E0144Sylhet"/>
        <s v="E0608Sumaiya RanaFemaleSalesSenior Account ExecutiveFull-timeRemote45790202406E0852Sylhet"/>
        <s v="E0609Rashed HaiderMaleMarketingMarketing AssociateFull-timeKhulna43164153772E0500Sylhet"/>
        <s v="E0610Priya MorshedMaleFinanceFinancial AnalystFull-timeChattogram43876133813E0585Sylhet"/>
        <s v="E0611Sumaiya ParvinFemaleEngineeringDevOps EngineerFull-timeKhulna45148228212E0797Sylhet"/>
        <s v="E0612Lamia AnjumMaleOperationsSupply Chain AnalystFull-timeRajshahi44706154087E0963Sylhet"/>
        <s v="E0613Nadia HossainFemaleHRRecruiterFull-timeRajshahi4417499530E0179Sylhet"/>
        <s v="E0614Farhan AnjumMaleEngineeringSoftware EngineerFull-timeDhaka44261105296Sylhet"/>
        <s v="E0615Mahin BanuMaleOperationsOperations AssociateContractDhaka4552176276E0772Sylhet"/>
        <s v="E0616Noman HasanMaleCustomer SuccessSupport SpecialistFull-timeSylhet4352468846E0968Sylhet"/>
        <s v="E0617Sajid BanuFemaleEngineeringEngineering ManagerContractRajshahi45557124898Sylhet"/>
        <s v="E0618Esha AkterMaleProductProduct ManagerFull-timeChattogram43934316684E0592Sylhet"/>
        <s v="E0619Imran AhmedFemaleOperationsSupply Chain AnalystFull-timeRemote44429104626E0742Sylhet"/>
        <s v="E0620Shawon KabirMaleFinanceSenior Financial AnalystFull-timeRajshahi44530254832E0602Sylhet"/>
        <s v="E0621Shawon AnjumMaleEngineeringSenior Software EngineerInternSylhet44084235691E0351Sylhet"/>
        <s v="E0622Nadia SarkerMaleEngineeringJunior Software EngineerFull-timeDhaka43033107528E0470Sylhet"/>
        <s v="E0623Shawon KabirMaleSalesAccount ExecutiveFull-timeRemote45715125443E0881Sylhet"/>
        <s v="E0624Sajid SarkerMaleMarketingMarketing ManagerInternKhulna43187229318E0917Sylhet"/>
        <s v="E0625Tamanna ShahMaleHRHR AssociateFull-timeKhulna4565169161E0062Sylhet"/>
        <s v="E0626Sajid IslamFemaleSalesSenior Account ExecutiveFull-timeChattogram44846162546E0456Sylhet"/>
        <s v="E0627Zahid ParvinMaleSalesSales AssociateContractSylhet42936113537E0239Sylhet"/>
        <s v="E0628Tamanna AhmedMaleFinanceFinancial AnalystFull-timeDhaka43394162823E0465Sylhet"/>
        <s v="E0629Farhan RahmanMaleEngineeringJunior Software EngineerFull-timeRajshahi42583156024Sylhet"/>
        <s v="E0630Rahim BanuFemaleProductAssociate Product ManagerContractRemote44996143628E0376Sylhet"/>
        <s v="E0631Shawon SadiqNon-binaryFinanceSenior Financial AnalystFull-timeRemote44338250336E0955Sylhet"/>
        <s v="E0632Mahin RahmanMaleOperationsOperations AssociateFull-timeRajshahi43890126833Sylhet"/>
        <s v="E0633Farhan AminMaleMarketingGrowth MarketerFull-timeKhulna4464198625E0831Sylhet"/>
        <s v="E0634Mitu BanuMaleMarketingSEO SpecialistFull-timeChattogram42790181577E0314Sylhet"/>
        <s v="E0635Rashed RanaMaleEngineeringEngineering ManagerInternSylhet45283264639E0688Sylhet"/>
        <s v="E0636Nabila FerdousMaleSalesSales AssociateFull-timeDhaka4583449291E0871Sylhet"/>
        <s v="E0637Tania AkterMaleMarketingContent SpecialistFull-timeKhulna44483128115E0545Sylhet"/>
        <s v="E0638Jannat SarkerMaleProductProduct AnalystContractKhulna45856188148E0816Sylhet"/>
        <s v="E0639Karim TalukderMaleProductSenior Product ManagerFull-timeDhaka42880138471E0656Sylhet"/>
        <s v="E0640Sadia AhmedMaleSalesSales ManagerFull-timeRemote43537133251E0407Sylhet"/>
        <s v="E0641Nabila JahanNon-binaryEngineeringSenior Software EngineerFull-timeRajshahi42713229364E0104Sylhet"/>
        <s v="E0642Farhan HasanFemaleSalesSales ManagerFull-timeRajshahi45495135297Sylhet"/>
        <s v="E0643Shafiq UddinFemaleEngineeringSenior Software EngineerFull-timeDhaka43026215631E0049Sylhet"/>
        <s v="E0644Tasnim SarkerMaleSalesSenior Account ExecutiveFull-timeChattogram43487125647E0122Sylhet"/>
        <s v="E0645Nafiz HossainFemaleEngineeringJunior Software EngineerFull-timeKhulna44210129283E0025Sylhet"/>
        <s v="E0646Ayesha BanuMaleOperationsOperations ManagerFull-timeChattogram44472144222E0500Sylhet"/>
        <s v="E0647Ovi MiahFemaleHRHR AssociateFull-timeRemote4297398071E0025Sylhet"/>
        <s v="E0648Sumaiya SharminFemaleFinanceFinance ManagerFull-timeRajshahi45773198142E0893Sylhet"/>
        <s v="E0649Rafi AnjumMaleOperationsOperations ManagerFull-timeSylhet44161143186E0511Sylhet"/>
        <s v="E0650Sajid JahanMaleMarketingSEO SpecialistFull-timeSylhet42745107440E0745Sylhet"/>
        <s v="E0651Sajid AhmedMaleEngineeringJunior Software EngineerFull-timeSylhet43279139534E0051Sylhet"/>
        <s v="E0652Rafi AkterMaleMarketingContent SpecialistFull-timeChattogram45715140432E0648Sylhet"/>
        <s v="E0653Sadia IslamFemaleMarketingContent SpecialistFull-timeSylhet44217163230E0013Sylhet"/>
        <s v="E0654Noman SharminMaleFinanceFinancial AnalystFull-timeKhulna43801116495E0190Sylhet"/>
        <s v="E0655Mitu ChowdhuryFemaleSalesSales AssociateFull-timeKhulna42479129832E0990Sylhet"/>
        <s v="E0656Rashed AnjumMaleEngineeringEngineering ManagerFull-timeSylhet44069156323E0075Sylhet"/>
        <s v="E0657Arif HaiderMaleProductAssociate Product ManagerFull-timeDhaka42588284958E0672Sylhet"/>
        <s v="E0658Rafi SharminFemaleSalesAccount ExecutiveFull-timeRajshahi43993189635Sylhet"/>
        <s v="E0659Nafiz AhmedMaleHRRecruiterFull-timeRajshahi44426101750E0997Sylhet"/>
        <s v="E0660Noman HaiderMaleMarketingContent SpecialistFull-timeRemote43901129219E0874Sylhet"/>
        <s v="E0661Karim MahmudFemaleSalesSenior Account ExecutiveFull-timeSylhet43335223274E0755Sylhet"/>
        <s v="E0662Tamanna SharminMaleCustomer SuccessSupport SpecialistFull-timeRajshahi4395168587Sylhet"/>
        <s v="E0663Shawon AminPrefer not to sayHRHR ManagerFull-timeRajshahi42704140584E0551Sylhet"/>
        <s v="E0664Rahim MiahMaleProductAssociate Product ManagerFull-timeChattogram43905219962Sylhet"/>
        <s v="E0665Farhan SadiqFemaleEngineeringEngineering ManagerFull-timeDhaka43289115007Sylhet"/>
        <s v="E0666Imran SharminFemaleEngineeringDevOps EngineerFull-timeDhaka42485214063E0197Sylhet"/>
        <s v="E0667Priya TalukderFemaleProductProduct AnalystFull-timeRemote43675185866E0089Sylhet"/>
        <s v="E0668Sajid RanaMaleEngineeringEngineering ManagerFull-timeRajshahi42775152869E0214Sylhet"/>
        <s v="E0669Fahim RanaMaleEngineeringJunior Software EngineerFull-timeRemote4580798911E0172Sylhet"/>
        <s v="E0670Ovi HossainMaleProductSenior Product ManagerFull-timeChattogram45297220530E0688Sylhet"/>
        <s v="E0671Priya MorshedMaleEngineeringSoftware EngineerContractKhulna45032173326E0664Sylhet"/>
        <s v="E0672Shawon JahanFemaleOperationsOperations ManagerContractRemote43743202760E0585Sylhet"/>
        <s v="E0673Zahid RahmanPrefer not to sayEngineeringDevOps EngineerInternChattogram45611163043E0420Sylhet"/>
        <s v="E0674Mahin ShahMaleMarketingSEO SpecialistFull-timeDhaka42968111351E0816Sylhet"/>
        <s v="E0675Ovi UddinFemaleSalesSenior Account ExecutiveFull-timeKhulna42933226302E0357Sylhet"/>
        <s v="E0676Tamanna RahmanFemaleCustomer SuccessSupport AssociateFull-timeRemote4252666924E0745Sylhet"/>
        <s v="E0677Tania MahmudFemaleEngineeringJunior Software EngineerFull-timeKhulna43545105800E0955Sylhet"/>
        <s v="E0678Arif AkterFemaleSalesAccount ExecutiveFull-timeKhulna4576896400E0852Sylhet"/>
        <s v="E0679Priya RahmanMaleCustomer SuccessSupport AssociateFull-timeRajshahi44305108900E0396Sylhet"/>
        <s v="E0680Arif UddinMaleOperationsSupply Chain AnalystFull-timeRajshahi45221101913E0687Sylhet"/>
        <s v="E0681Sumaiya HaiderFemaleOperationsOperations AssociateFull-timeKhulna4577487577E0642Sylhet"/>
        <s v="E0682Lamia SharminMaleProductSenior Product ManagerFull-timeKhulna42938211968E0356Sylhet"/>
        <s v="E0683Karim TalukderMaleEngineeringQA EngineerFull-timeRajshahi45478201850E0574Sylhet"/>
        <s v="E0684Nabila SadiqMaleHRHR ManagerFull-timeRemote45259114025E0323Sylhet"/>
        <s v="E0685Fahim IslamMaleCustomer SuccessSupport AssociateFull-timeChattogram44291121728E0416Sylhet"/>
        <s v="E0686Shawon SarkerMaleMarketingMarketing ManagerFull-timeSylhet44207230250E0441Sylhet"/>
        <s v="E0687Lamia KhanFemaleMarketingMarketing ManagerFull-timeSylhet44890145443E0314Sylhet"/>
        <s v="E0688Nafiz BanuMaleProductAssociate Product ManagerFull-timeDhaka42391344942E0595Sylhet"/>
        <s v="E0689Shawon SadiqMaleFinanceSenior Financial AnalystFull-timeKhulna42694230193E0371Sylhet"/>
        <s v="E0690Sajid AnjumFemaleEngineeringQA EngineerFull-timeRajshahi42447104109E0990Sylhet"/>
        <s v="E0691Nabila HasanFemaleSalesSales AssociateFull-timeChattogram43418123664E0361Sylhet"/>
        <s v="E0692Sadia JahanMaleSalesAccount ExecutiveContractKhulna4325379430E0453Sylhet"/>
        <s v="E0693Sadia SarkerFemaleMarketingContent SpecialistFull-timeChattogram45790156229E0003Sylhet"/>
        <s v="E0694Shawon UddinFemaleProductProduct AnalystFull-timeRajshahi42982121916E0249Sylhet"/>
        <s v="E0695Tamanna AlamFemaleEngineeringSoftware EngineerFull-timeKhulna44617208355E0538Sylhet"/>
        <s v="E0696Mahin RasheedFemaleHRHR AssociateFull-timeRemote4534897862E0956Sylhet"/>
        <s v="E0697Farhan AlamFemaleProductProduct AnalystFull-timeKhulna44863130480E0272Sylhet"/>
        <s v="E0698Rahim HossainFemaleMarketingMarketing AssociateFull-timeRajshahi4453159947E0196Sylhet"/>
        <s v="E0699Arif UddinMaleEngineeringEngineering ManagerContractRemote44103296169E0019Sylhet"/>
        <s v="E0700Rafi BanuMaleMarketingGrowth MarketerInternRemote42825110392E0736Sylhet"/>
        <s v="E0701Mahin AminFemaleMarketingMarketing ManagerFull-timeRemote45549234854E0989Sylhet"/>
        <s v="E0702Esha KhanFemaleEngineeringSoftware EngineerFull-timeChattogram4355086771E0585Sylhet"/>
        <s v="E0703Jannat SharminFemaleSalesAccount ExecutiveContractDhaka43343152242E0617Sylhet"/>
        <s v="E0704Lamia RasheedMaleEngineeringSenior Software EngineerFull-timeDhaka43603246659E0037Sylhet"/>
        <s v="E0705Esha TalukderMaleEngineeringSoftware EngineerFull-timeChattogram42869176602E0144Sylhet"/>
        <s v="E0706Tamanna MiahMaleCustomer SuccessSupport AssociateInternKhulna4256591420E0365Sylhet"/>
        <s v="E0707Rafi SultanaFemaleSalesSenior Account ExecutiveInternKhulna43346117598E0226Sylhet"/>
        <s v="E0708Arif RanaFemaleOperationsOperations AssociateFull-timeChattogram44089124911E0866Sylhet"/>
        <s v="E0709Ovi SharminMaleProductProduct ManagerFull-timeKhulna44987171022E0617Sylhet"/>
        <s v="E0710Rashed MorshedMaleFinanceSenior Financial AnalystFull-timeSylhet45621219044E0980Sylhet"/>
        <s v="E0711Karim HasanFemaleFinanceAccounts ExecutiveFull-timeDhaka44921112993E0065Sylhet"/>
        <s v="E0712Tamanna MorshedFemaleHRHR AssociateFull-timeSylhet4424290401E0852Sylhet"/>
        <s v="E0713Rafi HossainFemaleMarketingSEO SpecialistFull-timeKhulna4262774498E0500Sylhet"/>
        <s v="E0714Karim MahmudMaleSalesAccount ExecutiveFull-timeChattogram42824189759E0736Sylhet"/>
        <s v="E0715Tamanna ChowdhuryMaleSalesSales AssociateFull-timeKhulna4579793826E0871Sylhet"/>
        <s v="E0716Tasnim HossainMaleCustomer SuccessCustomer Success ManagerFull-timeChattogram44417171523E0640Sylhet"/>
        <s v="E0717Tania ChowdhuryMaleOperationsOperations AssociateFull-timeChattogram4481489249E0037Sylhet"/>
        <s v="E0718Imran KhanMaleCustomer SuccessSupport SpecialistFull-timeChattogram4456548538E0618Sylhet"/>
        <s v="E0719Nabila IslamMaleEngineeringEngineering ManagerFull-timeRemote42437122096E0845Sylhet"/>
        <s v="E0720Jannat IslamMaleFinanceAccounts ExecutiveFull-timeSylhet4495878350Sylhet"/>
        <s v="E0721Noman HasanMaleCustomer SuccessSupport AssociateFull-timeRemote44480109085E0351Sylhet"/>
        <s v="E0722Mahin HaiderFemaleEngineeringJunior Software EngineerContractRajshahi44725112504E0445Sylhet"/>
        <s v="E0723Ayesha MiahFemaleEngineeringSoftware EngineerFull-timeRemote43360140797E0927Sylhet"/>
        <s v="E0724Farhan RasheedFemaleFinanceAccounts ExecutiveFull-timeDhaka45313131619E0828Sylhet"/>
        <s v="E0725Lamia ShahFemaleMarketingSEO SpecialistFull-timeRemote42958173103E0686Sylhet"/>
        <s v="E0726Shafiq BanuPrefer not to sayOperationsOperations AssociateFull-timeRajshahi4356392825E0990Sylhet"/>
        <s v="E0727Arif KabirFemaleEngineeringSenior Software EngineerFull-timeRemote44128290782Sylhet"/>
        <s v="E0728Rafi JahanMaleOperationsOperations ManagerFull-timeSylhet42376120139E0376Sylhet"/>
        <s v="E0729Nafiz AhmedMaleEngineeringDevOps EngineerFull-timeChattogram44888144862Sylhet"/>
        <s v="E0730Tasnim HasanFemaleEngineeringSenior Software EngineerFull-timeDhaka43815201682E0310Sylhet"/>
        <s v="E0731Karim AhmedMaleEngineeringSoftware EngineerFull-timeRemote43355197277E0142Sylhet"/>
        <s v="E0732Noman RanaFemaleOperationsSupply Chain AnalystFull-timeDhaka44707135986E0742Sylhet"/>
        <s v="E0733Nadia FerdousFemaleHRRecruiterFull-timeChattogram4407656897E0051Sylhet"/>
        <s v="E0734Mahin HaiderMaleMarketingContent SpecialistFull-timeSylhet43137155461E0387Sylhet"/>
        <s v="E0735Shawon KabirFemaleSalesSales AssociateFull-timeRajshahi4509167760E0786Sylhet"/>
        <s v="E0736Sajid BiswasFemaleOperationsOperations ManagerFull-timeRemote45107180002E0522Sylhet"/>
        <s v="E0737Nafiz HaiderMaleSalesAccount ExecutiveFull-timeSylhet42720134875Sylhet"/>
        <s v="E0738Rashed BiswasMaleOperationsOperations AssociateInternChattogram4451468992E0849Sylhet"/>
        <s v="E0739Jannat ParvinMaleSalesAccount ExecutiveFull-timeKhulna43847154293E0122Sylhet"/>
        <s v="E0740Ovi SharminMaleSalesAccount ExecutiveFull-timeKhulna4264791470E0479Sylhet"/>
        <s v="E0741Mahin FerdousFemaleSalesSales ManagerFull-timeSylhet44524179692E0051Sylhet"/>
        <s v="E0742Lamia AkterFemaleProductProduct ManagerContractRajshahi44598182793E0239Sylhet"/>
        <s v="E0743Rafi MiahMaleFinanceSenior Financial AnalystFull-timeChattogram44448125899Sylhet"/>
        <s v="E0744Sajid IslamFemaleMarketingMarketing AssociateFull-timeRajshahi4559173942E0831Sylhet"/>
        <s v="E0745Tamanna RanaMaleProductAssociate Product ManagerFull-timeDhaka44449264211E0816Sylhet"/>
        <s v="E0746Tasnim ChowdhuryFemaleOperationsSupply Chain AnalystFull-timeChattogram4463998638E0592Sylhet"/>
        <s v="E0747Rashed AlamFemaleSalesSales AssociateContractKhulna42453154415E0389Sylhet"/>
        <s v="E0748Nadia BanuFemaleMarketingContent SpecialistFull-timeChattogram4396974270E0181Sylhet"/>
        <s v="E0749Arif MiahMaleCustomer SuccessCustomer Success ManagerFull-timeKhulna4429564708E0780Sylhet"/>
        <s v="E0750Sadia AnjumMaleHRHR AssociateFull-timeSylhet4254850950E0225Sylhet"/>
        <s v="E0751Rahim IslamMaleEngineeringSenior Software EngineerFull-timeKhulna44973251186Sylhet"/>
        <s v="E0752Arif MiahNon-binaryCustomer SuccessSupport AssociateFull-timeDhaka4395450074E0314Sylhet"/>
        <s v="E0753Rafi ChowdhuryMaleHRHR AssociateFull-timeRajshahi4389998914E0618Sylhet"/>
        <s v="E0754Priya ShahMaleSalesSales AssociateFull-timeRajshahi43408151850Sylhet"/>
        <s v="E0755Sumaiya SharminNon-binaryEngineeringEngineering ManagerFull-timeSylhet45431150316E0426Sylhet"/>
        <s v="E0756Lamia MiahFemaleOperationsOperations ManagerInternRemote42436117567E0172Sylhet"/>
        <s v="E0757Sumaiya ChowdhuryMaleHRHR ManagerFull-timeSylhet43832101630E0640Sylhet"/>
        <s v="E0758Esha SharminMaleMarketingContent SpecialistFull-timeDhaka45599124782E0828Sylhet"/>
        <s v="E0759Nabila MorshedMaleOperationsOperations AssociateFull-timeChattogram4264662160E0351Sylhet"/>
        <s v="E0760Ovi RanaMaleOperationsSupply Chain AnalystInternSylhet43782128604E0861Sylhet"/>
        <s v="E0761Shafiq ChowdhuryFemaleEngineeringSenior Software EngineerFull-timeDhaka43357138156E0141Sylhet"/>
        <s v="E0762Nadia KhanFemaleProductSenior Product ManagerFull-timeChattogram45372131666E0990Sylhet"/>
        <s v="E0763Rahim BiswasFemaleProductProduct AnalystFull-timeKhulna45061181764E0184Sylhet"/>
        <s v="E0764Sajid IslamMaleFinanceFinancial AnalystFull-timeChattogram44943156370E0144Sylhet"/>
        <s v="E0765Rafi AlamMaleEngineeringJunior Software EngineerFull-timeKhulna42794154905E0909Sylhet"/>
        <s v="E0766Arif ChowdhuryFemaleMarketingContent SpecialistFull-timeRajshahi4553064730Sylhet"/>
        <s v="E0767Fahim TalukderMaleFinanceSenior Financial AnalystFull-timeChattogram44753198501E0225Sylhet"/>
        <s v="E0768Nabila RahmanFemaleOperationsSupply Chain AnalystFull-timeKhulna4538182662E0990Sylhet"/>
        <s v="E0769Ovi BiswasMaleSalesAccount ExecutiveFull-timeSylhet45469148154E0882Sylhet"/>
        <s v="E0770Arif IslamNon-binaryOperationsSupply Chain AnalystFull-timeDhaka43731139764E0013Sylhet"/>
        <s v="E0771Arif AkterFemaleEngineeringSenior Software EngineerFull-timeSylhet42916280370E0861Sylhet"/>
        <s v="E0772Lamia ChowdhuryMaleOperationsOperations ManagerFull-timeRajshahi4255185715E0456Sylhet"/>
        <s v="E0773Lamia MiahMaleEngineeringDevOps EngineerFull-timeChattogram43813149792E0325Sylhet"/>
        <s v="E0774Tania ShahFemaleSalesSales ManagerFull-timeKhulna4460690066E0559Sylhet"/>
        <s v="E0775Ayesha MahmudFemaleOperationsOperations ManagerFull-timeChattogram43756209353E0565Sylhet"/>
        <s v="E0776Zahid BanuMaleEngineeringSoftware EngineerFull-timeChattogram4570293583E0237Sylhet"/>
        <s v="E0777Sadia IslamPrefer not to sayProductProduct ManagerInternKhulna45002273469E0663Sylhet"/>
        <s v="E0778Rafi ShahFemaleFinanceFinancial AnalystFull-timeRajshahi4308792989E0132Sylhet"/>
        <s v="E0779Shawon IslamMaleFinanceAccounts ExecutiveContractSylhet45771191081E0701Sylhet"/>
        <s v="E0780Ayesha JahanMaleHRHR ManagerFull-timeRemote45561146560Sylhet"/>
        <s v="E0781Lamia AminFemaleFinanceAccounts ExecutiveFull-timeRemote45174151301E0688Sylhet"/>
        <s v="E0782Shawon HaiderMaleMarketingMarketing ManagerFull-timeSylhet44273217008E0231Sylhet"/>
        <s v="E0783Nabila MiahFemaleProductAssociate Product ManagerFull-timeRemote45218134842E0249Sylhet"/>
        <s v="E0784Jannat MorshedMaleSalesSenior Account ExecutiveFull-timeSylhet44330173458E0742Sylhet"/>
        <s v="E0785Tasnim SadiqMaleEngineeringQA EngineerFull-timeChattogram44957163741E0053Sylhet"/>
        <s v="E0786Sajid RasheedFemaleCustomer SuccessCustomer Success ManagerFull-timeRemote4311693910E0012Sylhet"/>
        <s v="E0787Shafiq RanaNon-binaryMarketingGrowth MarketerFull-timeRemote45693129991Sylhet"/>
        <s v="E0788Sajid JahanMaleSalesSenior Account ExecutiveFull-timeSylhet42922144722E0688Sylhet"/>
        <s v="E0789Zahid ShahFemaleSalesSales AssociateFull-timeChattogram42628112327E0687Sylhet"/>
        <s v="E0790Rafi BiswasMaleCustomer SuccessSupport SpecialistFull-timeKhulna4530268406E0103Sylhet"/>
        <s v="E0791Nabila KhanFemaleEngineeringJunior Software EngineerFull-timeDhaka45549187804Sylhet"/>
        <s v="E0792Shawon BanuMaleMarketingSEO SpecialistContractKhulna44244175256E0684Sylhet"/>
        <s v="E0793Tamanna RahmanFemaleMarketingGrowth MarketerFull-timeRajshahi42521149101E0376Sylhet"/>
        <s v="E0794Shafiq RasheedFemaleHRHR Business PartnerFull-timeChattogram4357164223E0755Sylhet"/>
        <s v="E0795Lamia KhanMaleEngineeringJunior Software EngineerFull-timeSylhet43195103668Sylhet"/>
        <s v="E0796Tasnim AhmedFemaleOperationsOperations AssociateInternRajshahi4254998984E0917Sylhet"/>
        <s v="E0797Mitu SultanaMaleCustomer SuccessCustomer Success ManagerFull-timeDhaka4561096703E0081Sylhet"/>
        <s v="E0798Esha SarkerFemaleMarketingMarketing AssociateFull-timeRemote4318756576E0520Sylhet"/>
        <s v="E0799Rafi UddinMaleFinanceAccounts ExecutiveFull-timeChattogram42541160461E0592Sylhet"/>
        <s v="E0800Karim BiswasFemaleCustomer SuccessSupport AssociateFull-timeRajshahi4366286429E0019Sylhet"/>
        <s v="E0801Rahim SultanaMaleFinanceFinance ManagerContractDhaka43640121309Sylhet"/>
        <s v="E0802Nafiz HasanMaleEngineeringQA EngineerFull-timeRemote44481128635E0278Sylhet"/>
        <s v="E0803Sajid AminFemaleMarketingContent SpecialistFull-timeRajshahi44001135705E0387Sylhet"/>
        <s v="E0804Nadia RanaPrefer not to sayHRRecruiterFull-timeRajshahi4570980489E0016Sylhet"/>
        <s v="E0805Zahid SadiqMaleSalesAccount ExecutiveFull-timeDhaka44594101359E0356Sylhet"/>
        <s v="E0806Imran HasanMaleFinanceSenior Financial AnalystFull-timeKhulna44309196965E0273Sylhet"/>
        <s v="E0807Ayesha HossainMaleCustomer SuccessSupport SpecialistFull-timeSylhet4340787246E0520Sylhet"/>
        <s v="E0808Lamia AnjumMaleCustomer SuccessSupport AssociateFull-timeSylhet4251957975E0055Sylhet"/>
        <s v="E0809Rafi RasheedFemaleSalesSales AssociateFull-timeRajshahi45455148174E0938Sylhet"/>
        <s v="E0810Ovi HossainMaleEngineeringJunior Software EngineerFull-timeSylhet45019102328E0870Sylhet"/>
        <s v="E0811Mahin MahmudMaleCustomer SuccessSupport SpecialistFull-timeDhaka4315276816E0585Sylhet"/>
        <s v="E0812Fahim BanuMaleOperationsOperations ManagerFull-timeKhulna43541153074E0199Sylhet"/>
        <s v="E0813Shawon SultanaMaleEngineeringSoftware EngineerFull-timeRajshahi43832120062E0965Sylhet"/>
        <s v="E0814Priya AminFemaleCustomer SuccessSupport AssociateFull-timeChattogram4590198793E0125Sylhet"/>
        <s v="E0815Rahim ShahFemaleOperationsOperations AssociateFull-timeRajshahi4556862931Sylhet"/>
        <s v="E0816Ovi UddinMaleMarketingMarketing ManagerFull-timeRajshahi42565138080E0716Sylhet"/>
        <s v="E0817Mitu IslamFemaleHRRecruiterFull-timeChattogram45055113462E0664Sylhet"/>
        <s v="E0818Nabila AnjumMaleSalesSenior Account ExecutiveContractRajshahi43729197390E0420Sylhet"/>
        <s v="E0819Farhan UddinFemaleEngineeringQA EngineerFull-timeDhaka43489152107E0144Sylhet"/>
        <s v="E0820Mitu UddinFemaleSalesAccount ExecutiveFull-timeKhulna4287997743E0302Sylhet"/>
        <s v="E0821Ayesha MiahFemaleOperationsOperations AssociateFull-timeDhaka45644134335E0325Sylhet"/>
        <s v="E0822Arif UddinMaleEngineeringJunior Software EngineerFull-timeKhulna43877169541E0122Sylhet"/>
        <s v="E0823Tasnim AkterFemaleSalesSenior Account ExecutiveContractDhaka44159138411E0125Sylhet"/>
        <s v="E0824Noman TalukderFemaleSalesSenior Account ExecutiveFull-timeDhaka44008233575E0728Sylhet"/>
        <s v="E0825Karim HasanNon-binaryMarketingGrowth MarketerFull-timeDhaka4541477744E0913Sylhet"/>
        <s v="E0826Shawon MorshedMaleCustomer SuccessSupport SpecialistFull-timeChattogram4417166009E0736Sylhet"/>
        <s v="E0827Rafi JahanMaleSalesSales AssociateFull-timeChattogram43953163219E0545Sylhet"/>
        <s v="E0828Farhan RanaMaleSalesSales ManagerFull-timeChattogram43758222625E0441Sylhet"/>
        <s v="E0829Rafi MiahFemaleFinanceSenior Financial AnalystFull-timeRajshahi43135286329E0828Sylhet"/>
        <s v="E0830Sumaiya RanaFemaleSalesAccount ExecutiveContractChattogram4440273250E0991Sylhet"/>
        <s v="E0831Shawon MorshedFemaleProductSenior Product ManagerFull-timeKhulna45204261849E0150Sylhet"/>
        <s v="E0832Farhan JahanMaleSalesSenior Account ExecutiveFull-timeChattogram44407199928E0585Sylhet"/>
        <s v="E0833Tamanna KabirMaleEngineeringSenior Software EngineerFull-timeDhaka43874292571E0762Sylhet"/>
        <s v="E0834Shafiq FerdousMaleEngineeringQA EngineerFull-timeSylhet45635118097E0310Sylhet"/>
        <s v="E0835Sajid SultanaFemaleMarketingSEO SpecialistFull-timeChattogram44496162297E0141Sylhet"/>
        <s v="E0836Karim IslamMaleSalesSenior Account ExecutiveFull-timeRemote43462139606E0812Sylhet"/>
        <s v="E0837Fahim MiahFemaleCustomer SuccessSupport AssociateFull-timeChattogram45651112331E0416Sylhet"/>
        <s v="E0838Jannat AnjumMaleSalesAccount ExecutiveFull-timeDhaka42708124819E0273Sylhet"/>
        <s v="E0839Mahin BiswasMaleMarketingMarketing ManagerFull-timeKhulna45348164021E0997Sylhet"/>
        <s v="E0840Karim ShahFemaleHRHR AssociateFull-timeRemote4410887187E0670Sylhet"/>
        <s v="E0841Sajid SadiqMaleEngineeringSoftware EngineerFull-timeRemote42693176530E0243Sylhet"/>
        <s v="E0842Mitu HossainFemaleHRRecruiterFull-timeKhulna4413368510E0172Sylhet"/>
        <s v="E0843Ayesha KabirFemaleEngineeringSoftware EngineerFull-timeDhaka44837221794E0167Sylhet"/>
        <s v="E0844Nafiz ShahFemaleCustomer SuccessSupport SpecialistFull-timeDhaka4573850021Sylhet"/>
        <s v="E0845Imran KabirFemaleEngineeringEngineering ManagerFull-timeRajshahi43109192891E0656Sylhet"/>
        <s v="E0846Sumaiya TalukderFemaleSalesSales AssociateFull-timeKhulna4460491390E0602Sylhet"/>
        <s v="E0847Rafi SharminMaleEngineeringJunior Software EngineerFull-timeDhaka43573171843E0640Sylhet"/>
        <s v="E0848Sajid SadiqMaleCustomer SuccessSupport AssociateFull-timeChattogram43685109974E0728Sylhet"/>
        <s v="E0849Zahid IslamFemaleMarketingMarketing ManagerFull-timeChattogram42790115083Sylhet"/>
        <s v="E0850Fahim ChowdhuryFemaleHRHR Business PartnerInternRemote4269757385Sylhet"/>
        <s v="E0851Esha MahmudFemaleEngineeringSoftware EngineerFull-timeChattogram43713206117E0123Sylhet"/>
        <s v="E0852Tasnim TalukderMaleFinanceFinance ManagerFull-timeSylhet45077237253E0646Sylhet"/>
        <s v="E0853Jannat RahmanMaleEngineeringDevOps EngineerFull-timeDhaka43580154315E0684Sylhet"/>
        <s v="E0854Esha FerdousFemaleOperationsOperations ManagerFull-timeChattogram43625198624E0912Sylhet"/>
        <s v="E0855Tasnim FerdousFemaleEngineeringEngineering ManagerFull-timeDhaka44196183621E0479Sylhet"/>
        <s v="E0856Sajid MiahPrefer not to sayEngineeringSoftware EngineerFull-timeChattogram44838119454E0179Sylhet"/>
        <s v="E0857Jannat TalukderFemaleEngineeringQA EngineerFull-timeKhulna45309220349E0407Sylhet"/>
        <s v="E0858Shawon AkterMaleMarketingContent SpecialistFull-timeChattogram44115106040E0013Sylhet"/>
        <s v="E0859Nadia AhmedMaleMarketingSEO SpecialistFull-timeKhulna43052131677E0416Sylhet"/>
        <s v="E0860Rashed AhmedFemaleEngineeringQA EngineerFull-timeDhaka45195190765E0701Sylhet"/>
        <s v="E0861Shafiq AlamFemaleOperationsOperations ManagerInternKhulna44188104645E0797Sylhet"/>
        <s v="E0862Tasnim HaiderMaleSalesSenior Account ExecutiveFull-timeDhaka43809224247E0161Sylhet"/>
        <s v="E0863Esha HaiderFemaleMarketingMarketing AssociateFull-timeRemote44201107673E0448Sylhet"/>
        <s v="E0864Jannat KhanFemaleSalesAccount ExecutiveFull-timeRajshahi42543164002E0511Sylhet"/>
        <s v="E0865Nafiz RasheedMaleSalesSales ManagerFull-timeChattogram4534789730E0927Sylhet"/>
        <s v="E0866Tamanna MiahFemaleMarketingMarketing ManagerContractSylhet43814196595E0226Sylhet"/>
        <s v="E0867Farhan ChowdhuryMaleEngineeringJunior Software EngineerFull-timeSylhet44888157668E0831Sylhet"/>
        <s v="E0868Jannat ShahMaleEngineeringJunior Software EngineerFull-timeRajshahi4415192728Sylhet"/>
        <s v="E0869Nabila HaiderMaleOperationsOperations AssociateFull-timeRemote4349499636E0376Sylhet"/>
        <s v="E0870Nadia AhmedMaleCustomer SuccessCustomer Success ManagerFull-timeDhaka44989162213E0387Sylhet"/>
        <s v="E0871Tania SadiqFemaleSalesSales ManagerFull-timeKhulna45611119877E0782Sylhet"/>
        <s v="E0872Imran BanuFemaleProductProduct AnalystFull-timeChattogram42604182719E0559Sylhet"/>
        <s v="E0873Karim SultanaMaleHRRecruiterFull-timeSylhet4267788094E0938Sylhet"/>
        <s v="E0874Shawon UddinMaleSalesSales ManagerFull-timeRemote45119290910E0037Sylhet"/>
        <s v="E0875Sajid BanuFemaleEngineeringQA EngineerFull-timeChattogram44981120440E0456Sylhet"/>
        <s v="E0876Sajid KabirFemaleEngineeringSenior Software EngineerFull-timeSylhet44033282635E0938Sylhet"/>
        <s v="E0877Noman AlamMaleFinanceSenior Financial AnalystFull-timeRemote43858197092Sylhet"/>
        <s v="E0878Nafiz RasheedFemaleHRRecruiterFull-timeKhulna4447159548E0538Sylhet"/>
        <s v="E0879Jannat SharminMaleEngineeringSoftware EngineerFull-timeRajshahi45651104355E0777Sylhet"/>
        <s v="E0880Esha KhanMaleProductAssociate Product ManagerFull-timeKhulna45441170251Sylhet"/>
        <s v="E0881Arif AminMaleProductProduct ManagerFull-timeDhaka45152139832E0812Sylhet"/>
        <s v="E0882Shawon ParvinMaleFinanceFinance ManagerContractKhulna43025266975E0051Sylhet"/>
        <s v="E0883Ayesha AnjumMaleEngineeringQA EngineerFull-timeDhaka4249794532E0448Sylhet"/>
        <s v="E0884Imran ChowdhuryFemaleEngineeringQA EngineerContractRemote42954143737E0273Sylhet"/>
        <s v="E0885Sajid RahmanFemaleOperationsOperations AssociateFull-timeDhaka45846111594E0251Sylhet"/>
        <s v="E0886Shafiq BiswasFemaleEngineeringSenior Software EngineerFull-timeSylhet44858114726E0426Sylhet"/>
        <s v="E0887Rafi MorshedMaleHRHR AssociateFull-timeRajshahi4514747603E0982Sylhet"/>
        <s v="E0888Nabila IslamMaleProductProduct AnalystInternKhulna45570210895Sylhet"/>
        <s v="E0889Arif ChowdhuryMaleEngineeringQA EngineerFull-timeKhulna4416499615E0132Sylhet"/>
        <s v="E0890Rahim AlamFemaleProductSenior Product ManagerContractChattogram42512132104E0682Sylhet"/>
        <s v="E0891Arif KabirFemaleFinanceAccounts ExecutiveFull-timeSylhet42887136774E0762Sylhet"/>
        <s v="E0892Nafiz ShahMaleOperationsSupply Chain AnalystFull-timeSylhet42645103522E0166Sylhet"/>
        <s v="E0893Arif RahmanMaleOperationsOperations ManagerInternDhaka43336198114E0965Sylhet"/>
        <s v="E0894Tasnim MiahFemaleSalesSales AssociateFull-timeKhulna45558161772E0123Sylhet"/>
        <s v="E0895Mahin HaiderMaleHRRecruiterFull-timeRemote4501285586E0314Sylhet"/>
        <s v="E0896Zahid HossainMaleEngineeringQA EngineerFull-timeRemote43870106488E0161Sylhet"/>
        <s v="E0897Mahin HasanMaleProductProduct ManagerFull-timeDhaka43853136448E0968Sylhet"/>
        <s v="E0898Sadia HaiderMaleOperationsOperations AssociateInternRemote4393852388E0184Sylhet"/>
        <s v="E0899Sumaiya SadiqFemaleEngineeringSoftware EngineerFull-timeDhaka44693111622E0085Sylhet"/>
        <s v="E0900Tania SultanaFemaleEngineeringDevOps EngineerFull-timeSylhet4250292293E0741Sylhet"/>
        <s v="E0901Sadia ChowdhuryPrefer not to sayEngineeringSenior Software EngineerFull-timeDhaka44848181738E0756Sylhet"/>
        <s v="E0902Lamia BiswasMaleEngineeringJunior Software EngineerFull-timeChattogram42998146796E0757Sylhet"/>
        <s v="E0903Noman BiswasNon-binaryEngineeringQA EngineerFull-timeChattogram45151129546E0085Sylhet"/>
        <s v="E0904Esha AnjumFemaleMarketingMarketing AssociateFull-timeKhulna4421289567E0456Sylhet"/>
        <s v="E0905Ovi RanaMaleSalesSenior Account ExecutiveFull-timeKhulna43889205212E0080Sylhet"/>
        <s v="E0906Tasnim AlamFemaleOperationsOperations AssociateFull-timeKhulna43893129144E0380Sylhet"/>
        <s v="E0907Ovi SharminFemaleOperationsOperations ManagerFull-timeRajshahi44188175765E0528Sylhet"/>
        <s v="E0908Nabila UddinFemaleSalesAccount ExecutiveFull-timeRajshahi4549569496E0150Sylhet"/>
        <s v="E0909Tania TalukderMaleProductAssociate Product ManagerFull-timeRemote42684284203E0376Sylhet"/>
        <s v="E0910Sajid UddinFemaleSalesSales AssociateFull-timeKhulna44720150980Sylhet"/>
        <s v="E0911Esha IslamMaleHRRecruiterFull-timeSylhet42933122176E0330Sylhet"/>
        <s v="E0912Ayesha IslamFemaleProductSenior Product ManagerFull-timeRajshahi44538241079E0687Sylhet"/>
        <s v="E0913Mahin MiahMaleHRHR ManagerFull-timeKhulna43873144906E0152Sylhet"/>
        <s v="E0914Arif SadiqFemaleSalesAccount ExecutiveFull-timeDhaka44000109791E0161Sylhet"/>
        <s v="E0915Jannat KabirFemaleMarketingContent SpecialistFull-timeRajshahi43657121425E0053Sylhet"/>
        <s v="E0916Shawon ShahMaleSalesSenior Account ExecutiveFull-timeChattogram4503088941E0302Sylhet"/>
        <s v="E0917Zahid ChowdhuryFemaleProductSenior Product ManagerFull-timeSylhet43511320505E0453Sylhet"/>
        <s v="E0918Tania HasanFemaleCustomer SuccessSupport SpecialistContractKhulna43392103974E0166Sylhet"/>
        <s v="E0919Shafiq AminFemaleFinanceFinancial AnalystInternSylhet4283479692E0122Sylhet"/>
        <s v="E0920Nadia FerdousFemaleEngineeringSoftware EngineerFull-timeRemote42476224389E0003Sylhet"/>
        <s v="E0921Fahim RanaFemaleOperationsSupply Chain AnalystFull-timeRajshahi4538373928E0229Sylhet"/>
        <s v="E0922Tamanna TalukderFemaleMarketingMarketing AssociateInternRemote4313269077Sylhet"/>
        <s v="E0923Priya SharminFemaleOperationsSupply Chain AnalystFull-timeDhaka4441472855E0518Sylhet"/>
        <s v="E0924Esha AminFemaleOperationsSupply Chain AnalystContractRajshahi44490123718E0008Sylhet"/>
        <s v="E0925Noman TalukderFemaleSalesSenior Account ExecutiveInternDhaka43955216552E0513Sylhet"/>
        <s v="E0926Nabila TalukderMaleEngineeringJunior Software EngineerContractRemote4467089519E0635Sylhet"/>
        <s v="E0927Nabila SadiqMaleProductProduct ManagerFull-timeRemote42852222698E0465Sylhet"/>
        <s v="E0928Rashed KhanFemaleMarketingContent SpecialistContractRemote43442105766E0075Sylhet"/>
        <s v="E0929Farhan AkterFemaleHRHR Business PartnerFull-timeDhaka45544129868E0008Sylhet"/>
        <s v="E0930Zahid HossainMaleProductProduct AnalystFull-timeSylhet43436169924E0574Sylhet"/>
        <s v="E0931Tania FerdousMaleEngineeringSenior Software EngineerContractChattogram45253109277E0664Sylhet"/>
        <s v="E0932Shafiq ShahFemaleOperationsSupply Chain AnalystFull-timeRemote4419785515E0880Sylhet"/>
        <s v="E0933Ayesha BanuMaleCustomer SuccessSupport SpecialistFull-timeDhaka4324880134E0167Sylhet"/>
        <s v="E0934Arif MiahMaleMarketingGrowth MarketerFull-timeChattogram44876124051E0686Sylhet"/>
        <s v="E0935Nabila UddinMaleEngineeringQA EngineerFull-timeRajshahi43539103259E0141Sylhet"/>
        <s v="E0936Shafiq FerdousNon-binaryProductProduct ManagerFull-timeSylhet45212126702E0699Sylhet"/>
        <s v="E0937Rafi MorshedMaleEngineeringSoftware EngineerFull-timeChattogram44381138106E0646Sylhet"/>
        <s v="E0938Priya AminFemaleCustomer SuccessCustomer Success ManagerFull-timeSylhet43189159288E0989Sylhet"/>
        <s v="E0939Sadia BiswasFemaleEngineeringSenior Software EngineerFull-timeKhulna42872212363Sylhet"/>
        <s v="E0940Sumaiya SharminMaleMarketingMarketing AssociateContractSylhet42925131958E0161Sylhet"/>
        <s v="E0941Tasnim AhmedFemaleProductProduct AnalystFull-timeRemote45863201934E0249Sylhet"/>
        <s v="E0942Shawon FerdousMaleMarketingContent SpecialistFull-timeSylhet42673113918E0741Sylhet"/>
        <s v="E0943Tania SarkerFemaleHRHR Business PartnerFull-timeDhaka44221131275E0617Sylhet"/>
        <s v="E0944Shafiq AnjumFemaleOperationsSupply Chain AnalystContractSylhet4307796665E0161Sylhet"/>
        <s v="E0945Nabila IslamMaleEngineeringDevOps EngineerFull-timeRajshahi45291146827E0783Sylhet"/>
        <s v="E0946Nabila SarkerMaleEngineeringSenior Software EngineerContractDhaka44193188623E0991Sylhet"/>
        <s v="E0947Tasnim IslamFemaleEngineeringSenior Software EngineerFull-timeSylhet42729145234Sylhet"/>
        <s v="E0948Fahim IslamMaleCustomer SuccessSupport AssociateFull-timeRajshahi4568992688E0314Sylhet"/>
        <s v="E0949Karim KabirFemaleOperationsOperations AssociateFull-timeDhaka45163126711E0376Sylhet"/>
        <s v="E0950Nabila SadiqFemaleHRRecruiterFull-timeDhaka45833116465E0801Sylhet"/>
        <s v="E0951Rashed KhanFemaleHRHR AssociateFull-timeRajshahi4367960918E0574Sylhet"/>
        <s v="E0952Karim AhmedNon-binaryHRHR AssociateFull-timeRajshahi4510558459Sylhet"/>
        <s v="E0953Sadia BanuFemaleEngineeringSenior Software EngineerFull-timeChattogram43793291785E0111Sylhet"/>
        <s v="E0954Sadia KabirFemaleCustomer SuccessCustomer Success ManagerFull-timeRajshahi45276166404E0243Sylhet"/>
        <s v="E0955Rahim HasanMaleSalesSales ManagerFull-timeChattogram42635250368E0416Sylhet"/>
        <s v="E0956Tania RahmanFemaleSalesSales ManagerFull-timeKhulna44622161678E0742Sylhet"/>
        <s v="E0957Rashed RasheedMaleMarketingGrowth MarketerFull-timeRemote44590166372E0054Sylhet"/>
        <s v="E0958Mahin ParvinMaleEngineeringSoftware EngineerFull-timeSylhet43559202206E0774Sylhet"/>
        <s v="E0959Rahim BanuMaleEngineeringQA EngineerFull-timeDhaka43598121015E0551Sylhet"/>
        <s v="E0960Tania ShahFemaleFinanceSenior Financial AnalystFull-timeChattogram45857102582E0488Sylhet"/>
        <s v="E0961Imran RahmanFemaleEngineeringJunior Software EngineerContractSylhet43015138102E0646Sylhet"/>
        <s v="E0962Karim MiahFemaleHRRecruiterFull-timeRajshahi45285122797E0749Sylhet"/>
        <s v="E0963Ovi AhmedFemaleProductSenior Product ManagerFull-timeRajshahi45276128328E0648Sylhet"/>
        <s v="E0964Sadia KhanFemaleSalesAccount ExecutiveFull-timeSylhet4523874624E0237Sylhet"/>
        <s v="E0965Rashed KhanMaleProductProduct ManagerFull-timeRajshahi44982239646E0663Sylhet"/>
        <s v="E0966Zahid SultanaMaleSalesSenior Account ExecutiveFull-timeKhulna43083142527E0122Sylhet"/>
        <s v="E0967Fahim ParvinMaleFinanceAccounts ExecutiveFull-timeDhaka45620179296E0518Sylhet"/>
        <s v="E0968Tamanna HasanFemaleProductAssociate Product ManagerFull-timeKhulna43850186569E0665Sylhet"/>
        <s v="E0969Sumaiya RasheedFemaleMarketingContent SpecialistFull-timeChattogram44453176225E0865Sylhet"/>
        <s v="E0970Arif AhmedFemaleMarketingMarketing AssociateFull-timeSylhet43288119654E0649Sylhet"/>
        <s v="E0971Karim IslamMaleHRHR AssociateFull-timeKhulna4286771564E0262Sylhet"/>
        <s v="E0972Noman JahanMaleCustomer SuccessCustomer Success ManagerFull-timeRemote43193143911E0003Sylhet"/>
        <s v="E0973Imran ParvinFemaleFinanceAccounts ExecutiveContractChattogram45614153176E0470Sylhet"/>
        <s v="E0974Arif UddinFemaleEngineeringSenior Software EngineerFull-timeRajshahi42938260181E0109Sylhet"/>
        <s v="E0975Sumaiya AnjumMaleEngineeringSoftware EngineerFull-timeKhulna4333998827E0190Sylhet"/>
        <s v="E0976Mahin SadiqMaleProductSenior Product ManagerContractDhaka45607189403E0420Sylhet"/>
        <s v="E0977Shawon SultanaMaleHRHR AssociateFull-timeDhaka4439399341E0330Sylhet"/>
        <s v="E0978Nadia AminFemaleEngineeringSoftware EngineerFull-timeDhaka42477191401E0865Sylhet"/>
        <s v="E0979Sajid HossainMaleMarketingMarketing ManagerFull-timeKhulna43848226360E0012Sylhet"/>
        <s v="E0980Tania FerdousMaleHRHR ManagerFull-timeKhulna44639153159E0736Sylhet"/>
        <s v="E0981Sajid SadiqMaleSalesSales AssociateFull-timeDhaka4471458321E0852Sylhet"/>
        <s v="E0982Ayesha AminFemaleOperationsOperations ManagerContractRajshahi43881125677Sylhet"/>
        <s v="E0983Fahim SharminMaleEngineeringSenior Software EngineerFull-timeChattogram44284298647E0574Sylhet"/>
        <s v="E0984Fahim MiahMaleEngineeringSenior Software EngineerFull-timeRemote45661318169E0008Sylhet"/>
        <s v="E0985Sumaiya MorshedFemaleFinanceAccounts ExecutiveFull-timeSylhet44629148986E0330Sylhet"/>
        <s v="E0986Sadia TalukderFemaleMarketingMarketing AssociateFull-timeSylhet42901164446E0772Sylhet"/>
        <s v="E0987Ayesha JahanFemaleFinanceSenior Financial AnalystContractKhulna44876207869E0024Sylhet"/>
        <s v="E0988Tania ShahMaleSalesAccount ExecutiveFull-timeKhulna42723101036E0179Sylhet"/>
        <s v="E0989Fahim ShahFemaleProductAssociate Product ManagerFull-timeDhaka42639274370E0334Sylhet"/>
        <s v="E0990Mahin AnjumMaleOperationsOperations ManagerFull-timeSylhet43636203573E0481Sylhet"/>
        <s v="E0991Nabila BanuMaleOperationsOperations ManagerFull-timeRemote44000175386E0855Sylhet"/>
        <s v="E0992Arif SharminMaleFinanceAccounts ExecutiveFull-timeRemote45306183865Sylhet"/>
        <s v="E0993Sajid ChowdhuryMaleProductProduct ManagerFull-timeRajshahi45314260780E0144Sylhet"/>
        <s v="E0994Rafi RasheedMaleHRHR AssociateFull-timeKhulna4433070605E0963Sylhet"/>
        <s v="E0995Tania ChowdhuryFemaleSalesSenior Account ExecutiveFull-timeSylhet44523167288E0965Sylhet"/>
        <s v="E0996Esha UddinMaleEngineeringQA EngineerFull-timeRajshahi44052131175E0845Sylhet"/>
        <s v="E0997Mitu KabirMaleCustomer SuccessCustomer Success ManagerFull-timeRemote4552089756E0990Sylhet"/>
        <s v="E0998Fahim AminMaleEngineeringJunior Software EngineerFull-timeDhaka44047150479E0882Sylhet"/>
        <s v="E0999Nadia KabirFemaleCustomer SuccessSupport AssociateFull-timeSylhet4574271076E0595Sylhet"/>
        <s v="E1000Tania SadiqFemaleSalesSales AssociateFull-timeRajshahi44724108334E0306Sylhet"/>
      </sharedItems>
    </cacheField>
    <cacheField name="Median" numFmtId="0">
      <sharedItems containsSemiMixedTypes="0" containsString="0" containsNumber="1" minValue="89705" maxValue="165867" count="115">
        <n v="134130"/>
        <n v="134271"/>
        <n v="134276"/>
        <n v="133989"/>
        <n v="133901"/>
        <n v="133813"/>
        <n v="133779.5"/>
        <n v="133746"/>
        <n v="133741"/>
        <n v="133736"/>
        <n v="133493.5"/>
        <n v="133251"/>
        <n v="133075.5"/>
        <n v="132900"/>
        <n v="132820"/>
        <n v="132740"/>
        <n v="132553"/>
        <n v="132366"/>
        <n v="132359"/>
        <n v="132352"/>
        <n v="132269"/>
        <n v="132186"/>
        <n v="132145"/>
        <n v="132104"/>
        <n v="132031"/>
        <n v="131958"/>
        <n v="131899"/>
        <n v="131840"/>
        <n v="131792"/>
        <n v="131744"/>
        <n v="131710.5"/>
        <n v="131677"/>
        <n v="131671.5"/>
        <n v="132276"/>
        <n v="132808.5"/>
        <n v="133498.5"/>
        <n v="134135"/>
        <n v="134281"/>
        <n v="134308"/>
        <n v="134335"/>
        <n v="134588.5"/>
        <n v="134842"/>
        <n v="134858.5"/>
        <n v="134047"/>
        <n v="134875"/>
        <n v="134973.5"/>
        <n v="135072"/>
        <n v="135184.5"/>
        <n v="135297"/>
        <n v="135421"/>
        <n v="135545"/>
        <n v="135607.5"/>
        <n v="135670"/>
        <n v="135687.5"/>
        <n v="135705"/>
        <n v="135845.5"/>
        <n v="135986"/>
        <n v="136164.5"/>
        <n v="136343"/>
        <n v="136395.5"/>
        <n v="136217"/>
        <n v="136448"/>
        <n v="136611"/>
        <n v="136774"/>
        <n v="137427"/>
        <n v="138080"/>
        <n v="138091"/>
        <n v="138102"/>
        <n v="138104"/>
        <n v="135501"/>
        <n v="135086"/>
        <n v="133793"/>
        <n v="133219.5"/>
        <n v="131817.5"/>
        <n v="131666"/>
        <n v="131642.5"/>
        <n v="131619"/>
        <n v="135273.5"/>
        <n v="136076.5"/>
        <n v="135020"/>
        <n v="135391.5"/>
        <n v="137438"/>
        <n v="131616.5"/>
        <n v="134203"/>
        <n v="135030"/>
        <n v="138106"/>
        <n v="140316.5"/>
        <n v="142527"/>
        <n v="143219"/>
        <n v="143911"/>
        <n v="144572.5"/>
        <n v="145234"/>
        <n v="146030.5"/>
        <n v="146827"/>
        <n v="147906.5"/>
        <n v="148986"/>
        <n v="149732.5"/>
        <n v="150479"/>
        <n v="151819"/>
        <n v="153159"/>
        <n v="153167.5"/>
        <n v="153176"/>
        <n v="157427"/>
        <n v="158811"/>
        <n v="164446"/>
        <n v="158802.5"/>
        <n v="157462.5"/>
        <n v="165867"/>
        <n v="158883.5"/>
        <n v="140827"/>
        <n v="131175"/>
        <n v="119754.5"/>
        <n v="108334"/>
        <n v="99045"/>
        <n v="89705"/>
      </sharedItems>
    </cacheField>
    <cacheField name="Tenure" numFmtId="180">
      <sharedItems containsSemiMixedTypes="0" containsString="0" containsNumber="1" containsInteger="1" minValue="0" maxValue="10" count="11">
        <n v="9"/>
        <n v="2"/>
        <n v="6"/>
        <n v="4"/>
        <n v="5"/>
        <n v="7"/>
        <n v="8"/>
        <n v="0"/>
        <n v="3"/>
        <n v="1"/>
        <n v="10"/>
      </sharedItems>
    </cacheField>
    <cacheField name="Tenure groups" numFmtId="0">
      <sharedItems count="3">
        <s v="Experienced"/>
        <s v="New"/>
        <s v="Mid level"/>
      </sharedItems>
    </cacheField>
  </cacheFields>
</pivotCacheDefinition>
</file>

<file path=xl/pivotCache/pivotCacheRecords1.xml><?xml version="1.0" encoding="utf-8"?>
<pivotCacheRecords xmlns="http://schemas.openxmlformats.org/spreadsheetml/2006/main" xmlns:r="http://schemas.openxmlformats.org/officeDocument/2006/relationships" count="1001">
  <r>
    <x v="0"/>
    <x v="0"/>
  </r>
  <r>
    <x v="1"/>
    <x v="1"/>
  </r>
  <r>
    <x v="2"/>
    <x v="2"/>
  </r>
  <r>
    <x v="3"/>
    <x v="3"/>
  </r>
  <r>
    <x v="4"/>
    <x v="4"/>
  </r>
  <r>
    <x v="4"/>
    <x v="5"/>
  </r>
  <r>
    <x v="4"/>
    <x v="5"/>
  </r>
  <r>
    <x v="5"/>
    <x v="6"/>
  </r>
  <r>
    <x v="3"/>
    <x v="7"/>
  </r>
  <r>
    <x v="2"/>
    <x v="8"/>
  </r>
  <r>
    <x v="4"/>
    <x v="9"/>
  </r>
  <r>
    <x v="1"/>
    <x v="10"/>
  </r>
  <r>
    <x v="5"/>
    <x v="6"/>
  </r>
  <r>
    <x v="4"/>
    <x v="11"/>
  </r>
  <r>
    <x v="4"/>
    <x v="5"/>
  </r>
  <r>
    <x v="4"/>
    <x v="12"/>
  </r>
  <r>
    <x v="6"/>
    <x v="13"/>
  </r>
  <r>
    <x v="7"/>
    <x v="14"/>
  </r>
  <r>
    <x v="0"/>
    <x v="15"/>
  </r>
  <r>
    <x v="6"/>
    <x v="13"/>
  </r>
  <r>
    <x v="3"/>
    <x v="3"/>
  </r>
  <r>
    <x v="4"/>
    <x v="9"/>
  </r>
  <r>
    <x v="6"/>
    <x v="16"/>
  </r>
  <r>
    <x v="0"/>
    <x v="15"/>
  </r>
  <r>
    <x v="0"/>
    <x v="15"/>
  </r>
  <r>
    <x v="5"/>
    <x v="17"/>
  </r>
  <r>
    <x v="4"/>
    <x v="4"/>
  </r>
  <r>
    <x v="7"/>
    <x v="18"/>
  </r>
  <r>
    <x v="3"/>
    <x v="19"/>
  </r>
  <r>
    <x v="4"/>
    <x v="4"/>
  </r>
  <r>
    <x v="3"/>
    <x v="7"/>
  </r>
  <r>
    <x v="4"/>
    <x v="20"/>
  </r>
  <r>
    <x v="4"/>
    <x v="9"/>
  </r>
  <r>
    <x v="1"/>
    <x v="21"/>
  </r>
  <r>
    <x v="1"/>
    <x v="21"/>
  </r>
  <r>
    <x v="5"/>
    <x v="17"/>
  </r>
  <r>
    <x v="6"/>
    <x v="22"/>
  </r>
  <r>
    <x v="4"/>
    <x v="5"/>
  </r>
  <r>
    <x v="2"/>
    <x v="23"/>
  </r>
  <r>
    <x v="0"/>
    <x v="24"/>
  </r>
  <r>
    <x v="4"/>
    <x v="20"/>
  </r>
  <r>
    <x v="7"/>
    <x v="18"/>
  </r>
  <r>
    <x v="4"/>
    <x v="9"/>
  </r>
  <r>
    <x v="1"/>
    <x v="1"/>
  </r>
  <r>
    <x v="6"/>
    <x v="16"/>
  </r>
  <r>
    <x v="3"/>
    <x v="3"/>
  </r>
  <r>
    <x v="6"/>
    <x v="13"/>
  </r>
  <r>
    <x v="7"/>
    <x v="25"/>
  </r>
  <r>
    <x v="7"/>
    <x v="26"/>
  </r>
  <r>
    <x v="4"/>
    <x v="11"/>
  </r>
  <r>
    <x v="1"/>
    <x v="10"/>
  </r>
  <r>
    <x v="5"/>
    <x v="17"/>
  </r>
  <r>
    <x v="1"/>
    <x v="10"/>
  </r>
  <r>
    <x v="5"/>
    <x v="6"/>
  </r>
  <r>
    <x v="3"/>
    <x v="27"/>
  </r>
  <r>
    <x v="1"/>
    <x v="21"/>
  </r>
  <r>
    <x v="4"/>
    <x v="5"/>
  </r>
  <r>
    <x v="4"/>
    <x v="9"/>
  </r>
  <r>
    <x v="4"/>
    <x v="20"/>
  </r>
  <r>
    <x v="0"/>
    <x v="28"/>
  </r>
  <r>
    <x v="0"/>
    <x v="15"/>
  </r>
  <r>
    <x v="6"/>
    <x v="16"/>
  </r>
  <r>
    <x v="5"/>
    <x v="6"/>
  </r>
  <r>
    <x v="0"/>
    <x v="24"/>
  </r>
  <r>
    <x v="6"/>
    <x v="22"/>
  </r>
  <r>
    <x v="7"/>
    <x v="18"/>
  </r>
  <r>
    <x v="4"/>
    <x v="9"/>
  </r>
  <r>
    <x v="5"/>
    <x v="29"/>
  </r>
  <r>
    <x v="4"/>
    <x v="9"/>
  </r>
  <r>
    <x v="1"/>
    <x v="21"/>
  </r>
  <r>
    <x v="5"/>
    <x v="29"/>
  </r>
  <r>
    <x v="4"/>
    <x v="9"/>
  </r>
  <r>
    <x v="4"/>
    <x v="11"/>
  </r>
  <r>
    <x v="5"/>
    <x v="29"/>
  </r>
  <r>
    <x v="2"/>
    <x v="2"/>
  </r>
  <r>
    <x v="2"/>
    <x v="8"/>
  </r>
  <r>
    <x v="5"/>
    <x v="17"/>
  </r>
  <r>
    <x v="4"/>
    <x v="5"/>
  </r>
  <r>
    <x v="0"/>
    <x v="0"/>
  </r>
  <r>
    <x v="4"/>
    <x v="12"/>
  </r>
  <r>
    <x v="5"/>
    <x v="6"/>
  </r>
  <r>
    <x v="3"/>
    <x v="7"/>
  </r>
  <r>
    <x v="0"/>
    <x v="24"/>
  </r>
  <r>
    <x v="4"/>
    <x v="4"/>
  </r>
  <r>
    <x v="6"/>
    <x v="16"/>
  </r>
  <r>
    <x v="0"/>
    <x v="24"/>
  </r>
  <r>
    <x v="2"/>
    <x v="30"/>
  </r>
  <r>
    <x v="3"/>
    <x v="7"/>
  </r>
  <r>
    <x v="5"/>
    <x v="6"/>
  </r>
  <r>
    <x v="7"/>
    <x v="25"/>
  </r>
  <r>
    <x v="4"/>
    <x v="12"/>
  </r>
  <r>
    <x v="2"/>
    <x v="30"/>
  </r>
  <r>
    <x v="2"/>
    <x v="30"/>
  </r>
  <r>
    <x v="7"/>
    <x v="14"/>
  </r>
  <r>
    <x v="5"/>
    <x v="29"/>
  </r>
  <r>
    <x v="7"/>
    <x v="25"/>
  </r>
  <r>
    <x v="7"/>
    <x v="25"/>
  </r>
  <r>
    <x v="0"/>
    <x v="0"/>
  </r>
  <r>
    <x v="4"/>
    <x v="4"/>
  </r>
  <r>
    <x v="4"/>
    <x v="9"/>
  </r>
  <r>
    <x v="4"/>
    <x v="11"/>
  </r>
  <r>
    <x v="3"/>
    <x v="27"/>
  </r>
  <r>
    <x v="6"/>
    <x v="16"/>
  </r>
  <r>
    <x v="7"/>
    <x v="26"/>
  </r>
  <r>
    <x v="1"/>
    <x v="10"/>
  </r>
  <r>
    <x v="6"/>
    <x v="13"/>
  </r>
  <r>
    <x v="0"/>
    <x v="24"/>
  </r>
  <r>
    <x v="2"/>
    <x v="30"/>
  </r>
  <r>
    <x v="6"/>
    <x v="31"/>
  </r>
  <r>
    <x v="4"/>
    <x v="11"/>
  </r>
  <r>
    <x v="6"/>
    <x v="16"/>
  </r>
  <r>
    <x v="4"/>
    <x v="9"/>
  </r>
  <r>
    <x v="1"/>
    <x v="21"/>
  </r>
  <r>
    <x v="5"/>
    <x v="17"/>
  </r>
  <r>
    <x v="3"/>
    <x v="3"/>
  </r>
  <r>
    <x v="5"/>
    <x v="17"/>
  </r>
  <r>
    <x v="5"/>
    <x v="29"/>
  </r>
  <r>
    <x v="4"/>
    <x v="4"/>
  </r>
  <r>
    <x v="5"/>
    <x v="29"/>
  </r>
  <r>
    <x v="7"/>
    <x v="25"/>
  </r>
  <r>
    <x v="5"/>
    <x v="6"/>
  </r>
  <r>
    <x v="5"/>
    <x v="6"/>
  </r>
  <r>
    <x v="6"/>
    <x v="16"/>
  </r>
  <r>
    <x v="4"/>
    <x v="4"/>
  </r>
  <r>
    <x v="6"/>
    <x v="31"/>
  </r>
  <r>
    <x v="0"/>
    <x v="24"/>
  </r>
  <r>
    <x v="5"/>
    <x v="29"/>
  </r>
  <r>
    <x v="5"/>
    <x v="17"/>
  </r>
  <r>
    <x v="4"/>
    <x v="9"/>
  </r>
  <r>
    <x v="7"/>
    <x v="32"/>
  </r>
  <r>
    <x v="0"/>
    <x v="28"/>
  </r>
  <r>
    <x v="6"/>
    <x v="22"/>
  </r>
  <r>
    <x v="4"/>
    <x v="11"/>
  </r>
  <r>
    <x v="0"/>
    <x v="0"/>
  </r>
  <r>
    <x v="1"/>
    <x v="1"/>
  </r>
  <r>
    <x v="0"/>
    <x v="0"/>
  </r>
  <r>
    <x v="7"/>
    <x v="18"/>
  </r>
  <r>
    <x v="2"/>
    <x v="8"/>
  </r>
  <r>
    <x v="0"/>
    <x v="24"/>
  </r>
  <r>
    <x v="1"/>
    <x v="1"/>
  </r>
  <r>
    <x v="1"/>
    <x v="10"/>
  </r>
  <r>
    <x v="6"/>
    <x v="22"/>
  </r>
  <r>
    <x v="7"/>
    <x v="14"/>
  </r>
  <r>
    <x v="6"/>
    <x v="22"/>
  </r>
  <r>
    <x v="6"/>
    <x v="13"/>
  </r>
  <r>
    <x v="4"/>
    <x v="4"/>
  </r>
  <r>
    <x v="3"/>
    <x v="3"/>
  </r>
  <r>
    <x v="7"/>
    <x v="14"/>
  </r>
  <r>
    <x v="4"/>
    <x v="4"/>
  </r>
  <r>
    <x v="6"/>
    <x v="16"/>
  </r>
  <r>
    <x v="1"/>
    <x v="1"/>
  </r>
  <r>
    <x v="6"/>
    <x v="16"/>
  </r>
  <r>
    <x v="4"/>
    <x v="5"/>
  </r>
  <r>
    <x v="7"/>
    <x v="14"/>
  </r>
  <r>
    <x v="1"/>
    <x v="1"/>
  </r>
  <r>
    <x v="6"/>
    <x v="31"/>
  </r>
  <r>
    <x v="2"/>
    <x v="23"/>
  </r>
  <r>
    <x v="2"/>
    <x v="2"/>
  </r>
  <r>
    <x v="6"/>
    <x v="16"/>
  </r>
  <r>
    <x v="2"/>
    <x v="23"/>
  </r>
  <r>
    <x v="0"/>
    <x v="15"/>
  </r>
  <r>
    <x v="3"/>
    <x v="7"/>
  </r>
  <r>
    <x v="3"/>
    <x v="19"/>
  </r>
  <r>
    <x v="7"/>
    <x v="18"/>
  </r>
  <r>
    <x v="4"/>
    <x v="11"/>
  </r>
  <r>
    <x v="5"/>
    <x v="6"/>
  </r>
  <r>
    <x v="0"/>
    <x v="15"/>
  </r>
  <r>
    <x v="4"/>
    <x v="20"/>
  </r>
  <r>
    <x v="4"/>
    <x v="11"/>
  </r>
  <r>
    <x v="3"/>
    <x v="19"/>
  </r>
  <r>
    <x v="2"/>
    <x v="30"/>
  </r>
  <r>
    <x v="4"/>
    <x v="12"/>
  </r>
  <r>
    <x v="7"/>
    <x v="14"/>
  </r>
  <r>
    <x v="6"/>
    <x v="13"/>
  </r>
  <r>
    <x v="3"/>
    <x v="3"/>
  </r>
  <r>
    <x v="4"/>
    <x v="20"/>
  </r>
  <r>
    <x v="2"/>
    <x v="30"/>
  </r>
  <r>
    <x v="0"/>
    <x v="0"/>
  </r>
  <r>
    <x v="1"/>
    <x v="10"/>
  </r>
  <r>
    <x v="4"/>
    <x v="20"/>
  </r>
  <r>
    <x v="0"/>
    <x v="15"/>
  </r>
  <r>
    <x v="4"/>
    <x v="9"/>
  </r>
  <r>
    <x v="1"/>
    <x v="1"/>
  </r>
  <r>
    <x v="5"/>
    <x v="6"/>
  </r>
  <r>
    <x v="6"/>
    <x v="13"/>
  </r>
  <r>
    <x v="3"/>
    <x v="27"/>
  </r>
  <r>
    <x v="5"/>
    <x v="17"/>
  </r>
  <r>
    <x v="7"/>
    <x v="25"/>
  </r>
  <r>
    <x v="7"/>
    <x v="32"/>
  </r>
  <r>
    <x v="6"/>
    <x v="31"/>
  </r>
  <r>
    <x v="4"/>
    <x v="11"/>
  </r>
  <r>
    <x v="5"/>
    <x v="17"/>
  </r>
  <r>
    <x v="1"/>
    <x v="21"/>
  </r>
  <r>
    <x v="3"/>
    <x v="3"/>
  </r>
  <r>
    <x v="0"/>
    <x v="0"/>
  </r>
  <r>
    <x v="0"/>
    <x v="15"/>
  </r>
  <r>
    <x v="2"/>
    <x v="2"/>
  </r>
  <r>
    <x v="5"/>
    <x v="6"/>
  </r>
  <r>
    <x v="5"/>
    <x v="6"/>
  </r>
  <r>
    <x v="5"/>
    <x v="29"/>
  </r>
  <r>
    <x v="3"/>
    <x v="3"/>
  </r>
  <r>
    <x v="4"/>
    <x v="11"/>
  </r>
  <r>
    <x v="4"/>
    <x v="11"/>
  </r>
  <r>
    <x v="5"/>
    <x v="29"/>
  </r>
  <r>
    <x v="3"/>
    <x v="19"/>
  </r>
  <r>
    <x v="4"/>
    <x v="4"/>
  </r>
  <r>
    <x v="4"/>
    <x v="5"/>
  </r>
  <r>
    <x v="3"/>
    <x v="19"/>
  </r>
  <r>
    <x v="4"/>
    <x v="9"/>
  </r>
  <r>
    <x v="4"/>
    <x v="12"/>
  </r>
  <r>
    <x v="7"/>
    <x v="32"/>
  </r>
  <r>
    <x v="2"/>
    <x v="8"/>
  </r>
  <r>
    <x v="3"/>
    <x v="7"/>
  </r>
  <r>
    <x v="6"/>
    <x v="31"/>
  </r>
  <r>
    <x v="2"/>
    <x v="30"/>
  </r>
  <r>
    <x v="6"/>
    <x v="13"/>
  </r>
  <r>
    <x v="0"/>
    <x v="0"/>
  </r>
  <r>
    <x v="2"/>
    <x v="30"/>
  </r>
  <r>
    <x v="3"/>
    <x v="3"/>
  </r>
  <r>
    <x v="5"/>
    <x v="29"/>
  </r>
  <r>
    <x v="3"/>
    <x v="27"/>
  </r>
  <r>
    <x v="7"/>
    <x v="25"/>
  </r>
  <r>
    <x v="4"/>
    <x v="9"/>
  </r>
  <r>
    <x v="0"/>
    <x v="15"/>
  </r>
  <r>
    <x v="6"/>
    <x v="22"/>
  </r>
  <r>
    <x v="6"/>
    <x v="31"/>
  </r>
  <r>
    <x v="1"/>
    <x v="1"/>
  </r>
  <r>
    <x v="0"/>
    <x v="0"/>
  </r>
  <r>
    <x v="5"/>
    <x v="6"/>
  </r>
  <r>
    <x v="3"/>
    <x v="19"/>
  </r>
  <r>
    <x v="5"/>
    <x v="6"/>
  </r>
  <r>
    <x v="7"/>
    <x v="25"/>
  </r>
  <r>
    <x v="7"/>
    <x v="25"/>
  </r>
  <r>
    <x v="7"/>
    <x v="25"/>
  </r>
  <r>
    <x v="4"/>
    <x v="5"/>
  </r>
  <r>
    <x v="2"/>
    <x v="8"/>
  </r>
  <r>
    <x v="6"/>
    <x v="16"/>
  </r>
  <r>
    <x v="4"/>
    <x v="20"/>
  </r>
  <r>
    <x v="3"/>
    <x v="27"/>
  </r>
  <r>
    <x v="4"/>
    <x v="11"/>
  </r>
  <r>
    <x v="1"/>
    <x v="10"/>
  </r>
  <r>
    <x v="1"/>
    <x v="10"/>
  </r>
  <r>
    <x v="1"/>
    <x v="10"/>
  </r>
  <r>
    <x v="0"/>
    <x v="15"/>
  </r>
  <r>
    <x v="4"/>
    <x v="5"/>
  </r>
  <r>
    <x v="1"/>
    <x v="1"/>
  </r>
  <r>
    <x v="0"/>
    <x v="0"/>
  </r>
  <r>
    <x v="1"/>
    <x v="21"/>
  </r>
  <r>
    <x v="1"/>
    <x v="10"/>
  </r>
  <r>
    <x v="5"/>
    <x v="17"/>
  </r>
  <r>
    <x v="6"/>
    <x v="31"/>
  </r>
  <r>
    <x v="0"/>
    <x v="24"/>
  </r>
  <r>
    <x v="5"/>
    <x v="29"/>
  </r>
  <r>
    <x v="6"/>
    <x v="13"/>
  </r>
  <r>
    <x v="4"/>
    <x v="5"/>
  </r>
  <r>
    <x v="7"/>
    <x v="32"/>
  </r>
  <r>
    <x v="1"/>
    <x v="21"/>
  </r>
  <r>
    <x v="2"/>
    <x v="8"/>
  </r>
  <r>
    <x v="7"/>
    <x v="25"/>
  </r>
  <r>
    <x v="4"/>
    <x v="20"/>
  </r>
  <r>
    <x v="3"/>
    <x v="7"/>
  </r>
  <r>
    <x v="1"/>
    <x v="10"/>
  </r>
  <r>
    <x v="4"/>
    <x v="9"/>
  </r>
  <r>
    <x v="7"/>
    <x v="32"/>
  </r>
  <r>
    <x v="5"/>
    <x v="29"/>
  </r>
  <r>
    <x v="2"/>
    <x v="23"/>
  </r>
  <r>
    <x v="2"/>
    <x v="8"/>
  </r>
  <r>
    <x v="2"/>
    <x v="8"/>
  </r>
  <r>
    <x v="0"/>
    <x v="28"/>
  </r>
  <r>
    <x v="6"/>
    <x v="22"/>
  </r>
  <r>
    <x v="5"/>
    <x v="17"/>
  </r>
  <r>
    <x v="5"/>
    <x v="6"/>
  </r>
  <r>
    <x v="5"/>
    <x v="6"/>
  </r>
  <r>
    <x v="1"/>
    <x v="21"/>
  </r>
  <r>
    <x v="7"/>
    <x v="32"/>
  </r>
  <r>
    <x v="7"/>
    <x v="25"/>
  </r>
  <r>
    <x v="5"/>
    <x v="29"/>
  </r>
  <r>
    <x v="3"/>
    <x v="27"/>
  </r>
  <r>
    <x v="2"/>
    <x v="23"/>
  </r>
  <r>
    <x v="5"/>
    <x v="17"/>
  </r>
  <r>
    <x v="5"/>
    <x v="17"/>
  </r>
  <r>
    <x v="0"/>
    <x v="28"/>
  </r>
  <r>
    <x v="0"/>
    <x v="24"/>
  </r>
  <r>
    <x v="4"/>
    <x v="11"/>
  </r>
  <r>
    <x v="7"/>
    <x v="32"/>
  </r>
  <r>
    <x v="4"/>
    <x v="20"/>
  </r>
  <r>
    <x v="0"/>
    <x v="0"/>
  </r>
  <r>
    <x v="7"/>
    <x v="32"/>
  </r>
  <r>
    <x v="6"/>
    <x v="13"/>
  </r>
  <r>
    <x v="3"/>
    <x v="7"/>
  </r>
  <r>
    <x v="4"/>
    <x v="9"/>
  </r>
  <r>
    <x v="4"/>
    <x v="11"/>
  </r>
  <r>
    <x v="5"/>
    <x v="17"/>
  </r>
  <r>
    <x v="0"/>
    <x v="28"/>
  </r>
  <r>
    <x v="4"/>
    <x v="4"/>
  </r>
  <r>
    <x v="7"/>
    <x v="25"/>
  </r>
  <r>
    <x v="2"/>
    <x v="23"/>
  </r>
  <r>
    <x v="4"/>
    <x v="11"/>
  </r>
  <r>
    <x v="3"/>
    <x v="3"/>
  </r>
  <r>
    <x v="4"/>
    <x v="5"/>
  </r>
  <r>
    <x v="4"/>
    <x v="11"/>
  </r>
  <r>
    <x v="7"/>
    <x v="26"/>
  </r>
  <r>
    <x v="7"/>
    <x v="25"/>
  </r>
  <r>
    <x v="3"/>
    <x v="19"/>
  </r>
  <r>
    <x v="2"/>
    <x v="30"/>
  </r>
  <r>
    <x v="1"/>
    <x v="10"/>
  </r>
  <r>
    <x v="7"/>
    <x v="18"/>
  </r>
  <r>
    <x v="0"/>
    <x v="28"/>
  </r>
  <r>
    <x v="5"/>
    <x v="29"/>
  </r>
  <r>
    <x v="6"/>
    <x v="16"/>
  </r>
  <r>
    <x v="0"/>
    <x v="0"/>
  </r>
  <r>
    <x v="4"/>
    <x v="4"/>
  </r>
  <r>
    <x v="4"/>
    <x v="20"/>
  </r>
  <r>
    <x v="1"/>
    <x v="10"/>
  </r>
  <r>
    <x v="5"/>
    <x v="17"/>
  </r>
  <r>
    <x v="2"/>
    <x v="30"/>
  </r>
  <r>
    <x v="0"/>
    <x v="24"/>
  </r>
  <r>
    <x v="4"/>
    <x v="5"/>
  </r>
  <r>
    <x v="4"/>
    <x v="11"/>
  </r>
  <r>
    <x v="6"/>
    <x v="13"/>
  </r>
  <r>
    <x v="7"/>
    <x v="32"/>
  </r>
  <r>
    <x v="2"/>
    <x v="23"/>
  </r>
  <r>
    <x v="3"/>
    <x v="27"/>
  </r>
  <r>
    <x v="6"/>
    <x v="13"/>
  </r>
  <r>
    <x v="1"/>
    <x v="10"/>
  </r>
  <r>
    <x v="2"/>
    <x v="8"/>
  </r>
  <r>
    <x v="7"/>
    <x v="25"/>
  </r>
  <r>
    <x v="3"/>
    <x v="3"/>
  </r>
  <r>
    <x v="0"/>
    <x v="28"/>
  </r>
  <r>
    <x v="6"/>
    <x v="22"/>
  </r>
  <r>
    <x v="0"/>
    <x v="24"/>
  </r>
  <r>
    <x v="2"/>
    <x v="30"/>
  </r>
  <r>
    <x v="4"/>
    <x v="9"/>
  </r>
  <r>
    <x v="4"/>
    <x v="12"/>
  </r>
  <r>
    <x v="4"/>
    <x v="12"/>
  </r>
  <r>
    <x v="4"/>
    <x v="5"/>
  </r>
  <r>
    <x v="5"/>
    <x v="29"/>
  </r>
  <r>
    <x v="2"/>
    <x v="30"/>
  </r>
  <r>
    <x v="7"/>
    <x v="25"/>
  </r>
  <r>
    <x v="4"/>
    <x v="11"/>
  </r>
  <r>
    <x v="7"/>
    <x v="32"/>
  </r>
  <r>
    <x v="7"/>
    <x v="32"/>
  </r>
  <r>
    <x v="4"/>
    <x v="4"/>
  </r>
  <r>
    <x v="0"/>
    <x v="28"/>
  </r>
  <r>
    <x v="0"/>
    <x v="28"/>
  </r>
  <r>
    <x v="3"/>
    <x v="19"/>
  </r>
  <r>
    <x v="3"/>
    <x v="19"/>
  </r>
  <r>
    <x v="4"/>
    <x v="9"/>
  </r>
  <r>
    <x v="0"/>
    <x v="15"/>
  </r>
  <r>
    <x v="3"/>
    <x v="7"/>
  </r>
  <r>
    <x v="7"/>
    <x v="26"/>
  </r>
  <r>
    <x v="5"/>
    <x v="17"/>
  </r>
  <r>
    <x v="3"/>
    <x v="19"/>
  </r>
  <r>
    <x v="4"/>
    <x v="5"/>
  </r>
  <r>
    <x v="4"/>
    <x v="20"/>
  </r>
  <r>
    <x v="3"/>
    <x v="27"/>
  </r>
  <r>
    <x v="4"/>
    <x v="12"/>
  </r>
  <r>
    <x v="7"/>
    <x v="32"/>
  </r>
  <r>
    <x v="1"/>
    <x v="21"/>
  </r>
  <r>
    <x v="7"/>
    <x v="14"/>
  </r>
  <r>
    <x v="0"/>
    <x v="15"/>
  </r>
  <r>
    <x v="3"/>
    <x v="7"/>
  </r>
  <r>
    <x v="0"/>
    <x v="28"/>
  </r>
  <r>
    <x v="7"/>
    <x v="14"/>
  </r>
  <r>
    <x v="1"/>
    <x v="10"/>
  </r>
  <r>
    <x v="0"/>
    <x v="0"/>
  </r>
  <r>
    <x v="1"/>
    <x v="10"/>
  </r>
  <r>
    <x v="1"/>
    <x v="10"/>
  </r>
  <r>
    <x v="4"/>
    <x v="11"/>
  </r>
  <r>
    <x v="4"/>
    <x v="9"/>
  </r>
  <r>
    <x v="4"/>
    <x v="12"/>
  </r>
  <r>
    <x v="4"/>
    <x v="11"/>
  </r>
  <r>
    <x v="4"/>
    <x v="4"/>
  </r>
  <r>
    <x v="2"/>
    <x v="8"/>
  </r>
  <r>
    <x v="4"/>
    <x v="9"/>
  </r>
  <r>
    <x v="6"/>
    <x v="16"/>
  </r>
  <r>
    <x v="5"/>
    <x v="17"/>
  </r>
  <r>
    <x v="4"/>
    <x v="20"/>
  </r>
  <r>
    <x v="5"/>
    <x v="17"/>
  </r>
  <r>
    <x v="6"/>
    <x v="31"/>
  </r>
  <r>
    <x v="4"/>
    <x v="11"/>
  </r>
  <r>
    <x v="2"/>
    <x v="8"/>
  </r>
  <r>
    <x v="3"/>
    <x v="27"/>
  </r>
  <r>
    <x v="5"/>
    <x v="29"/>
  </r>
  <r>
    <x v="2"/>
    <x v="30"/>
  </r>
  <r>
    <x v="5"/>
    <x v="29"/>
  </r>
  <r>
    <x v="6"/>
    <x v="31"/>
  </r>
  <r>
    <x v="4"/>
    <x v="11"/>
  </r>
  <r>
    <x v="2"/>
    <x v="2"/>
  </r>
  <r>
    <x v="5"/>
    <x v="17"/>
  </r>
  <r>
    <x v="1"/>
    <x v="21"/>
  </r>
  <r>
    <x v="0"/>
    <x v="0"/>
  </r>
  <r>
    <x v="0"/>
    <x v="0"/>
  </r>
  <r>
    <x v="5"/>
    <x v="17"/>
  </r>
  <r>
    <x v="0"/>
    <x v="24"/>
  </r>
  <r>
    <x v="1"/>
    <x v="10"/>
  </r>
  <r>
    <x v="5"/>
    <x v="17"/>
  </r>
  <r>
    <x v="0"/>
    <x v="0"/>
  </r>
  <r>
    <x v="2"/>
    <x v="30"/>
  </r>
  <r>
    <x v="2"/>
    <x v="30"/>
  </r>
  <r>
    <x v="4"/>
    <x v="11"/>
  </r>
  <r>
    <x v="1"/>
    <x v="21"/>
  </r>
  <r>
    <x v="7"/>
    <x v="25"/>
  </r>
  <r>
    <x v="5"/>
    <x v="6"/>
  </r>
  <r>
    <x v="0"/>
    <x v="28"/>
  </r>
  <r>
    <x v="5"/>
    <x v="17"/>
  </r>
  <r>
    <x v="0"/>
    <x v="15"/>
  </r>
  <r>
    <x v="4"/>
    <x v="4"/>
  </r>
  <r>
    <x v="1"/>
    <x v="1"/>
  </r>
  <r>
    <x v="4"/>
    <x v="4"/>
  </r>
  <r>
    <x v="6"/>
    <x v="13"/>
  </r>
  <r>
    <x v="1"/>
    <x v="21"/>
  </r>
  <r>
    <x v="1"/>
    <x v="21"/>
  </r>
  <r>
    <x v="7"/>
    <x v="25"/>
  </r>
  <r>
    <x v="3"/>
    <x v="19"/>
  </r>
  <r>
    <x v="0"/>
    <x v="15"/>
  </r>
  <r>
    <x v="6"/>
    <x v="13"/>
  </r>
  <r>
    <x v="0"/>
    <x v="0"/>
  </r>
  <r>
    <x v="2"/>
    <x v="8"/>
  </r>
  <r>
    <x v="2"/>
    <x v="2"/>
  </r>
  <r>
    <x v="5"/>
    <x v="29"/>
  </r>
  <r>
    <x v="5"/>
    <x v="17"/>
  </r>
  <r>
    <x v="4"/>
    <x v="11"/>
  </r>
  <r>
    <x v="7"/>
    <x v="25"/>
  </r>
  <r>
    <x v="4"/>
    <x v="12"/>
  </r>
  <r>
    <x v="7"/>
    <x v="26"/>
  </r>
  <r>
    <x v="0"/>
    <x v="0"/>
  </r>
  <r>
    <x v="5"/>
    <x v="6"/>
  </r>
  <r>
    <x v="0"/>
    <x v="28"/>
  </r>
  <r>
    <x v="4"/>
    <x v="4"/>
  </r>
  <r>
    <x v="4"/>
    <x v="20"/>
  </r>
  <r>
    <x v="2"/>
    <x v="8"/>
  </r>
  <r>
    <x v="3"/>
    <x v="19"/>
  </r>
  <r>
    <x v="4"/>
    <x v="5"/>
  </r>
  <r>
    <x v="4"/>
    <x v="11"/>
  </r>
  <r>
    <x v="2"/>
    <x v="23"/>
  </r>
  <r>
    <x v="4"/>
    <x v="9"/>
  </r>
  <r>
    <x v="5"/>
    <x v="17"/>
  </r>
  <r>
    <x v="2"/>
    <x v="23"/>
  </r>
  <r>
    <x v="4"/>
    <x v="5"/>
  </r>
  <r>
    <x v="4"/>
    <x v="12"/>
  </r>
  <r>
    <x v="1"/>
    <x v="21"/>
  </r>
  <r>
    <x v="0"/>
    <x v="28"/>
  </r>
  <r>
    <x v="0"/>
    <x v="24"/>
  </r>
  <r>
    <x v="5"/>
    <x v="6"/>
  </r>
  <r>
    <x v="1"/>
    <x v="21"/>
  </r>
  <r>
    <x v="1"/>
    <x v="1"/>
  </r>
  <r>
    <x v="2"/>
    <x v="2"/>
  </r>
  <r>
    <x v="0"/>
    <x v="15"/>
  </r>
  <r>
    <x v="4"/>
    <x v="5"/>
  </r>
  <r>
    <x v="5"/>
    <x v="17"/>
  </r>
  <r>
    <x v="7"/>
    <x v="14"/>
  </r>
  <r>
    <x v="0"/>
    <x v="15"/>
  </r>
  <r>
    <x v="1"/>
    <x v="1"/>
  </r>
  <r>
    <x v="4"/>
    <x v="11"/>
  </r>
  <r>
    <x v="7"/>
    <x v="26"/>
  </r>
  <r>
    <x v="4"/>
    <x v="5"/>
  </r>
  <r>
    <x v="0"/>
    <x v="28"/>
  </r>
  <r>
    <x v="4"/>
    <x v="11"/>
  </r>
  <r>
    <x v="4"/>
    <x v="5"/>
  </r>
  <r>
    <x v="4"/>
    <x v="9"/>
  </r>
  <r>
    <x v="3"/>
    <x v="3"/>
  </r>
  <r>
    <x v="2"/>
    <x v="23"/>
  </r>
  <r>
    <x v="7"/>
    <x v="14"/>
  </r>
  <r>
    <x v="1"/>
    <x v="10"/>
  </r>
  <r>
    <x v="0"/>
    <x v="0"/>
  </r>
  <r>
    <x v="6"/>
    <x v="16"/>
  </r>
  <r>
    <x v="5"/>
    <x v="17"/>
  </r>
  <r>
    <x v="6"/>
    <x v="16"/>
  </r>
  <r>
    <x v="1"/>
    <x v="10"/>
  </r>
  <r>
    <x v="4"/>
    <x v="20"/>
  </r>
  <r>
    <x v="1"/>
    <x v="10"/>
  </r>
  <r>
    <x v="4"/>
    <x v="4"/>
  </r>
  <r>
    <x v="5"/>
    <x v="17"/>
  </r>
  <r>
    <x v="7"/>
    <x v="32"/>
  </r>
  <r>
    <x v="1"/>
    <x v="1"/>
  </r>
  <r>
    <x v="4"/>
    <x v="4"/>
  </r>
  <r>
    <x v="7"/>
    <x v="18"/>
  </r>
  <r>
    <x v="1"/>
    <x v="10"/>
  </r>
  <r>
    <x v="7"/>
    <x v="32"/>
  </r>
  <r>
    <x v="3"/>
    <x v="27"/>
  </r>
  <r>
    <x v="2"/>
    <x v="23"/>
  </r>
  <r>
    <x v="0"/>
    <x v="24"/>
  </r>
  <r>
    <x v="3"/>
    <x v="7"/>
  </r>
  <r>
    <x v="7"/>
    <x v="32"/>
  </r>
  <r>
    <x v="1"/>
    <x v="1"/>
  </r>
  <r>
    <x v="4"/>
    <x v="9"/>
  </r>
  <r>
    <x v="6"/>
    <x v="31"/>
  </r>
  <r>
    <x v="1"/>
    <x v="1"/>
  </r>
  <r>
    <x v="5"/>
    <x v="17"/>
  </r>
  <r>
    <x v="0"/>
    <x v="0"/>
  </r>
  <r>
    <x v="3"/>
    <x v="19"/>
  </r>
  <r>
    <x v="6"/>
    <x v="13"/>
  </r>
  <r>
    <x v="4"/>
    <x v="11"/>
  </r>
  <r>
    <x v="0"/>
    <x v="28"/>
  </r>
  <r>
    <x v="0"/>
    <x v="28"/>
  </r>
  <r>
    <x v="7"/>
    <x v="14"/>
  </r>
  <r>
    <x v="4"/>
    <x v="20"/>
  </r>
  <r>
    <x v="1"/>
    <x v="1"/>
  </r>
  <r>
    <x v="1"/>
    <x v="10"/>
  </r>
  <r>
    <x v="2"/>
    <x v="8"/>
  </r>
  <r>
    <x v="7"/>
    <x v="32"/>
  </r>
  <r>
    <x v="6"/>
    <x v="13"/>
  </r>
  <r>
    <x v="5"/>
    <x v="29"/>
  </r>
  <r>
    <x v="2"/>
    <x v="8"/>
  </r>
  <r>
    <x v="4"/>
    <x v="9"/>
  </r>
  <r>
    <x v="1"/>
    <x v="1"/>
  </r>
  <r>
    <x v="5"/>
    <x v="17"/>
  </r>
  <r>
    <x v="1"/>
    <x v="1"/>
  </r>
  <r>
    <x v="2"/>
    <x v="30"/>
  </r>
  <r>
    <x v="3"/>
    <x v="27"/>
  </r>
  <r>
    <x v="0"/>
    <x v="28"/>
  </r>
  <r>
    <x v="1"/>
    <x v="10"/>
  </r>
  <r>
    <x v="5"/>
    <x v="29"/>
  </r>
  <r>
    <x v="4"/>
    <x v="11"/>
  </r>
  <r>
    <x v="4"/>
    <x v="11"/>
  </r>
  <r>
    <x v="0"/>
    <x v="28"/>
  </r>
  <r>
    <x v="5"/>
    <x v="6"/>
  </r>
  <r>
    <x v="1"/>
    <x v="21"/>
  </r>
  <r>
    <x v="4"/>
    <x v="12"/>
  </r>
  <r>
    <x v="3"/>
    <x v="7"/>
  </r>
  <r>
    <x v="0"/>
    <x v="15"/>
  </r>
  <r>
    <x v="1"/>
    <x v="21"/>
  </r>
  <r>
    <x v="5"/>
    <x v="29"/>
  </r>
  <r>
    <x v="5"/>
    <x v="17"/>
  </r>
  <r>
    <x v="0"/>
    <x v="0"/>
  </r>
  <r>
    <x v="0"/>
    <x v="0"/>
  </r>
  <r>
    <x v="6"/>
    <x v="22"/>
  </r>
  <r>
    <x v="4"/>
    <x v="4"/>
  </r>
  <r>
    <x v="5"/>
    <x v="17"/>
  </r>
  <r>
    <x v="5"/>
    <x v="29"/>
  </r>
  <r>
    <x v="1"/>
    <x v="1"/>
  </r>
  <r>
    <x v="1"/>
    <x v="10"/>
  </r>
  <r>
    <x v="7"/>
    <x v="32"/>
  </r>
  <r>
    <x v="2"/>
    <x v="8"/>
  </r>
  <r>
    <x v="1"/>
    <x v="21"/>
  </r>
  <r>
    <x v="5"/>
    <x v="29"/>
  </r>
  <r>
    <x v="6"/>
    <x v="31"/>
  </r>
  <r>
    <x v="0"/>
    <x v="0"/>
  </r>
  <r>
    <x v="4"/>
    <x v="20"/>
  </r>
  <r>
    <x v="1"/>
    <x v="1"/>
  </r>
  <r>
    <x v="3"/>
    <x v="7"/>
  </r>
  <r>
    <x v="6"/>
    <x v="22"/>
  </r>
  <r>
    <x v="2"/>
    <x v="23"/>
  </r>
  <r>
    <x v="3"/>
    <x v="27"/>
  </r>
  <r>
    <x v="0"/>
    <x v="24"/>
  </r>
  <r>
    <x v="4"/>
    <x v="4"/>
  </r>
  <r>
    <x v="2"/>
    <x v="8"/>
  </r>
  <r>
    <x v="7"/>
    <x v="25"/>
  </r>
  <r>
    <x v="5"/>
    <x v="17"/>
  </r>
  <r>
    <x v="7"/>
    <x v="26"/>
  </r>
  <r>
    <x v="5"/>
    <x v="17"/>
  </r>
  <r>
    <x v="7"/>
    <x v="18"/>
  </r>
  <r>
    <x v="7"/>
    <x v="26"/>
  </r>
  <r>
    <x v="5"/>
    <x v="29"/>
  </r>
  <r>
    <x v="0"/>
    <x v="0"/>
  </r>
  <r>
    <x v="4"/>
    <x v="20"/>
  </r>
  <r>
    <x v="4"/>
    <x v="9"/>
  </r>
  <r>
    <x v="2"/>
    <x v="2"/>
  </r>
  <r>
    <x v="3"/>
    <x v="27"/>
  </r>
  <r>
    <x v="2"/>
    <x v="8"/>
  </r>
  <r>
    <x v="4"/>
    <x v="9"/>
  </r>
  <r>
    <x v="4"/>
    <x v="4"/>
  </r>
  <r>
    <x v="4"/>
    <x v="9"/>
  </r>
  <r>
    <x v="0"/>
    <x v="15"/>
  </r>
  <r>
    <x v="7"/>
    <x v="32"/>
  </r>
  <r>
    <x v="0"/>
    <x v="28"/>
  </r>
  <r>
    <x v="0"/>
    <x v="0"/>
  </r>
  <r>
    <x v="1"/>
    <x v="1"/>
  </r>
  <r>
    <x v="0"/>
    <x v="24"/>
  </r>
  <r>
    <x v="7"/>
    <x v="14"/>
  </r>
  <r>
    <x v="5"/>
    <x v="29"/>
  </r>
  <r>
    <x v="0"/>
    <x v="28"/>
  </r>
  <r>
    <x v="3"/>
    <x v="27"/>
  </r>
  <r>
    <x v="5"/>
    <x v="29"/>
  </r>
  <r>
    <x v="1"/>
    <x v="21"/>
  </r>
  <r>
    <x v="4"/>
    <x v="11"/>
  </r>
  <r>
    <x v="1"/>
    <x v="1"/>
  </r>
  <r>
    <x v="7"/>
    <x v="14"/>
  </r>
  <r>
    <x v="6"/>
    <x v="22"/>
  </r>
  <r>
    <x v="0"/>
    <x v="0"/>
  </r>
  <r>
    <x v="1"/>
    <x v="1"/>
  </r>
  <r>
    <x v="7"/>
    <x v="14"/>
  </r>
  <r>
    <x v="0"/>
    <x v="24"/>
  </r>
  <r>
    <x v="3"/>
    <x v="27"/>
  </r>
  <r>
    <x v="6"/>
    <x v="13"/>
  </r>
  <r>
    <x v="4"/>
    <x v="5"/>
  </r>
  <r>
    <x v="4"/>
    <x v="9"/>
  </r>
  <r>
    <x v="4"/>
    <x v="9"/>
  </r>
  <r>
    <x v="4"/>
    <x v="5"/>
  </r>
  <r>
    <x v="4"/>
    <x v="5"/>
  </r>
  <r>
    <x v="3"/>
    <x v="27"/>
  </r>
  <r>
    <x v="4"/>
    <x v="11"/>
  </r>
  <r>
    <x v="0"/>
    <x v="0"/>
  </r>
  <r>
    <x v="5"/>
    <x v="6"/>
  </r>
  <r>
    <x v="7"/>
    <x v="14"/>
  </r>
  <r>
    <x v="3"/>
    <x v="7"/>
  </r>
  <r>
    <x v="4"/>
    <x v="11"/>
  </r>
  <r>
    <x v="4"/>
    <x v="11"/>
  </r>
  <r>
    <x v="4"/>
    <x v="4"/>
  </r>
  <r>
    <x v="4"/>
    <x v="11"/>
  </r>
  <r>
    <x v="6"/>
    <x v="22"/>
  </r>
  <r>
    <x v="4"/>
    <x v="9"/>
  </r>
  <r>
    <x v="4"/>
    <x v="9"/>
  </r>
  <r>
    <x v="4"/>
    <x v="11"/>
  </r>
  <r>
    <x v="0"/>
    <x v="24"/>
  </r>
  <r>
    <x v="4"/>
    <x v="11"/>
  </r>
  <r>
    <x v="0"/>
    <x v="28"/>
  </r>
  <r>
    <x v="7"/>
    <x v="25"/>
  </r>
  <r>
    <x v="2"/>
    <x v="8"/>
  </r>
  <r>
    <x v="4"/>
    <x v="4"/>
  </r>
  <r>
    <x v="5"/>
    <x v="17"/>
  </r>
  <r>
    <x v="3"/>
    <x v="19"/>
  </r>
  <r>
    <x v="4"/>
    <x v="9"/>
  </r>
  <r>
    <x v="5"/>
    <x v="29"/>
  </r>
  <r>
    <x v="1"/>
    <x v="1"/>
  </r>
  <r>
    <x v="4"/>
    <x v="12"/>
  </r>
  <r>
    <x v="6"/>
    <x v="31"/>
  </r>
  <r>
    <x v="5"/>
    <x v="17"/>
  </r>
  <r>
    <x v="2"/>
    <x v="30"/>
  </r>
  <r>
    <x v="4"/>
    <x v="20"/>
  </r>
  <r>
    <x v="4"/>
    <x v="11"/>
  </r>
  <r>
    <x v="0"/>
    <x v="24"/>
  </r>
  <r>
    <x v="7"/>
    <x v="26"/>
  </r>
  <r>
    <x v="3"/>
    <x v="7"/>
  </r>
  <r>
    <x v="0"/>
    <x v="28"/>
  </r>
  <r>
    <x v="0"/>
    <x v="0"/>
  </r>
  <r>
    <x v="2"/>
    <x v="8"/>
  </r>
  <r>
    <x v="4"/>
    <x v="11"/>
  </r>
  <r>
    <x v="6"/>
    <x v="22"/>
  </r>
  <r>
    <x v="2"/>
    <x v="30"/>
  </r>
  <r>
    <x v="5"/>
    <x v="29"/>
  </r>
  <r>
    <x v="7"/>
    <x v="14"/>
  </r>
  <r>
    <x v="7"/>
    <x v="18"/>
  </r>
  <r>
    <x v="4"/>
    <x v="12"/>
  </r>
  <r>
    <x v="0"/>
    <x v="0"/>
  </r>
  <r>
    <x v="7"/>
    <x v="32"/>
  </r>
  <r>
    <x v="6"/>
    <x v="13"/>
  </r>
  <r>
    <x v="6"/>
    <x v="16"/>
  </r>
  <r>
    <x v="0"/>
    <x v="15"/>
  </r>
  <r>
    <x v="4"/>
    <x v="20"/>
  </r>
  <r>
    <x v="0"/>
    <x v="15"/>
  </r>
  <r>
    <x v="4"/>
    <x v="20"/>
  </r>
  <r>
    <x v="0"/>
    <x v="28"/>
  </r>
  <r>
    <x v="4"/>
    <x v="11"/>
  </r>
  <r>
    <x v="5"/>
    <x v="6"/>
  </r>
  <r>
    <x v="3"/>
    <x v="7"/>
  </r>
  <r>
    <x v="2"/>
    <x v="2"/>
  </r>
  <r>
    <x v="5"/>
    <x v="6"/>
  </r>
  <r>
    <x v="7"/>
    <x v="18"/>
  </r>
  <r>
    <x v="4"/>
    <x v="11"/>
  </r>
  <r>
    <x v="7"/>
    <x v="32"/>
  </r>
  <r>
    <x v="7"/>
    <x v="32"/>
  </r>
  <r>
    <x v="2"/>
    <x v="8"/>
  </r>
  <r>
    <x v="0"/>
    <x v="0"/>
  </r>
  <r>
    <x v="4"/>
    <x v="12"/>
  </r>
  <r>
    <x v="6"/>
    <x v="22"/>
  </r>
  <r>
    <x v="0"/>
    <x v="24"/>
  </r>
  <r>
    <x v="3"/>
    <x v="19"/>
  </r>
  <r>
    <x v="7"/>
    <x v="32"/>
  </r>
  <r>
    <x v="0"/>
    <x v="28"/>
  </r>
  <r>
    <x v="1"/>
    <x v="1"/>
  </r>
  <r>
    <x v="3"/>
    <x v="27"/>
  </r>
  <r>
    <x v="6"/>
    <x v="22"/>
  </r>
  <r>
    <x v="4"/>
    <x v="12"/>
  </r>
  <r>
    <x v="4"/>
    <x v="4"/>
  </r>
  <r>
    <x v="6"/>
    <x v="13"/>
  </r>
  <r>
    <x v="4"/>
    <x v="12"/>
  </r>
  <r>
    <x v="4"/>
    <x v="11"/>
  </r>
  <r>
    <x v="6"/>
    <x v="16"/>
  </r>
  <r>
    <x v="4"/>
    <x v="9"/>
  </r>
  <r>
    <x v="5"/>
    <x v="6"/>
  </r>
  <r>
    <x v="4"/>
    <x v="4"/>
  </r>
  <r>
    <x v="7"/>
    <x v="18"/>
  </r>
  <r>
    <x v="0"/>
    <x v="28"/>
  </r>
  <r>
    <x v="1"/>
    <x v="21"/>
  </r>
  <r>
    <x v="4"/>
    <x v="11"/>
  </r>
  <r>
    <x v="0"/>
    <x v="24"/>
  </r>
  <r>
    <x v="1"/>
    <x v="21"/>
  </r>
  <r>
    <x v="5"/>
    <x v="17"/>
  </r>
  <r>
    <x v="5"/>
    <x v="29"/>
  </r>
  <r>
    <x v="6"/>
    <x v="16"/>
  </r>
  <r>
    <x v="4"/>
    <x v="5"/>
  </r>
  <r>
    <x v="3"/>
    <x v="27"/>
  </r>
  <r>
    <x v="1"/>
    <x v="21"/>
  </r>
  <r>
    <x v="7"/>
    <x v="26"/>
  </r>
  <r>
    <x v="7"/>
    <x v="26"/>
  </r>
  <r>
    <x v="6"/>
    <x v="22"/>
  </r>
  <r>
    <x v="2"/>
    <x v="30"/>
  </r>
  <r>
    <x v="4"/>
    <x v="5"/>
  </r>
  <r>
    <x v="0"/>
    <x v="0"/>
  </r>
  <r>
    <x v="0"/>
    <x v="24"/>
  </r>
  <r>
    <x v="7"/>
    <x v="32"/>
  </r>
  <r>
    <x v="6"/>
    <x v="13"/>
  </r>
  <r>
    <x v="4"/>
    <x v="9"/>
  </r>
  <r>
    <x v="3"/>
    <x v="7"/>
  </r>
  <r>
    <x v="6"/>
    <x v="13"/>
  </r>
  <r>
    <x v="7"/>
    <x v="25"/>
  </r>
  <r>
    <x v="4"/>
    <x v="12"/>
  </r>
  <r>
    <x v="7"/>
    <x v="14"/>
  </r>
  <r>
    <x v="7"/>
    <x v="26"/>
  </r>
  <r>
    <x v="4"/>
    <x v="9"/>
  </r>
  <r>
    <x v="0"/>
    <x v="24"/>
  </r>
  <r>
    <x v="4"/>
    <x v="20"/>
  </r>
  <r>
    <x v="4"/>
    <x v="9"/>
  </r>
  <r>
    <x v="1"/>
    <x v="21"/>
  </r>
  <r>
    <x v="0"/>
    <x v="28"/>
  </r>
  <r>
    <x v="5"/>
    <x v="29"/>
  </r>
  <r>
    <x v="6"/>
    <x v="31"/>
  </r>
  <r>
    <x v="2"/>
    <x v="30"/>
  </r>
  <r>
    <x v="2"/>
    <x v="23"/>
  </r>
  <r>
    <x v="3"/>
    <x v="7"/>
  </r>
  <r>
    <x v="7"/>
    <x v="18"/>
  </r>
  <r>
    <x v="0"/>
    <x v="24"/>
  </r>
  <r>
    <x v="0"/>
    <x v="0"/>
  </r>
  <r>
    <x v="1"/>
    <x v="10"/>
  </r>
  <r>
    <x v="5"/>
    <x v="29"/>
  </r>
  <r>
    <x v="1"/>
    <x v="1"/>
  </r>
  <r>
    <x v="4"/>
    <x v="12"/>
  </r>
  <r>
    <x v="2"/>
    <x v="23"/>
  </r>
  <r>
    <x v="1"/>
    <x v="21"/>
  </r>
  <r>
    <x v="4"/>
    <x v="11"/>
  </r>
  <r>
    <x v="4"/>
    <x v="9"/>
  </r>
  <r>
    <x v="2"/>
    <x v="23"/>
  </r>
  <r>
    <x v="7"/>
    <x v="18"/>
  </r>
  <r>
    <x v="5"/>
    <x v="29"/>
  </r>
  <r>
    <x v="4"/>
    <x v="20"/>
  </r>
  <r>
    <x v="5"/>
    <x v="6"/>
  </r>
  <r>
    <x v="4"/>
    <x v="4"/>
  </r>
  <r>
    <x v="4"/>
    <x v="20"/>
  </r>
  <r>
    <x v="4"/>
    <x v="9"/>
  </r>
  <r>
    <x v="5"/>
    <x v="17"/>
  </r>
  <r>
    <x v="3"/>
    <x v="19"/>
  </r>
  <r>
    <x v="7"/>
    <x v="32"/>
  </r>
  <r>
    <x v="0"/>
    <x v="0"/>
  </r>
  <r>
    <x v="5"/>
    <x v="6"/>
  </r>
  <r>
    <x v="0"/>
    <x v="24"/>
  </r>
  <r>
    <x v="5"/>
    <x v="29"/>
  </r>
  <r>
    <x v="0"/>
    <x v="24"/>
  </r>
  <r>
    <x v="0"/>
    <x v="24"/>
  </r>
  <r>
    <x v="0"/>
    <x v="15"/>
  </r>
  <r>
    <x v="6"/>
    <x v="31"/>
  </r>
  <r>
    <x v="2"/>
    <x v="30"/>
  </r>
  <r>
    <x v="7"/>
    <x v="25"/>
  </r>
  <r>
    <x v="6"/>
    <x v="22"/>
  </r>
  <r>
    <x v="5"/>
    <x v="17"/>
  </r>
  <r>
    <x v="0"/>
    <x v="0"/>
  </r>
  <r>
    <x v="7"/>
    <x v="32"/>
  </r>
  <r>
    <x v="1"/>
    <x v="10"/>
  </r>
  <r>
    <x v="3"/>
    <x v="7"/>
  </r>
  <r>
    <x v="4"/>
    <x v="20"/>
  </r>
  <r>
    <x v="1"/>
    <x v="21"/>
  </r>
  <r>
    <x v="3"/>
    <x v="7"/>
  </r>
  <r>
    <x v="0"/>
    <x v="0"/>
  </r>
  <r>
    <x v="4"/>
    <x v="12"/>
  </r>
  <r>
    <x v="5"/>
    <x v="6"/>
  </r>
  <r>
    <x v="3"/>
    <x v="27"/>
  </r>
  <r>
    <x v="7"/>
    <x v="32"/>
  </r>
  <r>
    <x v="5"/>
    <x v="29"/>
  </r>
  <r>
    <x v="5"/>
    <x v="17"/>
  </r>
  <r>
    <x v="4"/>
    <x v="20"/>
  </r>
  <r>
    <x v="6"/>
    <x v="16"/>
  </r>
  <r>
    <x v="6"/>
    <x v="13"/>
  </r>
  <r>
    <x v="2"/>
    <x v="8"/>
  </r>
  <r>
    <x v="4"/>
    <x v="11"/>
  </r>
  <r>
    <x v="7"/>
    <x v="32"/>
  </r>
  <r>
    <x v="2"/>
    <x v="30"/>
  </r>
  <r>
    <x v="5"/>
    <x v="17"/>
  </r>
  <r>
    <x v="0"/>
    <x v="24"/>
  </r>
  <r>
    <x v="5"/>
    <x v="17"/>
  </r>
  <r>
    <x v="4"/>
    <x v="20"/>
  </r>
  <r>
    <x v="5"/>
    <x v="6"/>
  </r>
  <r>
    <x v="4"/>
    <x v="4"/>
  </r>
  <r>
    <x v="0"/>
    <x v="15"/>
  </r>
  <r>
    <x v="5"/>
    <x v="6"/>
  </r>
  <r>
    <x v="4"/>
    <x v="9"/>
  </r>
  <r>
    <x v="6"/>
    <x v="31"/>
  </r>
  <r>
    <x v="2"/>
    <x v="8"/>
  </r>
  <r>
    <x v="2"/>
    <x v="23"/>
  </r>
  <r>
    <x v="3"/>
    <x v="27"/>
  </r>
  <r>
    <x v="2"/>
    <x v="23"/>
  </r>
  <r>
    <x v="7"/>
    <x v="26"/>
  </r>
  <r>
    <x v="6"/>
    <x v="22"/>
  </r>
  <r>
    <x v="0"/>
    <x v="28"/>
  </r>
  <r>
    <x v="4"/>
    <x v="5"/>
  </r>
  <r>
    <x v="1"/>
    <x v="10"/>
  </r>
  <r>
    <x v="7"/>
    <x v="14"/>
  </r>
  <r>
    <x v="0"/>
    <x v="28"/>
  </r>
  <r>
    <x v="0"/>
    <x v="0"/>
  </r>
  <r>
    <x v="1"/>
    <x v="1"/>
  </r>
  <r>
    <x v="4"/>
    <x v="11"/>
  </r>
  <r>
    <x v="7"/>
    <x v="18"/>
  </r>
  <r>
    <x v="7"/>
    <x v="14"/>
  </r>
  <r>
    <x v="3"/>
    <x v="3"/>
  </r>
  <r>
    <x v="4"/>
    <x v="11"/>
  </r>
  <r>
    <x v="5"/>
    <x v="29"/>
  </r>
  <r>
    <x v="1"/>
    <x v="10"/>
  </r>
  <r>
    <x v="7"/>
    <x v="25"/>
  </r>
  <r>
    <x v="2"/>
    <x v="23"/>
  </r>
  <r>
    <x v="1"/>
    <x v="21"/>
  </r>
  <r>
    <x v="2"/>
    <x v="2"/>
  </r>
  <r>
    <x v="4"/>
    <x v="5"/>
  </r>
  <r>
    <x v="7"/>
    <x v="32"/>
  </r>
  <r>
    <x v="3"/>
    <x v="19"/>
  </r>
  <r>
    <x v="0"/>
    <x v="24"/>
  </r>
  <r>
    <x v="2"/>
    <x v="30"/>
  </r>
  <r>
    <x v="1"/>
    <x v="1"/>
  </r>
  <r>
    <x v="1"/>
    <x v="21"/>
  </r>
  <r>
    <x v="0"/>
    <x v="0"/>
  </r>
  <r>
    <x v="4"/>
    <x v="11"/>
  </r>
  <r>
    <x v="1"/>
    <x v="1"/>
  </r>
  <r>
    <x v="5"/>
    <x v="6"/>
  </r>
  <r>
    <x v="4"/>
    <x v="9"/>
  </r>
  <r>
    <x v="1"/>
    <x v="21"/>
  </r>
  <r>
    <x v="5"/>
    <x v="29"/>
  </r>
  <r>
    <x v="7"/>
    <x v="26"/>
  </r>
  <r>
    <x v="3"/>
    <x v="19"/>
  </r>
  <r>
    <x v="0"/>
    <x v="28"/>
  </r>
  <r>
    <x v="4"/>
    <x v="5"/>
  </r>
  <r>
    <x v="0"/>
    <x v="24"/>
  </r>
  <r>
    <x v="5"/>
    <x v="29"/>
  </r>
  <r>
    <x v="4"/>
    <x v="11"/>
  </r>
  <r>
    <x v="0"/>
    <x v="28"/>
  </r>
  <r>
    <x v="0"/>
    <x v="28"/>
  </r>
  <r>
    <x v="7"/>
    <x v="14"/>
  </r>
  <r>
    <x v="1"/>
    <x v="1"/>
  </r>
  <r>
    <x v="0"/>
    <x v="0"/>
  </r>
  <r>
    <x v="0"/>
    <x v="15"/>
  </r>
  <r>
    <x v="2"/>
    <x v="30"/>
  </r>
  <r>
    <x v="0"/>
    <x v="24"/>
  </r>
  <r>
    <x v="6"/>
    <x v="16"/>
  </r>
  <r>
    <x v="0"/>
    <x v="28"/>
  </r>
  <r>
    <x v="4"/>
    <x v="20"/>
  </r>
  <r>
    <x v="4"/>
    <x v="5"/>
  </r>
  <r>
    <x v="7"/>
    <x v="18"/>
  </r>
  <r>
    <x v="0"/>
    <x v="28"/>
  </r>
  <r>
    <x v="1"/>
    <x v="21"/>
  </r>
  <r>
    <x v="0"/>
    <x v="24"/>
  </r>
  <r>
    <x v="7"/>
    <x v="26"/>
  </r>
  <r>
    <x v="3"/>
    <x v="7"/>
  </r>
  <r>
    <x v="4"/>
    <x v="9"/>
  </r>
  <r>
    <x v="3"/>
    <x v="19"/>
  </r>
  <r>
    <x v="4"/>
    <x v="9"/>
  </r>
  <r>
    <x v="1"/>
    <x v="1"/>
  </r>
  <r>
    <x v="4"/>
    <x v="12"/>
  </r>
  <r>
    <x v="0"/>
    <x v="0"/>
  </r>
  <r>
    <x v="4"/>
    <x v="11"/>
  </r>
  <r>
    <x v="1"/>
    <x v="21"/>
  </r>
  <r>
    <x v="7"/>
    <x v="26"/>
  </r>
  <r>
    <x v="3"/>
    <x v="3"/>
  </r>
  <r>
    <x v="4"/>
    <x v="9"/>
  </r>
  <r>
    <x v="2"/>
    <x v="2"/>
  </r>
  <r>
    <x v="4"/>
    <x v="4"/>
  </r>
  <r>
    <x v="5"/>
    <x v="6"/>
  </r>
  <r>
    <x v="4"/>
    <x v="12"/>
  </r>
  <r>
    <x v="4"/>
    <x v="9"/>
  </r>
  <r>
    <x v="4"/>
    <x v="5"/>
  </r>
  <r>
    <x v="7"/>
    <x v="32"/>
  </r>
  <r>
    <x v="7"/>
    <x v="18"/>
  </r>
  <r>
    <x v="4"/>
    <x v="5"/>
  </r>
  <r>
    <x v="5"/>
    <x v="6"/>
  </r>
  <r>
    <x v="0"/>
    <x v="28"/>
  </r>
  <r>
    <x v="7"/>
    <x v="25"/>
  </r>
  <r>
    <x v="0"/>
    <x v="24"/>
  </r>
  <r>
    <x v="0"/>
    <x v="15"/>
  </r>
  <r>
    <x v="7"/>
    <x v="26"/>
  </r>
  <r>
    <x v="4"/>
    <x v="11"/>
  </r>
  <r>
    <x v="4"/>
    <x v="11"/>
  </r>
  <r>
    <x v="5"/>
    <x v="29"/>
  </r>
  <r>
    <x v="1"/>
    <x v="10"/>
  </r>
  <r>
    <x v="0"/>
    <x v="15"/>
  </r>
  <r>
    <x v="6"/>
    <x v="13"/>
  </r>
  <r>
    <x v="3"/>
    <x v="19"/>
  </r>
  <r>
    <x v="0"/>
    <x v="15"/>
  </r>
  <r>
    <x v="4"/>
    <x v="5"/>
  </r>
  <r>
    <x v="4"/>
    <x v="20"/>
  </r>
  <r>
    <x v="2"/>
    <x v="30"/>
  </r>
  <r>
    <x v="3"/>
    <x v="19"/>
  </r>
  <r>
    <x v="4"/>
    <x v="9"/>
  </r>
  <r>
    <x v="6"/>
    <x v="22"/>
  </r>
  <r>
    <x v="6"/>
    <x v="31"/>
  </r>
  <r>
    <x v="2"/>
    <x v="2"/>
  </r>
  <r>
    <x v="4"/>
    <x v="5"/>
  </r>
  <r>
    <x v="4"/>
    <x v="5"/>
  </r>
  <r>
    <x v="5"/>
    <x v="29"/>
  </r>
  <r>
    <x v="4"/>
    <x v="20"/>
  </r>
  <r>
    <x v="3"/>
    <x v="7"/>
  </r>
  <r>
    <x v="6"/>
    <x v="13"/>
  </r>
  <r>
    <x v="4"/>
    <x v="5"/>
  </r>
  <r>
    <x v="6"/>
    <x v="16"/>
  </r>
  <r>
    <x v="2"/>
    <x v="23"/>
  </r>
  <r>
    <x v="5"/>
    <x v="17"/>
  </r>
  <r>
    <x v="5"/>
    <x v="6"/>
  </r>
  <r>
    <x v="0"/>
    <x v="0"/>
  </r>
  <r>
    <x v="3"/>
    <x v="19"/>
  </r>
  <r>
    <x v="4"/>
    <x v="5"/>
  </r>
  <r>
    <x v="6"/>
    <x v="31"/>
  </r>
  <r>
    <x v="5"/>
    <x v="29"/>
  </r>
  <r>
    <x v="4"/>
    <x v="9"/>
  </r>
  <r>
    <x v="4"/>
    <x v="4"/>
  </r>
  <r>
    <x v="4"/>
    <x v="20"/>
  </r>
  <r>
    <x v="4"/>
    <x v="11"/>
  </r>
  <r>
    <x v="4"/>
    <x v="5"/>
  </r>
  <r>
    <x v="7"/>
    <x v="25"/>
  </r>
  <r>
    <x v="0"/>
    <x v="28"/>
  </r>
  <r>
    <x v="5"/>
    <x v="29"/>
  </r>
  <r>
    <x v="5"/>
    <x v="6"/>
  </r>
  <r>
    <x v="0"/>
    <x v="24"/>
  </r>
  <r>
    <x v="6"/>
    <x v="22"/>
  </r>
  <r>
    <x v="0"/>
    <x v="0"/>
  </r>
  <r>
    <x v="3"/>
    <x v="19"/>
  </r>
  <r>
    <x v="6"/>
    <x v="16"/>
  </r>
  <r>
    <x v="3"/>
    <x v="27"/>
  </r>
  <r>
    <x v="0"/>
    <x v="24"/>
  </r>
  <r>
    <x v="7"/>
    <x v="32"/>
  </r>
  <r>
    <x v="0"/>
    <x v="28"/>
  </r>
  <r>
    <x v="6"/>
    <x v="16"/>
  </r>
  <r>
    <x v="1"/>
    <x v="1"/>
  </r>
  <r>
    <x v="2"/>
    <x v="8"/>
  </r>
  <r>
    <x v="4"/>
    <x v="9"/>
  </r>
  <r>
    <x v="5"/>
    <x v="17"/>
  </r>
  <r>
    <x v="7"/>
    <x v="25"/>
  </r>
  <r>
    <x v="5"/>
    <x v="17"/>
  </r>
  <r>
    <x v="5"/>
    <x v="17"/>
  </r>
  <r>
    <x v="0"/>
    <x v="28"/>
  </r>
  <r>
    <x v="4"/>
    <x v="11"/>
  </r>
  <r>
    <x v="6"/>
    <x v="31"/>
  </r>
  <r>
    <x v="7"/>
    <x v="32"/>
  </r>
  <r>
    <x v="3"/>
    <x v="3"/>
  </r>
  <r>
    <x v="6"/>
    <x v="13"/>
  </r>
  <r>
    <x v="4"/>
    <x v="20"/>
  </r>
  <r>
    <x v="5"/>
    <x v="17"/>
  </r>
  <r>
    <x v="1"/>
    <x v="1"/>
  </r>
  <r>
    <x v="7"/>
    <x v="14"/>
  </r>
  <r>
    <x v="4"/>
    <x v="5"/>
  </r>
  <r>
    <x v="6"/>
    <x v="31"/>
  </r>
  <r>
    <x v="4"/>
    <x v="9"/>
  </r>
  <r>
    <x v="1"/>
    <x v="10"/>
  </r>
  <r>
    <x v="4"/>
    <x v="20"/>
  </r>
  <r>
    <x v="7"/>
    <x v="25"/>
  </r>
  <r>
    <x v="6"/>
    <x v="13"/>
  </r>
  <r>
    <x v="7"/>
    <x v="32"/>
  </r>
  <r>
    <x v="3"/>
    <x v="3"/>
  </r>
  <r>
    <x v="5"/>
    <x v="17"/>
  </r>
  <r>
    <x v="4"/>
    <x v="4"/>
  </r>
  <r>
    <x v="4"/>
    <x v="20"/>
  </r>
  <r>
    <x v="4"/>
    <x v="20"/>
  </r>
  <r>
    <x v="1"/>
    <x v="21"/>
  </r>
  <r>
    <x v="5"/>
    <x v="29"/>
  </r>
  <r>
    <x v="3"/>
    <x v="19"/>
  </r>
  <r>
    <x v="3"/>
    <x v="7"/>
  </r>
  <r>
    <x v="3"/>
    <x v="7"/>
  </r>
  <r>
    <x v="4"/>
    <x v="20"/>
  </r>
  <r>
    <x v="1"/>
    <x v="10"/>
  </r>
  <r>
    <x v="0"/>
    <x v="15"/>
  </r>
  <r>
    <x v="0"/>
    <x v="15"/>
  </r>
  <r>
    <x v="7"/>
    <x v="14"/>
  </r>
  <r>
    <x v="4"/>
    <x v="9"/>
  </r>
  <r>
    <x v="4"/>
    <x v="5"/>
  </r>
  <r>
    <x v="2"/>
    <x v="30"/>
  </r>
  <r>
    <x v="4"/>
    <x v="11"/>
  </r>
  <r>
    <x v="3"/>
    <x v="19"/>
  </r>
  <r>
    <x v="6"/>
    <x v="16"/>
  </r>
  <r>
    <x v="0"/>
    <x v="24"/>
  </r>
  <r>
    <x v="6"/>
    <x v="31"/>
  </r>
  <r>
    <x v="0"/>
    <x v="28"/>
  </r>
  <r>
    <x v="2"/>
    <x v="23"/>
  </r>
  <r>
    <x v="6"/>
    <x v="22"/>
  </r>
  <r>
    <x v="7"/>
    <x v="32"/>
  </r>
  <r>
    <x v="7"/>
    <x v="25"/>
  </r>
  <r>
    <x v="3"/>
    <x v="7"/>
  </r>
  <r>
    <x v="1"/>
    <x v="10"/>
  </r>
  <r>
    <x v="2"/>
    <x v="23"/>
  </r>
  <r>
    <x v="4"/>
    <x v="20"/>
  </r>
  <r>
    <x v="4"/>
    <x v="9"/>
  </r>
  <r>
    <x v="6"/>
    <x v="16"/>
  </r>
  <r>
    <x v="3"/>
    <x v="7"/>
  </r>
  <r>
    <x v="4"/>
    <x v="9"/>
  </r>
  <r>
    <x v="7"/>
    <x v="26"/>
  </r>
  <r>
    <x v="3"/>
    <x v="27"/>
  </r>
  <r>
    <x v="0"/>
    <x v="0"/>
  </r>
  <r>
    <x v="5"/>
    <x v="6"/>
  </r>
  <r>
    <x v="4"/>
    <x v="20"/>
  </r>
  <r>
    <x v="4"/>
    <x v="20"/>
  </r>
  <r>
    <x v="2"/>
    <x v="23"/>
  </r>
  <r>
    <x v="7"/>
    <x v="25"/>
  </r>
  <r>
    <x v="2"/>
    <x v="30"/>
  </r>
  <r>
    <x v="0"/>
    <x v="24"/>
  </r>
  <r>
    <x v="6"/>
    <x v="22"/>
  </r>
  <r>
    <x v="5"/>
    <x v="6"/>
  </r>
  <r>
    <x v="5"/>
    <x v="6"/>
  </r>
  <r>
    <x v="2"/>
    <x v="23"/>
  </r>
  <r>
    <x v="6"/>
    <x v="31"/>
  </r>
  <r>
    <x v="3"/>
    <x v="7"/>
  </r>
  <r>
    <x v="0"/>
    <x v="28"/>
  </r>
  <r>
    <x v="4"/>
    <x v="5"/>
  </r>
  <r>
    <x v="1"/>
    <x v="10"/>
  </r>
  <r>
    <x v="4"/>
    <x v="11"/>
  </r>
  <r>
    <x v="1"/>
    <x v="21"/>
  </r>
  <r>
    <x v="0"/>
    <x v="0"/>
  </r>
  <r>
    <x v="8"/>
    <x v="33"/>
  </r>
</pivotCacheRecords>
</file>

<file path=xl/pivotCache/pivotCacheRecords2.xml><?xml version="1.0" encoding="utf-8"?>
<pivotCacheRecords xmlns="http://schemas.openxmlformats.org/spreadsheetml/2006/main" xmlns:r="http://schemas.openxmlformats.org/officeDocument/2006/relationships" count="1000">
  <r>
    <x v="0"/>
  </r>
  <r>
    <x v="1"/>
  </r>
  <r>
    <x v="0"/>
  </r>
  <r>
    <x v="0"/>
  </r>
  <r>
    <x v="0"/>
  </r>
  <r>
    <x v="0"/>
  </r>
  <r>
    <x v="2"/>
  </r>
  <r>
    <x v="0"/>
  </r>
  <r>
    <x v="0"/>
  </r>
  <r>
    <x v="0"/>
  </r>
  <r>
    <x v="1"/>
  </r>
  <r>
    <x v="0"/>
  </r>
  <r>
    <x v="2"/>
  </r>
  <r>
    <x v="0"/>
  </r>
  <r>
    <x v="0"/>
  </r>
  <r>
    <x v="0"/>
  </r>
  <r>
    <x v="0"/>
  </r>
  <r>
    <x v="0"/>
  </r>
  <r>
    <x v="0"/>
  </r>
  <r>
    <x v="0"/>
  </r>
  <r>
    <x v="2"/>
  </r>
  <r>
    <x v="2"/>
  </r>
  <r>
    <x v="2"/>
  </r>
  <r>
    <x v="0"/>
  </r>
  <r>
    <x v="0"/>
  </r>
  <r>
    <x v="0"/>
  </r>
  <r>
    <x v="0"/>
  </r>
  <r>
    <x v="0"/>
  </r>
  <r>
    <x v="0"/>
  </r>
  <r>
    <x v="0"/>
  </r>
  <r>
    <x v="0"/>
  </r>
  <r>
    <x v="2"/>
  </r>
  <r>
    <x v="0"/>
  </r>
  <r>
    <x v="0"/>
  </r>
  <r>
    <x v="0"/>
  </r>
  <r>
    <x v="0"/>
  </r>
  <r>
    <x v="2"/>
  </r>
  <r>
    <x v="0"/>
  </r>
  <r>
    <x v="2"/>
  </r>
  <r>
    <x v="0"/>
  </r>
  <r>
    <x v="0"/>
  </r>
  <r>
    <x v="0"/>
  </r>
  <r>
    <x v="0"/>
  </r>
  <r>
    <x v="0"/>
  </r>
  <r>
    <x v="0"/>
  </r>
  <r>
    <x v="0"/>
  </r>
  <r>
    <x v="0"/>
  </r>
  <r>
    <x v="0"/>
  </r>
  <r>
    <x v="0"/>
  </r>
  <r>
    <x v="0"/>
  </r>
  <r>
    <x v="2"/>
  </r>
  <r>
    <x v="0"/>
  </r>
  <r>
    <x v="0"/>
  </r>
  <r>
    <x v="0"/>
  </r>
  <r>
    <x v="0"/>
  </r>
  <r>
    <x v="0"/>
  </r>
  <r>
    <x v="0"/>
  </r>
  <r>
    <x v="0"/>
  </r>
  <r>
    <x v="0"/>
  </r>
  <r>
    <x v="0"/>
  </r>
  <r>
    <x v="0"/>
  </r>
  <r>
    <x v="0"/>
  </r>
  <r>
    <x v="0"/>
  </r>
  <r>
    <x v="0"/>
  </r>
  <r>
    <x v="2"/>
  </r>
  <r>
    <x v="1"/>
  </r>
  <r>
    <x v="0"/>
  </r>
  <r>
    <x v="0"/>
  </r>
  <r>
    <x v="0"/>
  </r>
  <r>
    <x v="0"/>
  </r>
  <r>
    <x v="0"/>
  </r>
  <r>
    <x v="0"/>
  </r>
  <r>
    <x v="0"/>
  </r>
  <r>
    <x v="0"/>
  </r>
  <r>
    <x v="0"/>
  </r>
  <r>
    <x v="0"/>
  </r>
  <r>
    <x v="0"/>
  </r>
  <r>
    <x v="0"/>
  </r>
  <r>
    <x v="2"/>
  </r>
  <r>
    <x v="0"/>
  </r>
  <r>
    <x v="0"/>
  </r>
  <r>
    <x v="0"/>
  </r>
  <r>
    <x v="0"/>
  </r>
  <r>
    <x v="0"/>
  </r>
  <r>
    <x v="0"/>
  </r>
  <r>
    <x v="0"/>
  </r>
  <r>
    <x v="0"/>
  </r>
  <r>
    <x v="0"/>
  </r>
  <r>
    <x v="0"/>
  </r>
  <r>
    <x v="2"/>
  </r>
  <r>
    <x v="0"/>
  </r>
  <r>
    <x v="1"/>
  </r>
  <r>
    <x v="0"/>
  </r>
  <r>
    <x v="0"/>
  </r>
  <r>
    <x v="0"/>
  </r>
  <r>
    <x v="0"/>
  </r>
  <r>
    <x v="2"/>
  </r>
  <r>
    <x v="0"/>
  </r>
  <r>
    <x v="0"/>
  </r>
  <r>
    <x v="0"/>
  </r>
  <r>
    <x v="2"/>
  </r>
  <r>
    <x v="0"/>
  </r>
  <r>
    <x v="2"/>
  </r>
  <r>
    <x v="0"/>
  </r>
  <r>
    <x v="0"/>
  </r>
  <r>
    <x v="0"/>
  </r>
  <r>
    <x v="0"/>
  </r>
  <r>
    <x v="0"/>
  </r>
  <r>
    <x v="0"/>
  </r>
  <r>
    <x v="0"/>
  </r>
  <r>
    <x v="0"/>
  </r>
  <r>
    <x v="0"/>
  </r>
  <r>
    <x v="0"/>
  </r>
  <r>
    <x v="0"/>
  </r>
  <r>
    <x v="1"/>
  </r>
  <r>
    <x v="0"/>
  </r>
  <r>
    <x v="0"/>
  </r>
  <r>
    <x v="1"/>
  </r>
  <r>
    <x v="0"/>
  </r>
  <r>
    <x v="0"/>
  </r>
  <r>
    <x v="0"/>
  </r>
  <r>
    <x v="2"/>
  </r>
  <r>
    <x v="0"/>
  </r>
  <r>
    <x v="0"/>
  </r>
  <r>
    <x v="0"/>
  </r>
  <r>
    <x v="0"/>
  </r>
  <r>
    <x v="0"/>
  </r>
  <r>
    <x v="0"/>
  </r>
  <r>
    <x v="0"/>
  </r>
  <r>
    <x v="0"/>
  </r>
  <r>
    <x v="0"/>
  </r>
  <r>
    <x v="0"/>
  </r>
  <r>
    <x v="0"/>
  </r>
  <r>
    <x v="0"/>
  </r>
  <r>
    <x v="0"/>
  </r>
  <r>
    <x v="0"/>
  </r>
  <r>
    <x v="1"/>
  </r>
  <r>
    <x v="0"/>
  </r>
  <r>
    <x v="0"/>
  </r>
  <r>
    <x v="0"/>
  </r>
  <r>
    <x v="2"/>
  </r>
  <r>
    <x v="0"/>
  </r>
  <r>
    <x v="0"/>
  </r>
  <r>
    <x v="0"/>
  </r>
  <r>
    <x v="0"/>
  </r>
  <r>
    <x v="0"/>
  </r>
  <r>
    <x v="0"/>
  </r>
  <r>
    <x v="1"/>
  </r>
  <r>
    <x v="0"/>
  </r>
  <r>
    <x v="0"/>
  </r>
  <r>
    <x v="0"/>
  </r>
  <r>
    <x v="0"/>
  </r>
  <r>
    <x v="0"/>
  </r>
  <r>
    <x v="0"/>
  </r>
  <r>
    <x v="1"/>
  </r>
  <r>
    <x v="0"/>
  </r>
  <r>
    <x v="0"/>
  </r>
  <r>
    <x v="0"/>
  </r>
  <r>
    <x v="0"/>
  </r>
  <r>
    <x v="0"/>
  </r>
  <r>
    <x v="0"/>
  </r>
  <r>
    <x v="0"/>
  </r>
  <r>
    <x v="0"/>
  </r>
  <r>
    <x v="2"/>
  </r>
  <r>
    <x v="0"/>
  </r>
  <r>
    <x v="0"/>
  </r>
  <r>
    <x v="0"/>
  </r>
  <r>
    <x v="2"/>
  </r>
  <r>
    <x v="0"/>
  </r>
  <r>
    <x v="0"/>
  </r>
  <r>
    <x v="0"/>
  </r>
  <r>
    <x v="0"/>
  </r>
  <r>
    <x v="0"/>
  </r>
  <r>
    <x v="0"/>
  </r>
  <r>
    <x v="0"/>
  </r>
  <r>
    <x v="2"/>
  </r>
  <r>
    <x v="2"/>
  </r>
  <r>
    <x v="0"/>
  </r>
  <r>
    <x v="0"/>
  </r>
  <r>
    <x v="0"/>
  </r>
  <r>
    <x v="0"/>
  </r>
  <r>
    <x v="0"/>
  </r>
  <r>
    <x v="0"/>
  </r>
  <r>
    <x v="0"/>
  </r>
  <r>
    <x v="0"/>
  </r>
  <r>
    <x v="0"/>
  </r>
  <r>
    <x v="2"/>
  </r>
  <r>
    <x v="0"/>
  </r>
  <r>
    <x v="0"/>
  </r>
  <r>
    <x v="0"/>
  </r>
  <r>
    <x v="0"/>
  </r>
  <r>
    <x v="0"/>
  </r>
  <r>
    <x v="0"/>
  </r>
  <r>
    <x v="0"/>
  </r>
  <r>
    <x v="0"/>
  </r>
  <r>
    <x v="0"/>
  </r>
  <r>
    <x v="0"/>
  </r>
  <r>
    <x v="0"/>
  </r>
  <r>
    <x v="1"/>
  </r>
  <r>
    <x v="0"/>
  </r>
  <r>
    <x v="0"/>
  </r>
  <r>
    <x v="0"/>
  </r>
  <r>
    <x v="0"/>
  </r>
  <r>
    <x v="0"/>
  </r>
  <r>
    <x v="0"/>
  </r>
  <r>
    <x v="2"/>
  </r>
  <r>
    <x v="0"/>
  </r>
  <r>
    <x v="0"/>
  </r>
  <r>
    <x v="0"/>
  </r>
  <r>
    <x v="0"/>
  </r>
  <r>
    <x v="0"/>
  </r>
  <r>
    <x v="1"/>
  </r>
  <r>
    <x v="0"/>
  </r>
  <r>
    <x v="2"/>
  </r>
  <r>
    <x v="0"/>
  </r>
  <r>
    <x v="0"/>
  </r>
  <r>
    <x v="0"/>
  </r>
  <r>
    <x v="0"/>
  </r>
  <r>
    <x v="0"/>
  </r>
  <r>
    <x v="0"/>
  </r>
  <r>
    <x v="0"/>
  </r>
  <r>
    <x v="0"/>
  </r>
  <r>
    <x v="0"/>
  </r>
  <r>
    <x v="0"/>
  </r>
  <r>
    <x v="2"/>
  </r>
  <r>
    <x v="0"/>
  </r>
  <r>
    <x v="0"/>
  </r>
  <r>
    <x v="0"/>
  </r>
  <r>
    <x v="0"/>
  </r>
  <r>
    <x v="0"/>
  </r>
  <r>
    <x v="0"/>
  </r>
  <r>
    <x v="0"/>
  </r>
  <r>
    <x v="0"/>
  </r>
  <r>
    <x v="0"/>
  </r>
  <r>
    <x v="0"/>
  </r>
  <r>
    <x v="0"/>
  </r>
  <r>
    <x v="0"/>
  </r>
  <r>
    <x v="0"/>
  </r>
  <r>
    <x v="0"/>
  </r>
  <r>
    <x v="0"/>
  </r>
  <r>
    <x v="2"/>
  </r>
  <r>
    <x v="0"/>
  </r>
  <r>
    <x v="2"/>
  </r>
  <r>
    <x v="2"/>
  </r>
  <r>
    <x v="0"/>
  </r>
  <r>
    <x v="0"/>
  </r>
  <r>
    <x v="1"/>
  </r>
  <r>
    <x v="0"/>
  </r>
  <r>
    <x v="0"/>
  </r>
  <r>
    <x v="2"/>
  </r>
  <r>
    <x v="0"/>
  </r>
  <r>
    <x v="0"/>
  </r>
  <r>
    <x v="0"/>
  </r>
  <r>
    <x v="0"/>
  </r>
  <r>
    <x v="2"/>
  </r>
  <r>
    <x v="2"/>
  </r>
  <r>
    <x v="0"/>
  </r>
  <r>
    <x v="2"/>
  </r>
  <r>
    <x v="0"/>
  </r>
  <r>
    <x v="2"/>
  </r>
  <r>
    <x v="1"/>
  </r>
  <r>
    <x v="0"/>
  </r>
  <r>
    <x v="0"/>
  </r>
  <r>
    <x v="2"/>
  </r>
  <r>
    <x v="1"/>
  </r>
  <r>
    <x v="2"/>
  </r>
  <r>
    <x v="2"/>
  </r>
  <r>
    <x v="0"/>
  </r>
  <r>
    <x v="0"/>
  </r>
  <r>
    <x v="0"/>
  </r>
  <r>
    <x v="1"/>
  </r>
  <r>
    <x v="0"/>
  </r>
  <r>
    <x v="1"/>
  </r>
  <r>
    <x v="0"/>
  </r>
  <r>
    <x v="0"/>
  </r>
  <r>
    <x v="2"/>
  </r>
  <r>
    <x v="2"/>
  </r>
  <r>
    <x v="0"/>
  </r>
  <r>
    <x v="0"/>
  </r>
  <r>
    <x v="0"/>
  </r>
  <r>
    <x v="0"/>
  </r>
  <r>
    <x v="0"/>
  </r>
  <r>
    <x v="0"/>
  </r>
  <r>
    <x v="0"/>
  </r>
  <r>
    <x v="0"/>
  </r>
  <r>
    <x v="0"/>
  </r>
  <r>
    <x v="0"/>
  </r>
  <r>
    <x v="0"/>
  </r>
  <r>
    <x v="0"/>
  </r>
  <r>
    <x v="2"/>
  </r>
  <r>
    <x v="2"/>
  </r>
  <r>
    <x v="2"/>
  </r>
  <r>
    <x v="0"/>
  </r>
  <r>
    <x v="0"/>
  </r>
  <r>
    <x v="0"/>
  </r>
  <r>
    <x v="0"/>
  </r>
  <r>
    <x v="0"/>
  </r>
  <r>
    <x v="0"/>
  </r>
  <r>
    <x v="0"/>
  </r>
  <r>
    <x v="0"/>
  </r>
  <r>
    <x v="0"/>
  </r>
  <r>
    <x v="0"/>
  </r>
  <r>
    <x v="2"/>
  </r>
  <r>
    <x v="0"/>
  </r>
  <r>
    <x v="0"/>
  </r>
  <r>
    <x v="0"/>
  </r>
  <r>
    <x v="0"/>
  </r>
  <r>
    <x v="0"/>
  </r>
  <r>
    <x v="0"/>
  </r>
  <r>
    <x v="0"/>
  </r>
  <r>
    <x v="0"/>
  </r>
  <r>
    <x v="0"/>
  </r>
  <r>
    <x v="0"/>
  </r>
  <r>
    <x v="2"/>
  </r>
  <r>
    <x v="0"/>
  </r>
  <r>
    <x v="0"/>
  </r>
  <r>
    <x v="0"/>
  </r>
  <r>
    <x v="2"/>
  </r>
  <r>
    <x v="0"/>
  </r>
  <r>
    <x v="0"/>
  </r>
  <r>
    <x v="0"/>
  </r>
  <r>
    <x v="0"/>
  </r>
  <r>
    <x v="0"/>
  </r>
  <r>
    <x v="0"/>
  </r>
  <r>
    <x v="0"/>
  </r>
  <r>
    <x v="0"/>
  </r>
  <r>
    <x v="0"/>
  </r>
  <r>
    <x v="0"/>
  </r>
  <r>
    <x v="0"/>
  </r>
  <r>
    <x v="0"/>
  </r>
  <r>
    <x v="0"/>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2"/>
  </r>
  <r>
    <x v="0"/>
  </r>
  <r>
    <x v="2"/>
  </r>
  <r>
    <x v="0"/>
  </r>
  <r>
    <x v="0"/>
  </r>
  <r>
    <x v="0"/>
  </r>
  <r>
    <x v="0"/>
  </r>
  <r>
    <x v="1"/>
  </r>
  <r>
    <x v="0"/>
  </r>
  <r>
    <x v="0"/>
  </r>
  <r>
    <x v="1"/>
  </r>
  <r>
    <x v="0"/>
  </r>
  <r>
    <x v="2"/>
  </r>
  <r>
    <x v="2"/>
  </r>
  <r>
    <x v="0"/>
  </r>
  <r>
    <x v="0"/>
  </r>
  <r>
    <x v="0"/>
  </r>
  <r>
    <x v="0"/>
  </r>
  <r>
    <x v="0"/>
  </r>
  <r>
    <x v="0"/>
  </r>
  <r>
    <x v="0"/>
  </r>
  <r>
    <x v="0"/>
  </r>
  <r>
    <x v="0"/>
  </r>
  <r>
    <x v="0"/>
  </r>
  <r>
    <x v="0"/>
  </r>
  <r>
    <x v="0"/>
  </r>
  <r>
    <x v="0"/>
  </r>
  <r>
    <x v="0"/>
  </r>
  <r>
    <x v="0"/>
  </r>
  <r>
    <x v="0"/>
  </r>
  <r>
    <x v="0"/>
  </r>
  <r>
    <x v="2"/>
  </r>
  <r>
    <x v="0"/>
  </r>
  <r>
    <x v="0"/>
  </r>
  <r>
    <x v="0"/>
  </r>
  <r>
    <x v="2"/>
  </r>
  <r>
    <x v="0"/>
  </r>
  <r>
    <x v="0"/>
  </r>
  <r>
    <x v="0"/>
  </r>
  <r>
    <x v="0"/>
  </r>
  <r>
    <x v="0"/>
  </r>
  <r>
    <x v="2"/>
  </r>
  <r>
    <x v="0"/>
  </r>
  <r>
    <x v="0"/>
  </r>
  <r>
    <x v="0"/>
  </r>
  <r>
    <x v="0"/>
  </r>
  <r>
    <x v="0"/>
  </r>
  <r>
    <x v="0"/>
  </r>
  <r>
    <x v="0"/>
  </r>
  <r>
    <x v="0"/>
  </r>
  <r>
    <x v="0"/>
  </r>
  <r>
    <x v="0"/>
  </r>
  <r>
    <x v="0"/>
  </r>
  <r>
    <x v="2"/>
  </r>
  <r>
    <x v="0"/>
  </r>
  <r>
    <x v="0"/>
  </r>
  <r>
    <x v="0"/>
  </r>
  <r>
    <x v="0"/>
  </r>
  <r>
    <x v="0"/>
  </r>
  <r>
    <x v="0"/>
  </r>
  <r>
    <x v="0"/>
  </r>
  <r>
    <x v="0"/>
  </r>
  <r>
    <x v="0"/>
  </r>
  <r>
    <x v="0"/>
  </r>
  <r>
    <x v="0"/>
  </r>
  <r>
    <x v="0"/>
  </r>
  <r>
    <x v="0"/>
  </r>
  <r>
    <x v="0"/>
  </r>
  <r>
    <x v="0"/>
  </r>
  <r>
    <x v="2"/>
  </r>
  <r>
    <x v="2"/>
  </r>
  <r>
    <x v="2"/>
  </r>
  <r>
    <x v="0"/>
  </r>
  <r>
    <x v="0"/>
  </r>
  <r>
    <x v="0"/>
  </r>
  <r>
    <x v="1"/>
  </r>
  <r>
    <x v="2"/>
  </r>
  <r>
    <x v="0"/>
  </r>
  <r>
    <x v="0"/>
  </r>
  <r>
    <x v="0"/>
  </r>
  <r>
    <x v="0"/>
  </r>
  <r>
    <x v="0"/>
  </r>
  <r>
    <x v="0"/>
  </r>
  <r>
    <x v="0"/>
  </r>
  <r>
    <x v="0"/>
  </r>
  <r>
    <x v="2"/>
  </r>
  <r>
    <x v="0"/>
  </r>
  <r>
    <x v="0"/>
  </r>
  <r>
    <x v="0"/>
  </r>
  <r>
    <x v="2"/>
  </r>
  <r>
    <x v="0"/>
  </r>
  <r>
    <x v="1"/>
  </r>
  <r>
    <x v="0"/>
  </r>
  <r>
    <x v="0"/>
  </r>
  <r>
    <x v="0"/>
  </r>
  <r>
    <x v="0"/>
  </r>
  <r>
    <x v="0"/>
  </r>
  <r>
    <x v="2"/>
  </r>
  <r>
    <x v="2"/>
  </r>
  <r>
    <x v="0"/>
  </r>
  <r>
    <x v="0"/>
  </r>
  <r>
    <x v="0"/>
  </r>
  <r>
    <x v="0"/>
  </r>
  <r>
    <x v="0"/>
  </r>
  <r>
    <x v="0"/>
  </r>
  <r>
    <x v="2"/>
  </r>
  <r>
    <x v="0"/>
  </r>
  <r>
    <x v="0"/>
  </r>
  <r>
    <x v="0"/>
  </r>
  <r>
    <x v="0"/>
  </r>
  <r>
    <x v="0"/>
  </r>
  <r>
    <x v="2"/>
  </r>
  <r>
    <x v="0"/>
  </r>
  <r>
    <x v="2"/>
  </r>
  <r>
    <x v="0"/>
  </r>
  <r>
    <x v="2"/>
  </r>
  <r>
    <x v="1"/>
  </r>
  <r>
    <x v="0"/>
  </r>
  <r>
    <x v="1"/>
  </r>
  <r>
    <x v="0"/>
  </r>
  <r>
    <x v="0"/>
  </r>
  <r>
    <x v="0"/>
  </r>
  <r>
    <x v="0"/>
  </r>
  <r>
    <x v="2"/>
  </r>
  <r>
    <x v="0"/>
  </r>
  <r>
    <x v="0"/>
  </r>
  <r>
    <x v="0"/>
  </r>
  <r>
    <x v="0"/>
  </r>
  <r>
    <x v="0"/>
  </r>
  <r>
    <x v="0"/>
  </r>
  <r>
    <x v="0"/>
  </r>
  <r>
    <x v="0"/>
  </r>
  <r>
    <x v="0"/>
  </r>
  <r>
    <x v="1"/>
  </r>
  <r>
    <x v="0"/>
  </r>
  <r>
    <x v="2"/>
  </r>
  <r>
    <x v="2"/>
  </r>
  <r>
    <x v="0"/>
  </r>
  <r>
    <x v="0"/>
  </r>
  <r>
    <x v="0"/>
  </r>
  <r>
    <x v="0"/>
  </r>
  <r>
    <x v="0"/>
  </r>
  <r>
    <x v="0"/>
  </r>
  <r>
    <x v="2"/>
  </r>
  <r>
    <x v="0"/>
  </r>
  <r>
    <x v="0"/>
  </r>
  <r>
    <x v="0"/>
  </r>
  <r>
    <x v="0"/>
  </r>
  <r>
    <x v="0"/>
  </r>
  <r>
    <x v="2"/>
  </r>
  <r>
    <x v="0"/>
  </r>
  <r>
    <x v="0"/>
  </r>
  <r>
    <x v="0"/>
  </r>
  <r>
    <x v="0"/>
  </r>
  <r>
    <x v="2"/>
  </r>
  <r>
    <x v="1"/>
  </r>
  <r>
    <x v="0"/>
  </r>
  <r>
    <x v="0"/>
  </r>
  <r>
    <x v="0"/>
  </r>
  <r>
    <x v="0"/>
  </r>
  <r>
    <x v="0"/>
  </r>
  <r>
    <x v="0"/>
  </r>
  <r>
    <x v="0"/>
  </r>
  <r>
    <x v="2"/>
  </r>
  <r>
    <x v="0"/>
  </r>
  <r>
    <x v="0"/>
  </r>
  <r>
    <x v="0"/>
  </r>
  <r>
    <x v="0"/>
  </r>
  <r>
    <x v="2"/>
  </r>
  <r>
    <x v="2"/>
  </r>
  <r>
    <x v="0"/>
  </r>
  <r>
    <x v="0"/>
  </r>
  <r>
    <x v="0"/>
  </r>
  <r>
    <x v="2"/>
  </r>
  <r>
    <x v="0"/>
  </r>
  <r>
    <x v="0"/>
  </r>
  <r>
    <x v="0"/>
  </r>
  <r>
    <x v="0"/>
  </r>
  <r>
    <x v="0"/>
  </r>
  <r>
    <x v="0"/>
  </r>
  <r>
    <x v="0"/>
  </r>
  <r>
    <x v="0"/>
  </r>
  <r>
    <x v="0"/>
  </r>
  <r>
    <x v="0"/>
  </r>
  <r>
    <x v="0"/>
  </r>
  <r>
    <x v="0"/>
  </r>
  <r>
    <x v="0"/>
  </r>
  <r>
    <x v="0"/>
  </r>
  <r>
    <x v="0"/>
  </r>
  <r>
    <x v="1"/>
  </r>
  <r>
    <x v="0"/>
  </r>
  <r>
    <x v="0"/>
  </r>
  <r>
    <x v="0"/>
  </r>
  <r>
    <x v="0"/>
  </r>
  <r>
    <x v="2"/>
  </r>
  <r>
    <x v="0"/>
  </r>
  <r>
    <x v="0"/>
  </r>
  <r>
    <x v="0"/>
  </r>
  <r>
    <x v="0"/>
  </r>
  <r>
    <x v="0"/>
  </r>
  <r>
    <x v="0"/>
  </r>
  <r>
    <x v="0"/>
  </r>
  <r>
    <x v="0"/>
  </r>
  <r>
    <x v="0"/>
  </r>
  <r>
    <x v="0"/>
  </r>
  <r>
    <x v="0"/>
  </r>
  <r>
    <x v="1"/>
  </r>
  <r>
    <x v="0"/>
  </r>
  <r>
    <x v="0"/>
  </r>
  <r>
    <x v="2"/>
  </r>
  <r>
    <x v="0"/>
  </r>
  <r>
    <x v="2"/>
  </r>
  <r>
    <x v="0"/>
  </r>
  <r>
    <x v="0"/>
  </r>
  <r>
    <x v="0"/>
  </r>
  <r>
    <x v="0"/>
  </r>
  <r>
    <x v="0"/>
  </r>
  <r>
    <x v="0"/>
  </r>
  <r>
    <x v="0"/>
  </r>
  <r>
    <x v="0"/>
  </r>
  <r>
    <x v="0"/>
  </r>
  <r>
    <x v="0"/>
  </r>
  <r>
    <x v="0"/>
  </r>
  <r>
    <x v="2"/>
  </r>
  <r>
    <x v="0"/>
  </r>
  <r>
    <x v="0"/>
  </r>
  <r>
    <x v="0"/>
  </r>
  <r>
    <x v="0"/>
  </r>
  <r>
    <x v="2"/>
  </r>
  <r>
    <x v="2"/>
  </r>
  <r>
    <x v="0"/>
  </r>
  <r>
    <x v="0"/>
  </r>
  <r>
    <x v="0"/>
  </r>
  <r>
    <x v="2"/>
  </r>
  <r>
    <x v="2"/>
  </r>
  <r>
    <x v="0"/>
  </r>
  <r>
    <x v="0"/>
  </r>
  <r>
    <x v="2"/>
  </r>
  <r>
    <x v="0"/>
  </r>
  <r>
    <x v="1"/>
  </r>
  <r>
    <x v="0"/>
  </r>
  <r>
    <x v="0"/>
  </r>
  <r>
    <x v="0"/>
  </r>
  <r>
    <x v="0"/>
  </r>
  <r>
    <x v="0"/>
  </r>
  <r>
    <x v="0"/>
  </r>
  <r>
    <x v="0"/>
  </r>
  <r>
    <x v="2"/>
  </r>
  <r>
    <x v="0"/>
  </r>
  <r>
    <x v="2"/>
  </r>
  <r>
    <x v="0"/>
  </r>
  <r>
    <x v="0"/>
  </r>
  <r>
    <x v="0"/>
  </r>
  <r>
    <x v="1"/>
  </r>
  <r>
    <x v="0"/>
  </r>
  <r>
    <x v="0"/>
  </r>
  <r>
    <x v="1"/>
  </r>
  <r>
    <x v="0"/>
  </r>
  <r>
    <x v="0"/>
  </r>
  <r>
    <x v="2"/>
  </r>
  <r>
    <x v="0"/>
  </r>
  <r>
    <x v="0"/>
  </r>
  <r>
    <x v="2"/>
  </r>
  <r>
    <x v="0"/>
  </r>
  <r>
    <x v="0"/>
  </r>
  <r>
    <x v="0"/>
  </r>
  <r>
    <x v="0"/>
  </r>
  <r>
    <x v="1"/>
  </r>
  <r>
    <x v="0"/>
  </r>
  <r>
    <x v="0"/>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2"/>
  </r>
  <r>
    <x v="1"/>
  </r>
  <r>
    <x v="0"/>
  </r>
  <r>
    <x v="0"/>
  </r>
  <r>
    <x v="0"/>
  </r>
  <r>
    <x v="0"/>
  </r>
  <r>
    <x v="0"/>
  </r>
  <r>
    <x v="0"/>
  </r>
  <r>
    <x v="0"/>
  </r>
  <r>
    <x v="0"/>
  </r>
  <r>
    <x v="0"/>
  </r>
  <r>
    <x v="0"/>
  </r>
  <r>
    <x v="0"/>
  </r>
  <r>
    <x v="0"/>
  </r>
  <r>
    <x v="0"/>
  </r>
  <r>
    <x v="0"/>
  </r>
  <r>
    <x v="0"/>
  </r>
  <r>
    <x v="0"/>
  </r>
  <r>
    <x v="0"/>
  </r>
  <r>
    <x v="0"/>
  </r>
  <r>
    <x v="2"/>
  </r>
  <r>
    <x v="0"/>
  </r>
  <r>
    <x v="0"/>
  </r>
  <r>
    <x v="0"/>
  </r>
  <r>
    <x v="0"/>
  </r>
  <r>
    <x v="0"/>
  </r>
  <r>
    <x v="0"/>
  </r>
  <r>
    <x v="2"/>
  </r>
  <r>
    <x v="1"/>
  </r>
  <r>
    <x v="0"/>
  </r>
  <r>
    <x v="0"/>
  </r>
  <r>
    <x v="2"/>
  </r>
  <r>
    <x v="0"/>
  </r>
  <r>
    <x v="0"/>
  </r>
  <r>
    <x v="1"/>
  </r>
  <r>
    <x v="1"/>
  </r>
  <r>
    <x v="0"/>
  </r>
  <r>
    <x v="0"/>
  </r>
  <r>
    <x v="0"/>
  </r>
  <r>
    <x v="0"/>
  </r>
  <r>
    <x v="0"/>
  </r>
  <r>
    <x v="0"/>
  </r>
  <r>
    <x v="0"/>
  </r>
  <r>
    <x v="0"/>
  </r>
  <r>
    <x v="0"/>
  </r>
  <r>
    <x v="0"/>
  </r>
  <r>
    <x v="0"/>
  </r>
  <r>
    <x v="0"/>
  </r>
  <r>
    <x v="0"/>
  </r>
  <r>
    <x v="0"/>
  </r>
  <r>
    <x v="2"/>
  </r>
  <r>
    <x v="0"/>
  </r>
  <r>
    <x v="0"/>
  </r>
  <r>
    <x v="0"/>
  </r>
  <r>
    <x v="0"/>
  </r>
  <r>
    <x v="0"/>
  </r>
  <r>
    <x v="0"/>
  </r>
  <r>
    <x v="0"/>
  </r>
  <r>
    <x v="0"/>
  </r>
  <r>
    <x v="0"/>
  </r>
  <r>
    <x v="0"/>
  </r>
  <r>
    <x v="0"/>
  </r>
  <r>
    <x v="0"/>
  </r>
  <r>
    <x v="0"/>
  </r>
  <r>
    <x v="0"/>
  </r>
  <r>
    <x v="0"/>
  </r>
  <r>
    <x v="1"/>
  </r>
  <r>
    <x v="0"/>
  </r>
  <r>
    <x v="0"/>
  </r>
  <r>
    <x v="0"/>
  </r>
  <r>
    <x v="2"/>
  </r>
  <r>
    <x v="0"/>
  </r>
  <r>
    <x v="0"/>
  </r>
  <r>
    <x v="0"/>
  </r>
  <r>
    <x v="0"/>
  </r>
  <r>
    <x v="2"/>
  </r>
  <r>
    <x v="0"/>
  </r>
  <r>
    <x v="0"/>
  </r>
  <r>
    <x v="0"/>
  </r>
  <r>
    <x v="0"/>
  </r>
  <r>
    <x v="0"/>
  </r>
  <r>
    <x v="0"/>
  </r>
  <r>
    <x v="0"/>
  </r>
  <r>
    <x v="0"/>
  </r>
  <r>
    <x v="1"/>
  </r>
  <r>
    <x v="0"/>
  </r>
  <r>
    <x v="0"/>
  </r>
  <r>
    <x v="0"/>
  </r>
  <r>
    <x v="1"/>
  </r>
  <r>
    <x v="0"/>
  </r>
  <r>
    <x v="0"/>
  </r>
  <r>
    <x v="0"/>
  </r>
  <r>
    <x v="0"/>
  </r>
  <r>
    <x v="0"/>
  </r>
  <r>
    <x v="0"/>
  </r>
  <r>
    <x v="0"/>
  </r>
  <r>
    <x v="0"/>
  </r>
  <r>
    <x v="0"/>
  </r>
  <r>
    <x v="0"/>
  </r>
  <r>
    <x v="0"/>
  </r>
  <r>
    <x v="0"/>
  </r>
  <r>
    <x v="0"/>
  </r>
  <r>
    <x v="0"/>
  </r>
  <r>
    <x v="0"/>
  </r>
  <r>
    <x v="0"/>
  </r>
  <r>
    <x v="1"/>
  </r>
  <r>
    <x v="0"/>
  </r>
  <r>
    <x v="2"/>
  </r>
  <r>
    <x v="0"/>
  </r>
  <r>
    <x v="0"/>
  </r>
  <r>
    <x v="0"/>
  </r>
  <r>
    <x v="0"/>
  </r>
  <r>
    <x v="0"/>
  </r>
  <r>
    <x v="0"/>
  </r>
  <r>
    <x v="0"/>
  </r>
  <r>
    <x v="0"/>
  </r>
  <r>
    <x v="0"/>
  </r>
  <r>
    <x v="0"/>
  </r>
  <r>
    <x v="0"/>
  </r>
  <r>
    <x v="0"/>
  </r>
  <r>
    <x v="2"/>
  </r>
  <r>
    <x v="0"/>
  </r>
  <r>
    <x v="0"/>
  </r>
  <r>
    <x v="0"/>
  </r>
  <r>
    <x v="1"/>
  </r>
  <r>
    <x v="0"/>
  </r>
  <r>
    <x v="0"/>
  </r>
  <r>
    <x v="0"/>
  </r>
  <r>
    <x v="0"/>
  </r>
  <r>
    <x v="2"/>
  </r>
  <r>
    <x v="0"/>
  </r>
  <r>
    <x v="0"/>
  </r>
  <r>
    <x v="0"/>
  </r>
  <r>
    <x v="0"/>
  </r>
  <r>
    <x v="0"/>
  </r>
  <r>
    <x v="0"/>
  </r>
  <r>
    <x v="0"/>
  </r>
  <r>
    <x v="0"/>
  </r>
  <r>
    <x v="0"/>
  </r>
  <r>
    <x v="0"/>
  </r>
  <r>
    <x v="0"/>
  </r>
  <r>
    <x v="0"/>
  </r>
  <r>
    <x v="0"/>
  </r>
  <r>
    <x v="0"/>
  </r>
  <r>
    <x v="0"/>
  </r>
  <r>
    <x v="0"/>
  </r>
  <r>
    <x v="2"/>
  </r>
  <r>
    <x v="0"/>
  </r>
  <r>
    <x v="0"/>
  </r>
  <r>
    <x v="0"/>
  </r>
  <r>
    <x v="0"/>
  </r>
  <r>
    <x v="2"/>
  </r>
  <r>
    <x v="0"/>
  </r>
  <r>
    <x v="0"/>
  </r>
  <r>
    <x v="0"/>
  </r>
  <r>
    <x v="0"/>
  </r>
  <r>
    <x v="0"/>
  </r>
  <r>
    <x v="0"/>
  </r>
  <r>
    <x v="2"/>
  </r>
  <r>
    <x v="0"/>
  </r>
  <r>
    <x v="0"/>
  </r>
  <r>
    <x v="0"/>
  </r>
  <r>
    <x v="0"/>
  </r>
  <r>
    <x v="0"/>
  </r>
  <r>
    <x v="0"/>
  </r>
  <r>
    <x v="0"/>
  </r>
  <r>
    <x v="0"/>
  </r>
  <r>
    <x v="0"/>
  </r>
  <r>
    <x v="0"/>
  </r>
  <r>
    <x v="0"/>
  </r>
  <r>
    <x v="0"/>
  </r>
  <r>
    <x v="0"/>
  </r>
  <r>
    <x v="0"/>
  </r>
  <r>
    <x v="0"/>
  </r>
  <r>
    <x v="0"/>
  </r>
  <r>
    <x v="0"/>
  </r>
  <r>
    <x v="0"/>
  </r>
  <r>
    <x v="0"/>
  </r>
  <r>
    <x v="1"/>
  </r>
  <r>
    <x v="0"/>
  </r>
  <r>
    <x v="0"/>
  </r>
  <r>
    <x v="0"/>
  </r>
  <r>
    <x v="0"/>
  </r>
  <r>
    <x v="0"/>
  </r>
  <r>
    <x v="0"/>
  </r>
  <r>
    <x v="0"/>
  </r>
  <r>
    <x v="0"/>
  </r>
  <r>
    <x v="0"/>
  </r>
  <r>
    <x v="0"/>
  </r>
  <r>
    <x v="1"/>
  </r>
  <r>
    <x v="0"/>
  </r>
  <r>
    <x v="0"/>
  </r>
  <r>
    <x v="0"/>
  </r>
  <r>
    <x v="0"/>
  </r>
  <r>
    <x v="2"/>
  </r>
  <r>
    <x v="0"/>
  </r>
  <r>
    <x v="0"/>
  </r>
  <r>
    <x v="0"/>
  </r>
  <r>
    <x v="0"/>
  </r>
  <r>
    <x v="0"/>
  </r>
  <r>
    <x v="0"/>
  </r>
  <r>
    <x v="0"/>
  </r>
  <r>
    <x v="0"/>
  </r>
  <r>
    <x v="0"/>
  </r>
  <r>
    <x v="0"/>
  </r>
  <r>
    <x v="0"/>
  </r>
  <r>
    <x v="0"/>
  </r>
  <r>
    <x v="0"/>
  </r>
  <r>
    <x v="0"/>
  </r>
  <r>
    <x v="0"/>
  </r>
  <r>
    <x v="2"/>
  </r>
  <r>
    <x v="0"/>
  </r>
  <r>
    <x v="2"/>
  </r>
  <r>
    <x v="0"/>
  </r>
  <r>
    <x v="0"/>
  </r>
  <r>
    <x v="0"/>
  </r>
  <r>
    <x v="1"/>
  </r>
  <r>
    <x v="0"/>
  </r>
  <r>
    <x v="2"/>
  </r>
  <r>
    <x v="0"/>
  </r>
  <r>
    <x v="0"/>
  </r>
  <r>
    <x v="1"/>
  </r>
  <r>
    <x v="0"/>
  </r>
  <r>
    <x v="0"/>
  </r>
  <r>
    <x v="0"/>
  </r>
  <r>
    <x v="0"/>
  </r>
  <r>
    <x v="1"/>
  </r>
  <r>
    <x v="0"/>
  </r>
  <r>
    <x v="0"/>
  </r>
  <r>
    <x v="0"/>
  </r>
  <r>
    <x v="0"/>
  </r>
  <r>
    <x v="0"/>
  </r>
  <r>
    <x v="0"/>
  </r>
  <r>
    <x v="0"/>
  </r>
  <r>
    <x v="0"/>
  </r>
  <r>
    <x v="0"/>
  </r>
  <r>
    <x v="0"/>
  </r>
  <r>
    <x v="0"/>
  </r>
  <r>
    <x v="0"/>
  </r>
  <r>
    <x v="0"/>
  </r>
  <r>
    <x v="0"/>
  </r>
  <r>
    <x v="0"/>
  </r>
  <r>
    <x v="0"/>
  </r>
  <r>
    <x v="0"/>
  </r>
  <r>
    <x v="0"/>
  </r>
  <r>
    <x v="0"/>
  </r>
  <r>
    <x v="2"/>
  </r>
  <r>
    <x v="1"/>
  </r>
  <r>
    <x v="0"/>
  </r>
  <r>
    <x v="0"/>
  </r>
  <r>
    <x v="1"/>
  </r>
  <r>
    <x v="0"/>
  </r>
  <r>
    <x v="2"/>
  </r>
  <r>
    <x v="1"/>
  </r>
  <r>
    <x v="2"/>
  </r>
  <r>
    <x v="0"/>
  </r>
  <r>
    <x v="2"/>
  </r>
  <r>
    <x v="0"/>
  </r>
  <r>
    <x v="0"/>
  </r>
  <r>
    <x v="2"/>
  </r>
  <r>
    <x v="0"/>
  </r>
  <r>
    <x v="0"/>
  </r>
  <r>
    <x v="0"/>
  </r>
  <r>
    <x v="0"/>
  </r>
  <r>
    <x v="0"/>
  </r>
  <r>
    <x v="0"/>
  </r>
  <r>
    <x v="0"/>
  </r>
  <r>
    <x v="0"/>
  </r>
  <r>
    <x v="2"/>
  </r>
  <r>
    <x v="0"/>
  </r>
  <r>
    <x v="0"/>
  </r>
  <r>
    <x v="0"/>
  </r>
  <r>
    <x v="2"/>
  </r>
  <r>
    <x v="0"/>
  </r>
  <r>
    <x v="2"/>
  </r>
  <r>
    <x v="0"/>
  </r>
  <r>
    <x v="0"/>
  </r>
  <r>
    <x v="0"/>
  </r>
  <r>
    <x v="0"/>
  </r>
  <r>
    <x v="0"/>
  </r>
  <r>
    <x v="0"/>
  </r>
  <r>
    <x v="0"/>
  </r>
  <r>
    <x v="0"/>
  </r>
  <r>
    <x v="0"/>
  </r>
  <r>
    <x v="0"/>
  </r>
  <r>
    <x v="0"/>
  </r>
  <r>
    <x v="0"/>
  </r>
  <r>
    <x v="0"/>
  </r>
  <r>
    <x v="0"/>
  </r>
  <r>
    <x v="2"/>
  </r>
  <r>
    <x v="0"/>
  </r>
  <r>
    <x v="0"/>
  </r>
  <r>
    <x v="0"/>
  </r>
  <r>
    <x v="0"/>
  </r>
  <r>
    <x v="0"/>
  </r>
  <r>
    <x v="0"/>
  </r>
  <r>
    <x v="0"/>
  </r>
  <r>
    <x v="0"/>
  </r>
  <r>
    <x v="0"/>
  </r>
  <r>
    <x v="0"/>
  </r>
  <r>
    <x v="0"/>
  </r>
  <r>
    <x v="2"/>
  </r>
  <r>
    <x v="0"/>
  </r>
  <r>
    <x v="0"/>
  </r>
  <r>
    <x v="2"/>
  </r>
  <r>
    <x v="0"/>
  </r>
  <r>
    <x v="0"/>
  </r>
  <r>
    <x v="0"/>
  </r>
  <r>
    <x v="0"/>
  </r>
  <r>
    <x v="0"/>
  </r>
  <r>
    <x v="2"/>
  </r>
  <r>
    <x v="0"/>
  </r>
  <r>
    <x v="0"/>
  </r>
  <r>
    <x v="0"/>
  </r>
  <r>
    <x v="0"/>
  </r>
  <r>
    <x v="2"/>
  </r>
  <r>
    <x v="0"/>
  </r>
  <r>
    <x v="0"/>
  </r>
  <r>
    <x v="0"/>
  </r>
  <r>
    <x v="0"/>
  </r>
  <r>
    <x v="0"/>
  </r>
  <r>
    <x v="0"/>
  </r>
  <r>
    <x v="0"/>
  </r>
  <r>
    <x v="0"/>
  </r>
  <r>
    <x v="0"/>
  </r>
  <r>
    <x v="0"/>
  </r>
  <r>
    <x v="0"/>
  </r>
  <r>
    <x v="0"/>
  </r>
  <r>
    <x v="0"/>
  </r>
</pivotCacheRecords>
</file>

<file path=xl/pivotCache/pivotCacheRecords3.xml><?xml version="1.0" encoding="utf-8"?>
<pivotCacheRecords xmlns="http://schemas.openxmlformats.org/spreadsheetml/2006/main" xmlns:r="http://schemas.openxmlformats.org/officeDocument/2006/relationships" count="1000">
  <r>
    <x v="0"/>
  </r>
  <r>
    <x v="0"/>
  </r>
  <r>
    <x v="1"/>
  </r>
  <r>
    <x v="2"/>
  </r>
  <r>
    <x v="3"/>
  </r>
  <r>
    <x v="3"/>
  </r>
  <r>
    <x v="2"/>
  </r>
  <r>
    <x v="0"/>
  </r>
  <r>
    <x v="3"/>
  </r>
  <r>
    <x v="4"/>
  </r>
  <r>
    <x v="1"/>
  </r>
  <r>
    <x v="3"/>
  </r>
  <r>
    <x v="0"/>
  </r>
  <r>
    <x v="0"/>
  </r>
  <r>
    <x v="3"/>
  </r>
  <r>
    <x v="1"/>
  </r>
  <r>
    <x v="3"/>
  </r>
  <r>
    <x v="5"/>
  </r>
  <r>
    <x v="3"/>
  </r>
  <r>
    <x v="5"/>
  </r>
  <r>
    <x v="2"/>
  </r>
  <r>
    <x v="0"/>
  </r>
  <r>
    <x v="5"/>
  </r>
  <r>
    <x v="3"/>
  </r>
  <r>
    <x v="2"/>
  </r>
  <r>
    <x v="0"/>
  </r>
  <r>
    <x v="1"/>
  </r>
  <r>
    <x v="3"/>
  </r>
  <r>
    <x v="3"/>
  </r>
  <r>
    <x v="0"/>
  </r>
  <r>
    <x v="5"/>
  </r>
  <r>
    <x v="2"/>
  </r>
  <r>
    <x v="1"/>
  </r>
  <r>
    <x v="4"/>
  </r>
  <r>
    <x v="3"/>
  </r>
  <r>
    <x v="4"/>
  </r>
  <r>
    <x v="3"/>
  </r>
  <r>
    <x v="5"/>
  </r>
  <r>
    <x v="5"/>
  </r>
  <r>
    <x v="5"/>
  </r>
  <r>
    <x v="0"/>
  </r>
  <r>
    <x v="0"/>
  </r>
  <r>
    <x v="1"/>
  </r>
  <r>
    <x v="5"/>
  </r>
  <r>
    <x v="4"/>
  </r>
  <r>
    <x v="5"/>
  </r>
  <r>
    <x v="5"/>
  </r>
  <r>
    <x v="0"/>
  </r>
  <r>
    <x v="4"/>
  </r>
  <r>
    <x v="3"/>
  </r>
  <r>
    <x v="1"/>
  </r>
  <r>
    <x v="1"/>
  </r>
  <r>
    <x v="2"/>
  </r>
  <r>
    <x v="3"/>
  </r>
  <r>
    <x v="2"/>
  </r>
  <r>
    <x v="5"/>
  </r>
  <r>
    <x v="5"/>
  </r>
  <r>
    <x v="1"/>
  </r>
  <r>
    <x v="1"/>
  </r>
  <r>
    <x v="1"/>
  </r>
  <r>
    <x v="3"/>
  </r>
  <r>
    <x v="1"/>
  </r>
  <r>
    <x v="5"/>
  </r>
  <r>
    <x v="2"/>
  </r>
  <r>
    <x v="0"/>
  </r>
  <r>
    <x v="0"/>
  </r>
  <r>
    <x v="1"/>
  </r>
  <r>
    <x v="0"/>
  </r>
  <r>
    <x v="3"/>
  </r>
  <r>
    <x v="3"/>
  </r>
  <r>
    <x v="4"/>
  </r>
  <r>
    <x v="3"/>
  </r>
  <r>
    <x v="3"/>
  </r>
  <r>
    <x v="0"/>
  </r>
  <r>
    <x v="5"/>
  </r>
  <r>
    <x v="5"/>
  </r>
  <r>
    <x v="5"/>
  </r>
  <r>
    <x v="2"/>
  </r>
  <r>
    <x v="0"/>
  </r>
  <r>
    <x v="3"/>
  </r>
  <r>
    <x v="5"/>
  </r>
  <r>
    <x v="5"/>
  </r>
  <r>
    <x v="4"/>
  </r>
  <r>
    <x v="4"/>
  </r>
  <r>
    <x v="5"/>
  </r>
  <r>
    <x v="4"/>
  </r>
  <r>
    <x v="0"/>
  </r>
  <r>
    <x v="5"/>
  </r>
  <r>
    <x v="2"/>
  </r>
  <r>
    <x v="5"/>
  </r>
  <r>
    <x v="1"/>
  </r>
  <r>
    <x v="0"/>
  </r>
  <r>
    <x v="3"/>
  </r>
  <r>
    <x v="0"/>
  </r>
  <r>
    <x v="0"/>
  </r>
  <r>
    <x v="1"/>
  </r>
  <r>
    <x v="3"/>
  </r>
  <r>
    <x v="3"/>
  </r>
  <r>
    <x v="2"/>
  </r>
  <r>
    <x v="2"/>
  </r>
  <r>
    <x v="5"/>
  </r>
  <r>
    <x v="4"/>
  </r>
  <r>
    <x v="0"/>
  </r>
  <r>
    <x v="0"/>
  </r>
  <r>
    <x v="3"/>
  </r>
  <r>
    <x v="0"/>
  </r>
  <r>
    <x v="0"/>
  </r>
  <r>
    <x v="3"/>
  </r>
  <r>
    <x v="1"/>
  </r>
  <r>
    <x v="5"/>
  </r>
  <r>
    <x v="0"/>
  </r>
  <r>
    <x v="0"/>
  </r>
  <r>
    <x v="4"/>
  </r>
  <r>
    <x v="3"/>
  </r>
  <r>
    <x v="0"/>
  </r>
  <r>
    <x v="4"/>
  </r>
  <r>
    <x v="1"/>
  </r>
  <r>
    <x v="0"/>
  </r>
  <r>
    <x v="3"/>
  </r>
  <r>
    <x v="0"/>
  </r>
  <r>
    <x v="4"/>
  </r>
  <r>
    <x v="3"/>
  </r>
  <r>
    <x v="0"/>
  </r>
  <r>
    <x v="5"/>
  </r>
  <r>
    <x v="3"/>
  </r>
  <r>
    <x v="2"/>
  </r>
  <r>
    <x v="2"/>
  </r>
  <r>
    <x v="2"/>
  </r>
  <r>
    <x v="5"/>
  </r>
  <r>
    <x v="2"/>
  </r>
  <r>
    <x v="4"/>
  </r>
  <r>
    <x v="3"/>
  </r>
  <r>
    <x v="5"/>
  </r>
  <r>
    <x v="0"/>
  </r>
  <r>
    <x v="4"/>
  </r>
  <r>
    <x v="5"/>
  </r>
  <r>
    <x v="3"/>
  </r>
  <r>
    <x v="1"/>
  </r>
  <r>
    <x v="4"/>
  </r>
  <r>
    <x v="2"/>
  </r>
  <r>
    <x v="2"/>
  </r>
  <r>
    <x v="3"/>
  </r>
  <r>
    <x v="1"/>
  </r>
  <r>
    <x v="1"/>
  </r>
  <r>
    <x v="5"/>
  </r>
  <r>
    <x v="1"/>
  </r>
  <r>
    <x v="0"/>
  </r>
  <r>
    <x v="2"/>
  </r>
  <r>
    <x v="4"/>
  </r>
  <r>
    <x v="2"/>
  </r>
  <r>
    <x v="0"/>
  </r>
  <r>
    <x v="4"/>
  </r>
  <r>
    <x v="3"/>
  </r>
  <r>
    <x v="2"/>
  </r>
  <r>
    <x v="5"/>
  </r>
  <r>
    <x v="1"/>
  </r>
  <r>
    <x v="4"/>
  </r>
  <r>
    <x v="0"/>
  </r>
  <r>
    <x v="1"/>
  </r>
  <r>
    <x v="1"/>
  </r>
  <r>
    <x v="3"/>
  </r>
  <r>
    <x v="2"/>
  </r>
  <r>
    <x v="4"/>
  </r>
  <r>
    <x v="1"/>
  </r>
  <r>
    <x v="4"/>
  </r>
  <r>
    <x v="5"/>
  </r>
  <r>
    <x v="3"/>
  </r>
  <r>
    <x v="4"/>
  </r>
  <r>
    <x v="5"/>
  </r>
  <r>
    <x v="4"/>
  </r>
  <r>
    <x v="5"/>
  </r>
  <r>
    <x v="2"/>
  </r>
  <r>
    <x v="5"/>
  </r>
  <r>
    <x v="2"/>
  </r>
  <r>
    <x v="0"/>
  </r>
  <r>
    <x v="4"/>
  </r>
  <r>
    <x v="1"/>
  </r>
  <r>
    <x v="0"/>
  </r>
  <r>
    <x v="4"/>
  </r>
  <r>
    <x v="3"/>
  </r>
  <r>
    <x v="2"/>
  </r>
  <r>
    <x v="4"/>
  </r>
  <r>
    <x v="2"/>
  </r>
  <r>
    <x v="1"/>
  </r>
  <r>
    <x v="1"/>
  </r>
  <r>
    <x v="1"/>
  </r>
  <r>
    <x v="3"/>
  </r>
  <r>
    <x v="5"/>
  </r>
  <r>
    <x v="1"/>
  </r>
  <r>
    <x v="0"/>
  </r>
  <r>
    <x v="3"/>
  </r>
  <r>
    <x v="5"/>
  </r>
  <r>
    <x v="4"/>
  </r>
  <r>
    <x v="2"/>
  </r>
  <r>
    <x v="3"/>
  </r>
  <r>
    <x v="1"/>
  </r>
  <r>
    <x v="0"/>
  </r>
  <r>
    <x v="3"/>
  </r>
  <r>
    <x v="1"/>
  </r>
  <r>
    <x v="1"/>
  </r>
  <r>
    <x v="5"/>
  </r>
  <r>
    <x v="0"/>
  </r>
  <r>
    <x v="2"/>
  </r>
  <r>
    <x v="1"/>
  </r>
  <r>
    <x v="3"/>
  </r>
  <r>
    <x v="3"/>
  </r>
  <r>
    <x v="3"/>
  </r>
  <r>
    <x v="0"/>
  </r>
  <r>
    <x v="3"/>
  </r>
  <r>
    <x v="5"/>
  </r>
  <r>
    <x v="2"/>
  </r>
  <r>
    <x v="1"/>
  </r>
  <r>
    <x v="4"/>
  </r>
  <r>
    <x v="4"/>
  </r>
  <r>
    <x v="4"/>
  </r>
  <r>
    <x v="0"/>
  </r>
  <r>
    <x v="0"/>
  </r>
  <r>
    <x v="0"/>
  </r>
  <r>
    <x v="4"/>
  </r>
  <r>
    <x v="4"/>
  </r>
  <r>
    <x v="3"/>
  </r>
  <r>
    <x v="4"/>
  </r>
  <r>
    <x v="0"/>
  </r>
  <r>
    <x v="5"/>
  </r>
  <r>
    <x v="3"/>
  </r>
  <r>
    <x v="3"/>
  </r>
  <r>
    <x v="2"/>
  </r>
  <r>
    <x v="2"/>
  </r>
  <r>
    <x v="5"/>
  </r>
  <r>
    <x v="1"/>
  </r>
  <r>
    <x v="4"/>
  </r>
  <r>
    <x v="4"/>
  </r>
  <r>
    <x v="4"/>
  </r>
  <r>
    <x v="3"/>
  </r>
  <r>
    <x v="3"/>
  </r>
  <r>
    <x v="0"/>
  </r>
  <r>
    <x v="0"/>
  </r>
  <r>
    <x v="0"/>
  </r>
  <r>
    <x v="3"/>
  </r>
  <r>
    <x v="1"/>
  </r>
  <r>
    <x v="4"/>
  </r>
  <r>
    <x v="3"/>
  </r>
  <r>
    <x v="4"/>
  </r>
  <r>
    <x v="2"/>
  </r>
  <r>
    <x v="5"/>
  </r>
  <r>
    <x v="0"/>
  </r>
  <r>
    <x v="4"/>
  </r>
  <r>
    <x v="1"/>
  </r>
  <r>
    <x v="3"/>
  </r>
  <r>
    <x v="2"/>
  </r>
  <r>
    <x v="2"/>
  </r>
  <r>
    <x v="0"/>
  </r>
  <r>
    <x v="4"/>
  </r>
  <r>
    <x v="2"/>
  </r>
  <r>
    <x v="0"/>
  </r>
  <r>
    <x v="3"/>
  </r>
  <r>
    <x v="3"/>
  </r>
  <r>
    <x v="0"/>
  </r>
  <r>
    <x v="1"/>
  </r>
  <r>
    <x v="3"/>
  </r>
  <r>
    <x v="0"/>
  </r>
  <r>
    <x v="2"/>
  </r>
  <r>
    <x v="5"/>
  </r>
  <r>
    <x v="5"/>
  </r>
  <r>
    <x v="5"/>
  </r>
  <r>
    <x v="4"/>
  </r>
  <r>
    <x v="0"/>
  </r>
  <r>
    <x v="3"/>
  </r>
  <r>
    <x v="3"/>
  </r>
  <r>
    <x v="1"/>
  </r>
  <r>
    <x v="2"/>
  </r>
  <r>
    <x v="3"/>
  </r>
  <r>
    <x v="1"/>
  </r>
  <r>
    <x v="0"/>
  </r>
  <r>
    <x v="4"/>
  </r>
  <r>
    <x v="3"/>
  </r>
  <r>
    <x v="2"/>
  </r>
  <r>
    <x v="4"/>
  </r>
  <r>
    <x v="5"/>
  </r>
  <r>
    <x v="0"/>
  </r>
  <r>
    <x v="2"/>
  </r>
  <r>
    <x v="3"/>
  </r>
  <r>
    <x v="0"/>
  </r>
  <r>
    <x v="4"/>
  </r>
  <r>
    <x v="4"/>
  </r>
  <r>
    <x v="4"/>
  </r>
  <r>
    <x v="4"/>
  </r>
  <r>
    <x v="1"/>
  </r>
  <r>
    <x v="3"/>
  </r>
  <r>
    <x v="5"/>
  </r>
  <r>
    <x v="4"/>
  </r>
  <r>
    <x v="4"/>
  </r>
  <r>
    <x v="2"/>
  </r>
  <r>
    <x v="5"/>
  </r>
  <r>
    <x v="3"/>
  </r>
  <r>
    <x v="4"/>
  </r>
  <r>
    <x v="3"/>
  </r>
  <r>
    <x v="4"/>
  </r>
  <r>
    <x v="1"/>
  </r>
  <r>
    <x v="5"/>
  </r>
  <r>
    <x v="5"/>
  </r>
  <r>
    <x v="0"/>
  </r>
  <r>
    <x v="0"/>
  </r>
  <r>
    <x v="1"/>
  </r>
  <r>
    <x v="0"/>
  </r>
  <r>
    <x v="2"/>
  </r>
  <r>
    <x v="5"/>
  </r>
  <r>
    <x v="2"/>
  </r>
  <r>
    <x v="1"/>
  </r>
  <r>
    <x v="5"/>
  </r>
  <r>
    <x v="2"/>
  </r>
  <r>
    <x v="4"/>
  </r>
  <r>
    <x v="4"/>
  </r>
  <r>
    <x v="4"/>
  </r>
  <r>
    <x v="1"/>
  </r>
  <r>
    <x v="0"/>
  </r>
  <r>
    <x v="3"/>
  </r>
  <r>
    <x v="1"/>
  </r>
  <r>
    <x v="5"/>
  </r>
  <r>
    <x v="0"/>
  </r>
  <r>
    <x v="1"/>
  </r>
  <r>
    <x v="1"/>
  </r>
  <r>
    <x v="3"/>
  </r>
  <r>
    <x v="5"/>
  </r>
  <r>
    <x v="4"/>
  </r>
  <r>
    <x v="0"/>
  </r>
  <r>
    <x v="1"/>
  </r>
  <r>
    <x v="3"/>
  </r>
  <r>
    <x v="1"/>
  </r>
  <r>
    <x v="4"/>
  </r>
  <r>
    <x v="1"/>
  </r>
  <r>
    <x v="0"/>
  </r>
  <r>
    <x v="2"/>
  </r>
  <r>
    <x v="1"/>
  </r>
  <r>
    <x v="1"/>
  </r>
  <r>
    <x v="4"/>
  </r>
  <r>
    <x v="5"/>
  </r>
  <r>
    <x v="0"/>
  </r>
  <r>
    <x v="0"/>
  </r>
  <r>
    <x v="1"/>
  </r>
  <r>
    <x v="3"/>
  </r>
  <r>
    <x v="0"/>
  </r>
  <r>
    <x v="1"/>
  </r>
  <r>
    <x v="5"/>
  </r>
  <r>
    <x v="5"/>
  </r>
  <r>
    <x v="4"/>
  </r>
  <r>
    <x v="1"/>
  </r>
  <r>
    <x v="1"/>
  </r>
  <r>
    <x v="2"/>
  </r>
  <r>
    <x v="4"/>
  </r>
  <r>
    <x v="2"/>
  </r>
  <r>
    <x v="3"/>
  </r>
  <r>
    <x v="4"/>
  </r>
  <r>
    <x v="4"/>
  </r>
  <r>
    <x v="5"/>
  </r>
  <r>
    <x v="3"/>
  </r>
  <r>
    <x v="1"/>
  </r>
  <r>
    <x v="4"/>
  </r>
  <r>
    <x v="3"/>
  </r>
  <r>
    <x v="0"/>
  </r>
  <r>
    <x v="1"/>
  </r>
  <r>
    <x v="1"/>
  </r>
  <r>
    <x v="4"/>
  </r>
  <r>
    <x v="3"/>
  </r>
  <r>
    <x v="5"/>
  </r>
  <r>
    <x v="1"/>
  </r>
  <r>
    <x v="0"/>
  </r>
  <r>
    <x v="1"/>
  </r>
  <r>
    <x v="1"/>
  </r>
  <r>
    <x v="1"/>
  </r>
  <r>
    <x v="2"/>
  </r>
  <r>
    <x v="1"/>
  </r>
  <r>
    <x v="2"/>
  </r>
  <r>
    <x v="3"/>
  </r>
  <r>
    <x v="4"/>
  </r>
  <r>
    <x v="3"/>
  </r>
  <r>
    <x v="3"/>
  </r>
  <r>
    <x v="1"/>
  </r>
  <r>
    <x v="0"/>
  </r>
  <r>
    <x v="1"/>
  </r>
  <r>
    <x v="5"/>
  </r>
  <r>
    <x v="4"/>
  </r>
  <r>
    <x v="1"/>
  </r>
  <r>
    <x v="0"/>
  </r>
  <r>
    <x v="1"/>
  </r>
  <r>
    <x v="0"/>
  </r>
  <r>
    <x v="4"/>
  </r>
  <r>
    <x v="5"/>
  </r>
  <r>
    <x v="4"/>
  </r>
  <r>
    <x v="4"/>
  </r>
  <r>
    <x v="0"/>
  </r>
  <r>
    <x v="3"/>
  </r>
  <r>
    <x v="0"/>
  </r>
  <r>
    <x v="1"/>
  </r>
  <r>
    <x v="1"/>
  </r>
  <r>
    <x v="2"/>
  </r>
  <r>
    <x v="1"/>
  </r>
  <r>
    <x v="1"/>
  </r>
  <r>
    <x v="3"/>
  </r>
  <r>
    <x v="5"/>
  </r>
  <r>
    <x v="1"/>
  </r>
  <r>
    <x v="1"/>
  </r>
  <r>
    <x v="4"/>
  </r>
  <r>
    <x v="5"/>
  </r>
  <r>
    <x v="1"/>
  </r>
  <r>
    <x v="3"/>
  </r>
  <r>
    <x v="0"/>
  </r>
  <r>
    <x v="4"/>
  </r>
  <r>
    <x v="1"/>
  </r>
  <r>
    <x v="4"/>
  </r>
  <r>
    <x v="1"/>
  </r>
  <r>
    <x v="3"/>
  </r>
  <r>
    <x v="0"/>
  </r>
  <r>
    <x v="5"/>
  </r>
  <r>
    <x v="1"/>
  </r>
  <r>
    <x v="2"/>
  </r>
  <r>
    <x v="4"/>
  </r>
  <r>
    <x v="4"/>
  </r>
  <r>
    <x v="3"/>
  </r>
  <r>
    <x v="4"/>
  </r>
  <r>
    <x v="3"/>
  </r>
  <r>
    <x v="3"/>
  </r>
  <r>
    <x v="2"/>
  </r>
  <r>
    <x v="0"/>
  </r>
  <r>
    <x v="1"/>
  </r>
  <r>
    <x v="1"/>
  </r>
  <r>
    <x v="2"/>
  </r>
  <r>
    <x v="2"/>
  </r>
  <r>
    <x v="5"/>
  </r>
  <r>
    <x v="3"/>
  </r>
  <r>
    <x v="2"/>
  </r>
  <r>
    <x v="1"/>
  </r>
  <r>
    <x v="5"/>
  </r>
  <r>
    <x v="0"/>
  </r>
  <r>
    <x v="3"/>
  </r>
  <r>
    <x v="3"/>
  </r>
  <r>
    <x v="1"/>
  </r>
  <r>
    <x v="4"/>
  </r>
  <r>
    <x v="4"/>
  </r>
  <r>
    <x v="1"/>
  </r>
  <r>
    <x v="3"/>
  </r>
  <r>
    <x v="4"/>
  </r>
  <r>
    <x v="2"/>
  </r>
  <r>
    <x v="0"/>
  </r>
  <r>
    <x v="5"/>
  </r>
  <r>
    <x v="1"/>
  </r>
  <r>
    <x v="3"/>
  </r>
  <r>
    <x v="5"/>
  </r>
  <r>
    <x v="5"/>
  </r>
  <r>
    <x v="2"/>
  </r>
  <r>
    <x v="3"/>
  </r>
  <r>
    <x v="1"/>
  </r>
  <r>
    <x v="3"/>
  </r>
  <r>
    <x v="1"/>
  </r>
  <r>
    <x v="3"/>
  </r>
  <r>
    <x v="3"/>
  </r>
  <r>
    <x v="4"/>
  </r>
  <r>
    <x v="4"/>
  </r>
  <r>
    <x v="0"/>
  </r>
  <r>
    <x v="0"/>
  </r>
  <r>
    <x v="0"/>
  </r>
  <r>
    <x v="4"/>
  </r>
  <r>
    <x v="4"/>
  </r>
  <r>
    <x v="4"/>
  </r>
  <r>
    <x v="3"/>
  </r>
  <r>
    <x v="5"/>
  </r>
  <r>
    <x v="1"/>
  </r>
  <r>
    <x v="3"/>
  </r>
  <r>
    <x v="2"/>
  </r>
  <r>
    <x v="2"/>
  </r>
  <r>
    <x v="4"/>
  </r>
  <r>
    <x v="5"/>
  </r>
  <r>
    <x v="5"/>
  </r>
  <r>
    <x v="4"/>
  </r>
  <r>
    <x v="3"/>
  </r>
  <r>
    <x v="4"/>
  </r>
  <r>
    <x v="4"/>
  </r>
  <r>
    <x v="3"/>
  </r>
  <r>
    <x v="1"/>
  </r>
  <r>
    <x v="4"/>
  </r>
  <r>
    <x v="2"/>
  </r>
  <r>
    <x v="2"/>
  </r>
  <r>
    <x v="5"/>
  </r>
  <r>
    <x v="3"/>
  </r>
  <r>
    <x v="5"/>
  </r>
  <r>
    <x v="4"/>
  </r>
  <r>
    <x v="1"/>
  </r>
  <r>
    <x v="2"/>
  </r>
  <r>
    <x v="2"/>
  </r>
  <r>
    <x v="4"/>
  </r>
  <r>
    <x v="2"/>
  </r>
  <r>
    <x v="4"/>
  </r>
  <r>
    <x v="4"/>
  </r>
  <r>
    <x v="3"/>
  </r>
  <r>
    <x v="0"/>
  </r>
  <r>
    <x v="0"/>
  </r>
  <r>
    <x v="3"/>
  </r>
  <r>
    <x v="2"/>
  </r>
  <r>
    <x v="5"/>
  </r>
  <r>
    <x v="1"/>
  </r>
  <r>
    <x v="5"/>
  </r>
  <r>
    <x v="5"/>
  </r>
  <r>
    <x v="1"/>
  </r>
  <r>
    <x v="0"/>
  </r>
  <r>
    <x v="2"/>
  </r>
  <r>
    <x v="5"/>
  </r>
  <r>
    <x v="1"/>
  </r>
  <r>
    <x v="2"/>
  </r>
  <r>
    <x v="1"/>
  </r>
  <r>
    <x v="2"/>
  </r>
  <r>
    <x v="3"/>
  </r>
  <r>
    <x v="1"/>
  </r>
  <r>
    <x v="0"/>
  </r>
  <r>
    <x v="5"/>
  </r>
  <r>
    <x v="1"/>
  </r>
  <r>
    <x v="0"/>
  </r>
  <r>
    <x v="0"/>
  </r>
  <r>
    <x v="5"/>
  </r>
  <r>
    <x v="3"/>
  </r>
  <r>
    <x v="0"/>
  </r>
  <r>
    <x v="4"/>
  </r>
  <r>
    <x v="1"/>
  </r>
  <r>
    <x v="1"/>
  </r>
  <r>
    <x v="0"/>
  </r>
  <r>
    <x v="3"/>
  </r>
  <r>
    <x v="2"/>
  </r>
  <r>
    <x v="1"/>
  </r>
  <r>
    <x v="2"/>
  </r>
  <r>
    <x v="1"/>
  </r>
  <r>
    <x v="5"/>
  </r>
  <r>
    <x v="1"/>
  </r>
  <r>
    <x v="4"/>
  </r>
  <r>
    <x v="1"/>
  </r>
  <r>
    <x v="1"/>
  </r>
  <r>
    <x v="3"/>
  </r>
  <r>
    <x v="2"/>
  </r>
  <r>
    <x v="2"/>
  </r>
  <r>
    <x v="4"/>
  </r>
  <r>
    <x v="4"/>
  </r>
  <r>
    <x v="2"/>
  </r>
  <r>
    <x v="1"/>
  </r>
  <r>
    <x v="0"/>
  </r>
  <r>
    <x v="5"/>
  </r>
  <r>
    <x v="5"/>
  </r>
  <r>
    <x v="2"/>
  </r>
  <r>
    <x v="2"/>
  </r>
  <r>
    <x v="3"/>
  </r>
  <r>
    <x v="5"/>
  </r>
  <r>
    <x v="0"/>
  </r>
  <r>
    <x v="1"/>
  </r>
  <r>
    <x v="1"/>
  </r>
  <r>
    <x v="5"/>
  </r>
  <r>
    <x v="3"/>
  </r>
  <r>
    <x v="4"/>
  </r>
  <r>
    <x v="5"/>
  </r>
  <r>
    <x v="2"/>
  </r>
  <r>
    <x v="2"/>
  </r>
  <r>
    <x v="2"/>
  </r>
  <r>
    <x v="2"/>
  </r>
  <r>
    <x v="5"/>
  </r>
  <r>
    <x v="3"/>
  </r>
  <r>
    <x v="4"/>
  </r>
  <r>
    <x v="3"/>
  </r>
  <r>
    <x v="5"/>
  </r>
  <r>
    <x v="0"/>
  </r>
  <r>
    <x v="3"/>
  </r>
  <r>
    <x v="1"/>
  </r>
  <r>
    <x v="4"/>
  </r>
  <r>
    <x v="4"/>
  </r>
  <r>
    <x v="0"/>
  </r>
  <r>
    <x v="1"/>
  </r>
  <r>
    <x v="1"/>
  </r>
  <r>
    <x v="3"/>
  </r>
  <r>
    <x v="0"/>
  </r>
  <r>
    <x v="4"/>
  </r>
  <r>
    <x v="4"/>
  </r>
  <r>
    <x v="2"/>
  </r>
  <r>
    <x v="0"/>
  </r>
  <r>
    <x v="3"/>
  </r>
  <r>
    <x v="1"/>
  </r>
  <r>
    <x v="3"/>
  </r>
  <r>
    <x v="1"/>
  </r>
  <r>
    <x v="2"/>
  </r>
  <r>
    <x v="0"/>
  </r>
  <r>
    <x v="4"/>
  </r>
  <r>
    <x v="2"/>
  </r>
  <r>
    <x v="5"/>
  </r>
  <r>
    <x v="4"/>
  </r>
  <r>
    <x v="4"/>
  </r>
  <r>
    <x v="0"/>
  </r>
  <r>
    <x v="0"/>
  </r>
  <r>
    <x v="0"/>
  </r>
  <r>
    <x v="1"/>
  </r>
  <r>
    <x v="0"/>
  </r>
  <r>
    <x v="5"/>
  </r>
  <r>
    <x v="3"/>
  </r>
  <r>
    <x v="4"/>
  </r>
  <r>
    <x v="5"/>
  </r>
  <r>
    <x v="3"/>
  </r>
  <r>
    <x v="1"/>
  </r>
  <r>
    <x v="1"/>
  </r>
  <r>
    <x v="3"/>
  </r>
  <r>
    <x v="4"/>
  </r>
  <r>
    <x v="0"/>
  </r>
  <r>
    <x v="1"/>
  </r>
  <r>
    <x v="4"/>
  </r>
  <r>
    <x v="2"/>
  </r>
  <r>
    <x v="1"/>
  </r>
  <r>
    <x v="0"/>
  </r>
  <r>
    <x v="4"/>
  </r>
  <r>
    <x v="0"/>
  </r>
  <r>
    <x v="5"/>
  </r>
  <r>
    <x v="5"/>
  </r>
  <r>
    <x v="3"/>
  </r>
  <r>
    <x v="3"/>
  </r>
  <r>
    <x v="2"/>
  </r>
  <r>
    <x v="5"/>
  </r>
  <r>
    <x v="4"/>
  </r>
  <r>
    <x v="1"/>
  </r>
  <r>
    <x v="5"/>
  </r>
  <r>
    <x v="2"/>
  </r>
  <r>
    <x v="3"/>
  </r>
  <r>
    <x v="1"/>
  </r>
  <r>
    <x v="0"/>
  </r>
  <r>
    <x v="0"/>
  </r>
  <r>
    <x v="4"/>
  </r>
  <r>
    <x v="2"/>
  </r>
  <r>
    <x v="3"/>
  </r>
  <r>
    <x v="5"/>
  </r>
  <r>
    <x v="1"/>
  </r>
  <r>
    <x v="1"/>
  </r>
  <r>
    <x v="5"/>
  </r>
  <r>
    <x v="0"/>
  </r>
  <r>
    <x v="4"/>
  </r>
  <r>
    <x v="2"/>
  </r>
  <r>
    <x v="3"/>
  </r>
  <r>
    <x v="0"/>
  </r>
  <r>
    <x v="0"/>
  </r>
  <r>
    <x v="3"/>
  </r>
  <r>
    <x v="1"/>
  </r>
  <r>
    <x v="5"/>
  </r>
  <r>
    <x v="5"/>
  </r>
  <r>
    <x v="3"/>
  </r>
  <r>
    <x v="4"/>
  </r>
  <r>
    <x v="0"/>
  </r>
  <r>
    <x v="4"/>
  </r>
  <r>
    <x v="1"/>
  </r>
  <r>
    <x v="5"/>
  </r>
  <r>
    <x v="2"/>
  </r>
  <r>
    <x v="2"/>
  </r>
  <r>
    <x v="2"/>
  </r>
  <r>
    <x v="4"/>
  </r>
  <r>
    <x v="2"/>
  </r>
  <r>
    <x v="0"/>
  </r>
  <r>
    <x v="0"/>
  </r>
  <r>
    <x v="2"/>
  </r>
  <r>
    <x v="3"/>
  </r>
  <r>
    <x v="5"/>
  </r>
  <r>
    <x v="5"/>
  </r>
  <r>
    <x v="1"/>
  </r>
  <r>
    <x v="2"/>
  </r>
  <r>
    <x v="5"/>
  </r>
  <r>
    <x v="5"/>
  </r>
  <r>
    <x v="4"/>
  </r>
  <r>
    <x v="3"/>
  </r>
  <r>
    <x v="3"/>
  </r>
  <r>
    <x v="1"/>
  </r>
  <r>
    <x v="5"/>
  </r>
  <r>
    <x v="1"/>
  </r>
  <r>
    <x v="4"/>
  </r>
  <r>
    <x v="0"/>
  </r>
  <r>
    <x v="1"/>
  </r>
  <r>
    <x v="4"/>
  </r>
  <r>
    <x v="3"/>
  </r>
  <r>
    <x v="0"/>
  </r>
  <r>
    <x v="1"/>
  </r>
  <r>
    <x v="0"/>
  </r>
  <r>
    <x v="0"/>
  </r>
  <r>
    <x v="5"/>
  </r>
  <r>
    <x v="5"/>
  </r>
  <r>
    <x v="0"/>
  </r>
  <r>
    <x v="0"/>
  </r>
  <r>
    <x v="5"/>
  </r>
  <r>
    <x v="1"/>
  </r>
  <r>
    <x v="4"/>
  </r>
  <r>
    <x v="2"/>
  </r>
  <r>
    <x v="2"/>
  </r>
  <r>
    <x v="3"/>
  </r>
  <r>
    <x v="0"/>
  </r>
  <r>
    <x v="5"/>
  </r>
  <r>
    <x v="4"/>
  </r>
  <r>
    <x v="0"/>
  </r>
  <r>
    <x v="4"/>
  </r>
  <r>
    <x v="5"/>
  </r>
  <r>
    <x v="0"/>
  </r>
  <r>
    <x v="1"/>
  </r>
  <r>
    <x v="0"/>
  </r>
  <r>
    <x v="5"/>
  </r>
  <r>
    <x v="1"/>
  </r>
  <r>
    <x v="1"/>
  </r>
  <r>
    <x v="1"/>
  </r>
  <r>
    <x v="4"/>
  </r>
  <r>
    <x v="3"/>
  </r>
  <r>
    <x v="3"/>
  </r>
  <r>
    <x v="4"/>
  </r>
  <r>
    <x v="0"/>
  </r>
  <r>
    <x v="0"/>
  </r>
  <r>
    <x v="4"/>
  </r>
  <r>
    <x v="0"/>
  </r>
  <r>
    <x v="2"/>
  </r>
  <r>
    <x v="3"/>
  </r>
  <r>
    <x v="2"/>
  </r>
  <r>
    <x v="0"/>
  </r>
  <r>
    <x v="4"/>
  </r>
  <r>
    <x v="0"/>
  </r>
  <r>
    <x v="4"/>
  </r>
  <r>
    <x v="4"/>
  </r>
  <r>
    <x v="4"/>
  </r>
  <r>
    <x v="1"/>
  </r>
  <r>
    <x v="2"/>
  </r>
  <r>
    <x v="1"/>
  </r>
  <r>
    <x v="5"/>
  </r>
  <r>
    <x v="1"/>
  </r>
  <r>
    <x v="3"/>
  </r>
  <r>
    <x v="1"/>
  </r>
  <r>
    <x v="5"/>
  </r>
  <r>
    <x v="1"/>
  </r>
  <r>
    <x v="2"/>
  </r>
  <r>
    <x v="4"/>
  </r>
  <r>
    <x v="3"/>
  </r>
  <r>
    <x v="1"/>
  </r>
  <r>
    <x v="3"/>
  </r>
  <r>
    <x v="4"/>
  </r>
  <r>
    <x v="2"/>
  </r>
  <r>
    <x v="5"/>
  </r>
  <r>
    <x v="1"/>
  </r>
  <r>
    <x v="2"/>
  </r>
  <r>
    <x v="4"/>
  </r>
  <r>
    <x v="0"/>
  </r>
  <r>
    <x v="0"/>
  </r>
  <r>
    <x v="2"/>
  </r>
  <r>
    <x v="5"/>
  </r>
  <r>
    <x v="4"/>
  </r>
  <r>
    <x v="5"/>
  </r>
  <r>
    <x v="3"/>
  </r>
  <r>
    <x v="4"/>
  </r>
  <r>
    <x v="0"/>
  </r>
  <r>
    <x v="4"/>
  </r>
  <r>
    <x v="0"/>
  </r>
  <r>
    <x v="2"/>
  </r>
  <r>
    <x v="0"/>
  </r>
  <r>
    <x v="3"/>
  </r>
  <r>
    <x v="5"/>
  </r>
  <r>
    <x v="5"/>
  </r>
  <r>
    <x v="2"/>
  </r>
  <r>
    <x v="1"/>
  </r>
  <r>
    <x v="2"/>
  </r>
  <r>
    <x v="3"/>
  </r>
  <r>
    <x v="4"/>
  </r>
  <r>
    <x v="2"/>
  </r>
  <r>
    <x v="3"/>
  </r>
  <r>
    <x v="4"/>
  </r>
  <r>
    <x v="0"/>
  </r>
  <r>
    <x v="4"/>
  </r>
  <r>
    <x v="0"/>
  </r>
  <r>
    <x v="5"/>
  </r>
  <r>
    <x v="4"/>
  </r>
  <r>
    <x v="0"/>
  </r>
  <r>
    <x v="2"/>
  </r>
  <r>
    <x v="3"/>
  </r>
  <r>
    <x v="2"/>
  </r>
  <r>
    <x v="5"/>
  </r>
  <r>
    <x v="4"/>
  </r>
  <r>
    <x v="0"/>
  </r>
  <r>
    <x v="4"/>
  </r>
  <r>
    <x v="4"/>
  </r>
  <r>
    <x v="0"/>
  </r>
  <r>
    <x v="5"/>
  </r>
  <r>
    <x v="2"/>
  </r>
  <r>
    <x v="1"/>
  </r>
  <r>
    <x v="1"/>
  </r>
  <r>
    <x v="2"/>
  </r>
  <r>
    <x v="1"/>
  </r>
  <r>
    <x v="2"/>
  </r>
  <r>
    <x v="4"/>
  </r>
  <r>
    <x v="1"/>
  </r>
  <r>
    <x v="1"/>
  </r>
  <r>
    <x v="2"/>
  </r>
  <r>
    <x v="4"/>
  </r>
  <r>
    <x v="0"/>
  </r>
  <r>
    <x v="3"/>
  </r>
  <r>
    <x v="0"/>
  </r>
  <r>
    <x v="5"/>
  </r>
  <r>
    <x v="4"/>
  </r>
  <r>
    <x v="2"/>
  </r>
  <r>
    <x v="5"/>
  </r>
  <r>
    <x v="3"/>
  </r>
  <r>
    <x v="1"/>
  </r>
  <r>
    <x v="4"/>
  </r>
  <r>
    <x v="5"/>
  </r>
  <r>
    <x v="3"/>
  </r>
  <r>
    <x v="1"/>
  </r>
  <r>
    <x v="5"/>
  </r>
  <r>
    <x v="5"/>
  </r>
  <r>
    <x v="3"/>
  </r>
  <r>
    <x v="0"/>
  </r>
  <r>
    <x v="2"/>
  </r>
  <r>
    <x v="2"/>
  </r>
  <r>
    <x v="5"/>
  </r>
  <r>
    <x v="2"/>
  </r>
  <r>
    <x v="3"/>
  </r>
  <r>
    <x v="0"/>
  </r>
  <r>
    <x v="5"/>
  </r>
  <r>
    <x v="4"/>
  </r>
  <r>
    <x v="5"/>
  </r>
  <r>
    <x v="5"/>
  </r>
  <r>
    <x v="4"/>
  </r>
  <r>
    <x v="5"/>
  </r>
  <r>
    <x v="3"/>
  </r>
  <r>
    <x v="0"/>
  </r>
  <r>
    <x v="3"/>
  </r>
  <r>
    <x v="0"/>
  </r>
  <r>
    <x v="3"/>
  </r>
  <r>
    <x v="3"/>
  </r>
  <r>
    <x v="3"/>
  </r>
  <r>
    <x v="4"/>
  </r>
  <r>
    <x v="4"/>
  </r>
  <r>
    <x v="4"/>
  </r>
  <r>
    <x v="5"/>
  </r>
  <r>
    <x v="4"/>
  </r>
  <r>
    <x v="0"/>
  </r>
  <r>
    <x v="4"/>
  </r>
  <r>
    <x v="3"/>
  </r>
  <r>
    <x v="2"/>
  </r>
  <r>
    <x v="4"/>
  </r>
  <r>
    <x v="1"/>
  </r>
  <r>
    <x v="4"/>
  </r>
  <r>
    <x v="3"/>
  </r>
  <r>
    <x v="0"/>
  </r>
  <r>
    <x v="1"/>
  </r>
  <r>
    <x v="1"/>
  </r>
  <r>
    <x v="0"/>
  </r>
  <r>
    <x v="3"/>
  </r>
  <r>
    <x v="3"/>
  </r>
  <r>
    <x v="5"/>
  </r>
  <r>
    <x v="0"/>
  </r>
  <r>
    <x v="3"/>
  </r>
  <r>
    <x v="4"/>
  </r>
  <r>
    <x v="4"/>
  </r>
  <r>
    <x v="1"/>
  </r>
  <r>
    <x v="4"/>
  </r>
  <r>
    <x v="2"/>
  </r>
  <r>
    <x v="3"/>
  </r>
  <r>
    <x v="4"/>
  </r>
  <r>
    <x v="3"/>
  </r>
  <r>
    <x v="4"/>
  </r>
  <r>
    <x v="0"/>
  </r>
  <r>
    <x v="4"/>
  </r>
  <r>
    <x v="0"/>
  </r>
  <r>
    <x v="3"/>
  </r>
  <r>
    <x v="0"/>
  </r>
  <r>
    <x v="3"/>
  </r>
  <r>
    <x v="1"/>
  </r>
  <r>
    <x v="5"/>
  </r>
  <r>
    <x v="4"/>
  </r>
  <r>
    <x v="2"/>
  </r>
  <r>
    <x v="2"/>
  </r>
  <r>
    <x v="5"/>
  </r>
  <r>
    <x v="1"/>
  </r>
  <r>
    <x v="3"/>
  </r>
  <r>
    <x v="0"/>
  </r>
  <r>
    <x v="4"/>
  </r>
  <r>
    <x v="2"/>
  </r>
  <r>
    <x v="1"/>
  </r>
  <r>
    <x v="4"/>
  </r>
  <r>
    <x v="2"/>
  </r>
  <r>
    <x v="1"/>
  </r>
  <r>
    <x v="0"/>
  </r>
  <r>
    <x v="5"/>
  </r>
  <r>
    <x v="0"/>
  </r>
  <r>
    <x v="3"/>
  </r>
  <r>
    <x v="0"/>
  </r>
  <r>
    <x v="3"/>
  </r>
  <r>
    <x v="1"/>
  </r>
  <r>
    <x v="3"/>
  </r>
  <r>
    <x v="2"/>
  </r>
  <r>
    <x v="5"/>
  </r>
  <r>
    <x v="0"/>
  </r>
  <r>
    <x v="0"/>
  </r>
  <r>
    <x v="4"/>
  </r>
  <r>
    <x v="2"/>
  </r>
  <r>
    <x v="2"/>
  </r>
  <r>
    <x v="3"/>
  </r>
  <r>
    <x v="0"/>
  </r>
  <r>
    <x v="1"/>
  </r>
  <r>
    <x v="1"/>
  </r>
  <r>
    <x v="3"/>
  </r>
  <r>
    <x v="1"/>
  </r>
  <r>
    <x v="3"/>
  </r>
  <r>
    <x v="2"/>
  </r>
  <r>
    <x v="3"/>
  </r>
  <r>
    <x v="4"/>
  </r>
  <r>
    <x v="4"/>
  </r>
  <r>
    <x v="0"/>
  </r>
  <r>
    <x v="0"/>
  </r>
  <r>
    <x v="0"/>
  </r>
  <r>
    <x v="5"/>
  </r>
  <r>
    <x v="5"/>
  </r>
  <r>
    <x v="1"/>
  </r>
  <r>
    <x v="0"/>
  </r>
  <r>
    <x v="2"/>
  </r>
  <r>
    <x v="5"/>
  </r>
  <r>
    <x v="0"/>
  </r>
  <r>
    <x v="3"/>
  </r>
  <r>
    <x v="5"/>
  </r>
  <r>
    <x v="4"/>
  </r>
  <r>
    <x v="2"/>
  </r>
  <r>
    <x v="0"/>
  </r>
  <r>
    <x v="2"/>
  </r>
  <r>
    <x v="1"/>
  </r>
  <r>
    <x v="5"/>
  </r>
  <r>
    <x v="1"/>
  </r>
  <r>
    <x v="3"/>
  </r>
  <r>
    <x v="5"/>
  </r>
  <r>
    <x v="3"/>
  </r>
  <r>
    <x v="1"/>
  </r>
  <r>
    <x v="1"/>
  </r>
  <r>
    <x v="1"/>
  </r>
  <r>
    <x v="3"/>
  </r>
  <r>
    <x v="2"/>
  </r>
  <r>
    <x v="4"/>
  </r>
  <r>
    <x v="1"/>
  </r>
  <r>
    <x v="3"/>
  </r>
  <r>
    <x v="4"/>
  </r>
  <r>
    <x v="5"/>
  </r>
  <r>
    <x v="2"/>
  </r>
  <r>
    <x v="4"/>
  </r>
  <r>
    <x v="2"/>
  </r>
  <r>
    <x v="0"/>
  </r>
  <r>
    <x v="2"/>
  </r>
  <r>
    <x v="1"/>
  </r>
  <r>
    <x v="2"/>
  </r>
  <r>
    <x v="3"/>
  </r>
  <r>
    <x v="2"/>
  </r>
  <r>
    <x v="5"/>
  </r>
  <r>
    <x v="3"/>
  </r>
  <r>
    <x v="2"/>
  </r>
  <r>
    <x v="5"/>
  </r>
  <r>
    <x v="3"/>
  </r>
  <r>
    <x v="3"/>
  </r>
  <r>
    <x v="5"/>
  </r>
  <r>
    <x v="5"/>
  </r>
  <r>
    <x v="4"/>
  </r>
  <r>
    <x v="5"/>
  </r>
  <r>
    <x v="4"/>
  </r>
  <r>
    <x v="0"/>
  </r>
  <r>
    <x v="1"/>
  </r>
  <r>
    <x v="2"/>
  </r>
  <r>
    <x v="3"/>
  </r>
  <r>
    <x v="4"/>
  </r>
  <r>
    <x v="2"/>
  </r>
  <r>
    <x v="5"/>
  </r>
  <r>
    <x v="5"/>
  </r>
  <r>
    <x v="2"/>
  </r>
  <r>
    <x v="5"/>
  </r>
  <r>
    <x v="0"/>
  </r>
  <r>
    <x v="3"/>
  </r>
  <r>
    <x v="0"/>
  </r>
  <r>
    <x v="4"/>
  </r>
  <r>
    <x v="2"/>
  </r>
  <r>
    <x v="0"/>
  </r>
  <r>
    <x v="1"/>
  </r>
  <r>
    <x v="4"/>
  </r>
  <r>
    <x v="5"/>
  </r>
  <r>
    <x v="0"/>
  </r>
  <r>
    <x v="3"/>
  </r>
  <r>
    <x v="3"/>
  </r>
  <r>
    <x v="3"/>
  </r>
  <r>
    <x v="0"/>
  </r>
  <r>
    <x v="0"/>
  </r>
  <r>
    <x v="3"/>
  </r>
  <r>
    <x v="5"/>
  </r>
  <r>
    <x v="4"/>
  </r>
  <r>
    <x v="1"/>
  </r>
  <r>
    <x v="2"/>
  </r>
  <r>
    <x v="2"/>
  </r>
  <r>
    <x v="0"/>
  </r>
  <r>
    <x v="0"/>
  </r>
  <r>
    <x v="3"/>
  </r>
  <r>
    <x v="2"/>
  </r>
  <r>
    <x v="1"/>
  </r>
  <r>
    <x v="1"/>
  </r>
  <r>
    <x v="5"/>
  </r>
  <r>
    <x v="0"/>
  </r>
  <r>
    <x v="2"/>
  </r>
  <r>
    <x v="5"/>
  </r>
  <r>
    <x v="1"/>
  </r>
  <r>
    <x v="3"/>
  </r>
  <r>
    <x v="2"/>
  </r>
  <r>
    <x v="5"/>
  </r>
</pivotCacheRecords>
</file>

<file path=xl/pivotCache/pivotCacheRecords4.xml><?xml version="1.0" encoding="utf-8"?>
<pivotCacheRecords xmlns="http://schemas.openxmlformats.org/spreadsheetml/2006/main" xmlns:r="http://schemas.openxmlformats.org/officeDocument/2006/relationships" count="1001">
  <r>
    <x v="0"/>
    <x v="0"/>
    <x v="0"/>
    <x v="0"/>
    <x v="0"/>
    <x v="0"/>
  </r>
  <r>
    <x v="1"/>
    <x v="1"/>
    <x v="1"/>
    <x v="0"/>
    <x v="1"/>
    <x v="1"/>
  </r>
  <r>
    <x v="2"/>
    <x v="2"/>
    <x v="0"/>
    <x v="1"/>
    <x v="2"/>
    <x v="2"/>
  </r>
  <r>
    <x v="3"/>
    <x v="3"/>
    <x v="0"/>
    <x v="2"/>
    <x v="3"/>
    <x v="3"/>
  </r>
  <r>
    <x v="4"/>
    <x v="4"/>
    <x v="0"/>
    <x v="3"/>
    <x v="4"/>
    <x v="4"/>
  </r>
  <r>
    <x v="4"/>
    <x v="5"/>
    <x v="0"/>
    <x v="3"/>
    <x v="5"/>
    <x v="5"/>
  </r>
  <r>
    <x v="4"/>
    <x v="5"/>
    <x v="2"/>
    <x v="2"/>
    <x v="6"/>
    <x v="6"/>
  </r>
  <r>
    <x v="5"/>
    <x v="6"/>
    <x v="0"/>
    <x v="0"/>
    <x v="7"/>
    <x v="7"/>
  </r>
  <r>
    <x v="3"/>
    <x v="7"/>
    <x v="0"/>
    <x v="3"/>
    <x v="8"/>
    <x v="8"/>
  </r>
  <r>
    <x v="2"/>
    <x v="8"/>
    <x v="0"/>
    <x v="4"/>
    <x v="9"/>
    <x v="9"/>
  </r>
  <r>
    <x v="4"/>
    <x v="9"/>
    <x v="1"/>
    <x v="1"/>
    <x v="10"/>
    <x v="10"/>
  </r>
  <r>
    <x v="1"/>
    <x v="10"/>
    <x v="0"/>
    <x v="3"/>
    <x v="11"/>
    <x v="11"/>
  </r>
  <r>
    <x v="5"/>
    <x v="6"/>
    <x v="2"/>
    <x v="0"/>
    <x v="12"/>
    <x v="12"/>
  </r>
  <r>
    <x v="4"/>
    <x v="11"/>
    <x v="0"/>
    <x v="0"/>
    <x v="13"/>
    <x v="13"/>
  </r>
  <r>
    <x v="4"/>
    <x v="5"/>
    <x v="0"/>
    <x v="3"/>
    <x v="14"/>
    <x v="14"/>
  </r>
  <r>
    <x v="4"/>
    <x v="12"/>
    <x v="0"/>
    <x v="1"/>
    <x v="15"/>
    <x v="15"/>
  </r>
  <r>
    <x v="6"/>
    <x v="13"/>
    <x v="0"/>
    <x v="3"/>
    <x v="16"/>
    <x v="16"/>
  </r>
  <r>
    <x v="7"/>
    <x v="14"/>
    <x v="0"/>
    <x v="5"/>
    <x v="17"/>
    <x v="17"/>
  </r>
  <r>
    <x v="0"/>
    <x v="15"/>
    <x v="0"/>
    <x v="3"/>
    <x v="18"/>
    <x v="18"/>
  </r>
  <r>
    <x v="6"/>
    <x v="13"/>
    <x v="0"/>
    <x v="5"/>
    <x v="19"/>
    <x v="19"/>
  </r>
  <r>
    <x v="3"/>
    <x v="3"/>
    <x v="2"/>
    <x v="2"/>
    <x v="20"/>
    <x v="20"/>
  </r>
  <r>
    <x v="4"/>
    <x v="9"/>
    <x v="2"/>
    <x v="0"/>
    <x v="21"/>
    <x v="21"/>
  </r>
  <r>
    <x v="6"/>
    <x v="16"/>
    <x v="2"/>
    <x v="5"/>
    <x v="22"/>
    <x v="22"/>
  </r>
  <r>
    <x v="0"/>
    <x v="15"/>
    <x v="0"/>
    <x v="3"/>
    <x v="23"/>
    <x v="23"/>
  </r>
  <r>
    <x v="0"/>
    <x v="15"/>
    <x v="0"/>
    <x v="2"/>
    <x v="24"/>
    <x v="24"/>
  </r>
  <r>
    <x v="5"/>
    <x v="17"/>
    <x v="0"/>
    <x v="0"/>
    <x v="25"/>
    <x v="25"/>
  </r>
  <r>
    <x v="4"/>
    <x v="4"/>
    <x v="0"/>
    <x v="1"/>
    <x v="26"/>
    <x v="26"/>
  </r>
  <r>
    <x v="7"/>
    <x v="18"/>
    <x v="0"/>
    <x v="3"/>
    <x v="27"/>
    <x v="27"/>
  </r>
  <r>
    <x v="3"/>
    <x v="19"/>
    <x v="0"/>
    <x v="3"/>
    <x v="28"/>
    <x v="28"/>
  </r>
  <r>
    <x v="4"/>
    <x v="4"/>
    <x v="0"/>
    <x v="0"/>
    <x v="29"/>
    <x v="29"/>
  </r>
  <r>
    <x v="3"/>
    <x v="7"/>
    <x v="0"/>
    <x v="5"/>
    <x v="30"/>
    <x v="30"/>
  </r>
  <r>
    <x v="4"/>
    <x v="20"/>
    <x v="2"/>
    <x v="2"/>
    <x v="31"/>
    <x v="31"/>
  </r>
  <r>
    <x v="4"/>
    <x v="9"/>
    <x v="0"/>
    <x v="1"/>
    <x v="32"/>
    <x v="32"/>
  </r>
  <r>
    <x v="1"/>
    <x v="21"/>
    <x v="0"/>
    <x v="4"/>
    <x v="33"/>
    <x v="33"/>
  </r>
  <r>
    <x v="1"/>
    <x v="21"/>
    <x v="0"/>
    <x v="3"/>
    <x v="34"/>
    <x v="34"/>
  </r>
  <r>
    <x v="5"/>
    <x v="17"/>
    <x v="0"/>
    <x v="4"/>
    <x v="35"/>
    <x v="35"/>
  </r>
  <r>
    <x v="6"/>
    <x v="22"/>
    <x v="2"/>
    <x v="3"/>
    <x v="36"/>
    <x v="36"/>
  </r>
  <r>
    <x v="4"/>
    <x v="5"/>
    <x v="0"/>
    <x v="5"/>
    <x v="37"/>
    <x v="37"/>
  </r>
  <r>
    <x v="2"/>
    <x v="23"/>
    <x v="2"/>
    <x v="5"/>
    <x v="38"/>
    <x v="38"/>
  </r>
  <r>
    <x v="0"/>
    <x v="24"/>
    <x v="0"/>
    <x v="5"/>
    <x v="39"/>
    <x v="39"/>
  </r>
  <r>
    <x v="4"/>
    <x v="20"/>
    <x v="0"/>
    <x v="0"/>
    <x v="40"/>
    <x v="40"/>
  </r>
  <r>
    <x v="7"/>
    <x v="18"/>
    <x v="0"/>
    <x v="0"/>
    <x v="41"/>
    <x v="41"/>
  </r>
  <r>
    <x v="4"/>
    <x v="9"/>
    <x v="0"/>
    <x v="1"/>
    <x v="42"/>
    <x v="42"/>
  </r>
  <r>
    <x v="1"/>
    <x v="1"/>
    <x v="0"/>
    <x v="5"/>
    <x v="43"/>
    <x v="43"/>
  </r>
  <r>
    <x v="6"/>
    <x v="16"/>
    <x v="0"/>
    <x v="4"/>
    <x v="44"/>
    <x v="44"/>
  </r>
  <r>
    <x v="3"/>
    <x v="3"/>
    <x v="0"/>
    <x v="5"/>
    <x v="45"/>
    <x v="45"/>
  </r>
  <r>
    <x v="6"/>
    <x v="13"/>
    <x v="0"/>
    <x v="5"/>
    <x v="46"/>
    <x v="46"/>
  </r>
  <r>
    <x v="7"/>
    <x v="25"/>
    <x v="0"/>
    <x v="0"/>
    <x v="47"/>
    <x v="47"/>
  </r>
  <r>
    <x v="7"/>
    <x v="26"/>
    <x v="0"/>
    <x v="4"/>
    <x v="48"/>
    <x v="48"/>
  </r>
  <r>
    <x v="4"/>
    <x v="11"/>
    <x v="0"/>
    <x v="3"/>
    <x v="49"/>
    <x v="49"/>
  </r>
  <r>
    <x v="1"/>
    <x v="10"/>
    <x v="2"/>
    <x v="1"/>
    <x v="50"/>
    <x v="50"/>
  </r>
  <r>
    <x v="5"/>
    <x v="17"/>
    <x v="0"/>
    <x v="1"/>
    <x v="51"/>
    <x v="51"/>
  </r>
  <r>
    <x v="1"/>
    <x v="10"/>
    <x v="0"/>
    <x v="2"/>
    <x v="52"/>
    <x v="52"/>
  </r>
  <r>
    <x v="5"/>
    <x v="6"/>
    <x v="0"/>
    <x v="3"/>
    <x v="53"/>
    <x v="53"/>
  </r>
  <r>
    <x v="3"/>
    <x v="27"/>
    <x v="0"/>
    <x v="2"/>
    <x v="54"/>
    <x v="54"/>
  </r>
  <r>
    <x v="1"/>
    <x v="21"/>
    <x v="0"/>
    <x v="5"/>
    <x v="55"/>
    <x v="55"/>
  </r>
  <r>
    <x v="4"/>
    <x v="5"/>
    <x v="0"/>
    <x v="5"/>
    <x v="56"/>
    <x v="56"/>
  </r>
  <r>
    <x v="4"/>
    <x v="9"/>
    <x v="0"/>
    <x v="1"/>
    <x v="57"/>
    <x v="57"/>
  </r>
  <r>
    <x v="4"/>
    <x v="20"/>
    <x v="0"/>
    <x v="1"/>
    <x v="58"/>
    <x v="58"/>
  </r>
  <r>
    <x v="0"/>
    <x v="28"/>
    <x v="0"/>
    <x v="1"/>
    <x v="59"/>
    <x v="59"/>
  </r>
  <r>
    <x v="0"/>
    <x v="15"/>
    <x v="0"/>
    <x v="3"/>
    <x v="60"/>
    <x v="60"/>
  </r>
  <r>
    <x v="6"/>
    <x v="16"/>
    <x v="0"/>
    <x v="1"/>
    <x v="61"/>
    <x v="61"/>
  </r>
  <r>
    <x v="5"/>
    <x v="6"/>
    <x v="0"/>
    <x v="5"/>
    <x v="62"/>
    <x v="62"/>
  </r>
  <r>
    <x v="0"/>
    <x v="24"/>
    <x v="0"/>
    <x v="2"/>
    <x v="63"/>
    <x v="63"/>
  </r>
  <r>
    <x v="6"/>
    <x v="22"/>
    <x v="2"/>
    <x v="0"/>
    <x v="64"/>
    <x v="64"/>
  </r>
  <r>
    <x v="7"/>
    <x v="18"/>
    <x v="1"/>
    <x v="0"/>
    <x v="65"/>
    <x v="65"/>
  </r>
  <r>
    <x v="4"/>
    <x v="9"/>
    <x v="0"/>
    <x v="1"/>
    <x v="66"/>
    <x v="66"/>
  </r>
  <r>
    <x v="5"/>
    <x v="29"/>
    <x v="0"/>
    <x v="0"/>
    <x v="67"/>
    <x v="67"/>
  </r>
  <r>
    <x v="4"/>
    <x v="9"/>
    <x v="0"/>
    <x v="3"/>
    <x v="68"/>
    <x v="68"/>
  </r>
  <r>
    <x v="1"/>
    <x v="21"/>
    <x v="0"/>
    <x v="3"/>
    <x v="69"/>
    <x v="69"/>
  </r>
  <r>
    <x v="5"/>
    <x v="29"/>
    <x v="0"/>
    <x v="4"/>
    <x v="70"/>
    <x v="70"/>
  </r>
  <r>
    <x v="4"/>
    <x v="9"/>
    <x v="0"/>
    <x v="3"/>
    <x v="71"/>
    <x v="71"/>
  </r>
  <r>
    <x v="4"/>
    <x v="11"/>
    <x v="0"/>
    <x v="3"/>
    <x v="72"/>
    <x v="72"/>
  </r>
  <r>
    <x v="5"/>
    <x v="29"/>
    <x v="0"/>
    <x v="0"/>
    <x v="73"/>
    <x v="73"/>
  </r>
  <r>
    <x v="2"/>
    <x v="2"/>
    <x v="0"/>
    <x v="5"/>
    <x v="74"/>
    <x v="74"/>
  </r>
  <r>
    <x v="2"/>
    <x v="8"/>
    <x v="0"/>
    <x v="5"/>
    <x v="75"/>
    <x v="75"/>
  </r>
  <r>
    <x v="5"/>
    <x v="17"/>
    <x v="0"/>
    <x v="5"/>
    <x v="76"/>
    <x v="76"/>
  </r>
  <r>
    <x v="4"/>
    <x v="5"/>
    <x v="0"/>
    <x v="2"/>
    <x v="77"/>
    <x v="77"/>
  </r>
  <r>
    <x v="0"/>
    <x v="0"/>
    <x v="2"/>
    <x v="0"/>
    <x v="78"/>
    <x v="78"/>
  </r>
  <r>
    <x v="4"/>
    <x v="12"/>
    <x v="0"/>
    <x v="3"/>
    <x v="79"/>
    <x v="79"/>
  </r>
  <r>
    <x v="5"/>
    <x v="6"/>
    <x v="0"/>
    <x v="5"/>
    <x v="80"/>
    <x v="80"/>
  </r>
  <r>
    <x v="3"/>
    <x v="7"/>
    <x v="0"/>
    <x v="5"/>
    <x v="81"/>
    <x v="81"/>
  </r>
  <r>
    <x v="0"/>
    <x v="24"/>
    <x v="0"/>
    <x v="4"/>
    <x v="82"/>
    <x v="82"/>
  </r>
  <r>
    <x v="4"/>
    <x v="4"/>
    <x v="0"/>
    <x v="4"/>
    <x v="83"/>
    <x v="83"/>
  </r>
  <r>
    <x v="6"/>
    <x v="16"/>
    <x v="0"/>
    <x v="5"/>
    <x v="84"/>
    <x v="84"/>
  </r>
  <r>
    <x v="0"/>
    <x v="24"/>
    <x v="0"/>
    <x v="4"/>
    <x v="85"/>
    <x v="85"/>
  </r>
  <r>
    <x v="2"/>
    <x v="30"/>
    <x v="0"/>
    <x v="0"/>
    <x v="86"/>
    <x v="86"/>
  </r>
  <r>
    <x v="3"/>
    <x v="7"/>
    <x v="0"/>
    <x v="5"/>
    <x v="87"/>
    <x v="87"/>
  </r>
  <r>
    <x v="5"/>
    <x v="6"/>
    <x v="0"/>
    <x v="2"/>
    <x v="88"/>
    <x v="88"/>
  </r>
  <r>
    <x v="7"/>
    <x v="25"/>
    <x v="2"/>
    <x v="5"/>
    <x v="89"/>
    <x v="89"/>
  </r>
  <r>
    <x v="4"/>
    <x v="12"/>
    <x v="0"/>
    <x v="1"/>
    <x v="90"/>
    <x v="90"/>
  </r>
  <r>
    <x v="2"/>
    <x v="30"/>
    <x v="1"/>
    <x v="0"/>
    <x v="91"/>
    <x v="91"/>
  </r>
  <r>
    <x v="2"/>
    <x v="30"/>
    <x v="0"/>
    <x v="3"/>
    <x v="92"/>
    <x v="92"/>
  </r>
  <r>
    <x v="7"/>
    <x v="14"/>
    <x v="0"/>
    <x v="0"/>
    <x v="93"/>
    <x v="93"/>
  </r>
  <r>
    <x v="5"/>
    <x v="29"/>
    <x v="0"/>
    <x v="0"/>
    <x v="94"/>
    <x v="94"/>
  </r>
  <r>
    <x v="7"/>
    <x v="25"/>
    <x v="0"/>
    <x v="1"/>
    <x v="95"/>
    <x v="95"/>
  </r>
  <r>
    <x v="7"/>
    <x v="25"/>
    <x v="2"/>
    <x v="3"/>
    <x v="96"/>
    <x v="96"/>
  </r>
  <r>
    <x v="0"/>
    <x v="0"/>
    <x v="0"/>
    <x v="3"/>
    <x v="97"/>
    <x v="97"/>
  </r>
  <r>
    <x v="4"/>
    <x v="4"/>
    <x v="0"/>
    <x v="2"/>
    <x v="98"/>
    <x v="98"/>
  </r>
  <r>
    <x v="4"/>
    <x v="9"/>
    <x v="0"/>
    <x v="2"/>
    <x v="99"/>
    <x v="99"/>
  </r>
  <r>
    <x v="4"/>
    <x v="11"/>
    <x v="2"/>
    <x v="5"/>
    <x v="100"/>
    <x v="100"/>
  </r>
  <r>
    <x v="3"/>
    <x v="27"/>
    <x v="0"/>
    <x v="4"/>
    <x v="101"/>
    <x v="101"/>
  </r>
  <r>
    <x v="6"/>
    <x v="16"/>
    <x v="2"/>
    <x v="0"/>
    <x v="102"/>
    <x v="102"/>
  </r>
  <r>
    <x v="7"/>
    <x v="26"/>
    <x v="0"/>
    <x v="0"/>
    <x v="103"/>
    <x v="103"/>
  </r>
  <r>
    <x v="1"/>
    <x v="10"/>
    <x v="0"/>
    <x v="3"/>
    <x v="104"/>
    <x v="104"/>
  </r>
  <r>
    <x v="6"/>
    <x v="13"/>
    <x v="0"/>
    <x v="0"/>
    <x v="105"/>
    <x v="105"/>
  </r>
  <r>
    <x v="0"/>
    <x v="24"/>
    <x v="0"/>
    <x v="0"/>
    <x v="106"/>
    <x v="106"/>
  </r>
  <r>
    <x v="2"/>
    <x v="30"/>
    <x v="0"/>
    <x v="3"/>
    <x v="107"/>
    <x v="107"/>
  </r>
  <r>
    <x v="6"/>
    <x v="31"/>
    <x v="0"/>
    <x v="1"/>
    <x v="108"/>
    <x v="108"/>
  </r>
  <r>
    <x v="4"/>
    <x v="11"/>
    <x v="0"/>
    <x v="5"/>
    <x v="109"/>
    <x v="109"/>
  </r>
  <r>
    <x v="6"/>
    <x v="16"/>
    <x v="0"/>
    <x v="0"/>
    <x v="110"/>
    <x v="110"/>
  </r>
  <r>
    <x v="4"/>
    <x v="9"/>
    <x v="0"/>
    <x v="0"/>
    <x v="111"/>
    <x v="111"/>
  </r>
  <r>
    <x v="1"/>
    <x v="21"/>
    <x v="0"/>
    <x v="4"/>
    <x v="112"/>
    <x v="112"/>
  </r>
  <r>
    <x v="5"/>
    <x v="17"/>
    <x v="0"/>
    <x v="3"/>
    <x v="113"/>
    <x v="113"/>
  </r>
  <r>
    <x v="3"/>
    <x v="3"/>
    <x v="1"/>
    <x v="0"/>
    <x v="114"/>
    <x v="114"/>
  </r>
  <r>
    <x v="5"/>
    <x v="17"/>
    <x v="0"/>
    <x v="4"/>
    <x v="115"/>
    <x v="115"/>
  </r>
  <r>
    <x v="5"/>
    <x v="29"/>
    <x v="0"/>
    <x v="1"/>
    <x v="116"/>
    <x v="116"/>
  </r>
  <r>
    <x v="4"/>
    <x v="4"/>
    <x v="1"/>
    <x v="0"/>
    <x v="117"/>
    <x v="117"/>
  </r>
  <r>
    <x v="5"/>
    <x v="29"/>
    <x v="0"/>
    <x v="3"/>
    <x v="118"/>
    <x v="118"/>
  </r>
  <r>
    <x v="7"/>
    <x v="25"/>
    <x v="0"/>
    <x v="0"/>
    <x v="119"/>
    <x v="119"/>
  </r>
  <r>
    <x v="5"/>
    <x v="6"/>
    <x v="0"/>
    <x v="4"/>
    <x v="120"/>
    <x v="120"/>
  </r>
  <r>
    <x v="5"/>
    <x v="6"/>
    <x v="2"/>
    <x v="3"/>
    <x v="121"/>
    <x v="121"/>
  </r>
  <r>
    <x v="6"/>
    <x v="16"/>
    <x v="0"/>
    <x v="0"/>
    <x v="122"/>
    <x v="122"/>
  </r>
  <r>
    <x v="4"/>
    <x v="4"/>
    <x v="0"/>
    <x v="5"/>
    <x v="123"/>
    <x v="123"/>
  </r>
  <r>
    <x v="6"/>
    <x v="31"/>
    <x v="0"/>
    <x v="3"/>
    <x v="124"/>
    <x v="124"/>
  </r>
  <r>
    <x v="0"/>
    <x v="24"/>
    <x v="0"/>
    <x v="2"/>
    <x v="125"/>
    <x v="125"/>
  </r>
  <r>
    <x v="5"/>
    <x v="29"/>
    <x v="0"/>
    <x v="2"/>
    <x v="0"/>
    <x v="126"/>
  </r>
  <r>
    <x v="5"/>
    <x v="17"/>
    <x v="0"/>
    <x v="2"/>
    <x v="126"/>
    <x v="127"/>
  </r>
  <r>
    <x v="4"/>
    <x v="9"/>
    <x v="0"/>
    <x v="5"/>
    <x v="127"/>
    <x v="128"/>
  </r>
  <r>
    <x v="7"/>
    <x v="32"/>
    <x v="0"/>
    <x v="2"/>
    <x v="128"/>
    <x v="129"/>
  </r>
  <r>
    <x v="0"/>
    <x v="28"/>
    <x v="0"/>
    <x v="4"/>
    <x v="129"/>
    <x v="130"/>
  </r>
  <r>
    <x v="6"/>
    <x v="22"/>
    <x v="0"/>
    <x v="3"/>
    <x v="130"/>
    <x v="131"/>
  </r>
  <r>
    <x v="4"/>
    <x v="11"/>
    <x v="0"/>
    <x v="5"/>
    <x v="131"/>
    <x v="132"/>
  </r>
  <r>
    <x v="0"/>
    <x v="0"/>
    <x v="0"/>
    <x v="0"/>
    <x v="132"/>
    <x v="133"/>
  </r>
  <r>
    <x v="1"/>
    <x v="1"/>
    <x v="0"/>
    <x v="4"/>
    <x v="133"/>
    <x v="134"/>
  </r>
  <r>
    <x v="0"/>
    <x v="0"/>
    <x v="0"/>
    <x v="5"/>
    <x v="134"/>
    <x v="135"/>
  </r>
  <r>
    <x v="7"/>
    <x v="18"/>
    <x v="1"/>
    <x v="3"/>
    <x v="135"/>
    <x v="136"/>
  </r>
  <r>
    <x v="2"/>
    <x v="8"/>
    <x v="0"/>
    <x v="1"/>
    <x v="136"/>
    <x v="137"/>
  </r>
  <r>
    <x v="0"/>
    <x v="24"/>
    <x v="0"/>
    <x v="4"/>
    <x v="137"/>
    <x v="138"/>
  </r>
  <r>
    <x v="1"/>
    <x v="1"/>
    <x v="0"/>
    <x v="2"/>
    <x v="138"/>
    <x v="139"/>
  </r>
  <r>
    <x v="1"/>
    <x v="10"/>
    <x v="2"/>
    <x v="2"/>
    <x v="139"/>
    <x v="140"/>
  </r>
  <r>
    <x v="6"/>
    <x v="22"/>
    <x v="0"/>
    <x v="3"/>
    <x v="140"/>
    <x v="141"/>
  </r>
  <r>
    <x v="7"/>
    <x v="14"/>
    <x v="0"/>
    <x v="1"/>
    <x v="141"/>
    <x v="142"/>
  </r>
  <r>
    <x v="6"/>
    <x v="22"/>
    <x v="0"/>
    <x v="1"/>
    <x v="142"/>
    <x v="143"/>
  </r>
  <r>
    <x v="6"/>
    <x v="13"/>
    <x v="0"/>
    <x v="5"/>
    <x v="143"/>
    <x v="144"/>
  </r>
  <r>
    <x v="4"/>
    <x v="4"/>
    <x v="0"/>
    <x v="1"/>
    <x v="144"/>
    <x v="145"/>
  </r>
  <r>
    <x v="3"/>
    <x v="3"/>
    <x v="0"/>
    <x v="0"/>
    <x v="145"/>
    <x v="146"/>
  </r>
  <r>
    <x v="7"/>
    <x v="14"/>
    <x v="1"/>
    <x v="2"/>
    <x v="146"/>
    <x v="147"/>
  </r>
  <r>
    <x v="4"/>
    <x v="4"/>
    <x v="0"/>
    <x v="4"/>
    <x v="147"/>
    <x v="148"/>
  </r>
  <r>
    <x v="6"/>
    <x v="16"/>
    <x v="0"/>
    <x v="2"/>
    <x v="148"/>
    <x v="149"/>
  </r>
  <r>
    <x v="1"/>
    <x v="1"/>
    <x v="0"/>
    <x v="0"/>
    <x v="147"/>
    <x v="150"/>
  </r>
  <r>
    <x v="6"/>
    <x v="16"/>
    <x v="0"/>
    <x v="4"/>
    <x v="149"/>
    <x v="151"/>
  </r>
  <r>
    <x v="4"/>
    <x v="5"/>
    <x v="0"/>
    <x v="3"/>
    <x v="150"/>
    <x v="152"/>
  </r>
  <r>
    <x v="7"/>
    <x v="14"/>
    <x v="0"/>
    <x v="2"/>
    <x v="151"/>
    <x v="153"/>
  </r>
  <r>
    <x v="1"/>
    <x v="1"/>
    <x v="1"/>
    <x v="5"/>
    <x v="152"/>
    <x v="154"/>
  </r>
  <r>
    <x v="6"/>
    <x v="31"/>
    <x v="0"/>
    <x v="1"/>
    <x v="153"/>
    <x v="155"/>
  </r>
  <r>
    <x v="2"/>
    <x v="23"/>
    <x v="0"/>
    <x v="4"/>
    <x v="154"/>
    <x v="156"/>
  </r>
  <r>
    <x v="2"/>
    <x v="2"/>
    <x v="0"/>
    <x v="0"/>
    <x v="155"/>
    <x v="157"/>
  </r>
  <r>
    <x v="6"/>
    <x v="16"/>
    <x v="0"/>
    <x v="1"/>
    <x v="156"/>
    <x v="158"/>
  </r>
  <r>
    <x v="2"/>
    <x v="23"/>
    <x v="0"/>
    <x v="1"/>
    <x v="157"/>
    <x v="159"/>
  </r>
  <r>
    <x v="0"/>
    <x v="15"/>
    <x v="0"/>
    <x v="3"/>
    <x v="158"/>
    <x v="160"/>
  </r>
  <r>
    <x v="3"/>
    <x v="7"/>
    <x v="0"/>
    <x v="2"/>
    <x v="159"/>
    <x v="161"/>
  </r>
  <r>
    <x v="3"/>
    <x v="19"/>
    <x v="0"/>
    <x v="4"/>
    <x v="160"/>
    <x v="162"/>
  </r>
  <r>
    <x v="7"/>
    <x v="18"/>
    <x v="2"/>
    <x v="1"/>
    <x v="161"/>
    <x v="163"/>
  </r>
  <r>
    <x v="4"/>
    <x v="11"/>
    <x v="0"/>
    <x v="4"/>
    <x v="162"/>
    <x v="164"/>
  </r>
  <r>
    <x v="5"/>
    <x v="6"/>
    <x v="0"/>
    <x v="5"/>
    <x v="163"/>
    <x v="165"/>
  </r>
  <r>
    <x v="0"/>
    <x v="15"/>
    <x v="0"/>
    <x v="3"/>
    <x v="164"/>
    <x v="166"/>
  </r>
  <r>
    <x v="4"/>
    <x v="20"/>
    <x v="2"/>
    <x v="4"/>
    <x v="165"/>
    <x v="167"/>
  </r>
  <r>
    <x v="4"/>
    <x v="11"/>
    <x v="0"/>
    <x v="5"/>
    <x v="47"/>
    <x v="168"/>
  </r>
  <r>
    <x v="3"/>
    <x v="19"/>
    <x v="0"/>
    <x v="4"/>
    <x v="166"/>
    <x v="169"/>
  </r>
  <r>
    <x v="2"/>
    <x v="30"/>
    <x v="0"/>
    <x v="5"/>
    <x v="167"/>
    <x v="170"/>
  </r>
  <r>
    <x v="4"/>
    <x v="12"/>
    <x v="0"/>
    <x v="2"/>
    <x v="168"/>
    <x v="171"/>
  </r>
  <r>
    <x v="7"/>
    <x v="14"/>
    <x v="0"/>
    <x v="5"/>
    <x v="169"/>
    <x v="172"/>
  </r>
  <r>
    <x v="6"/>
    <x v="13"/>
    <x v="0"/>
    <x v="2"/>
    <x v="169"/>
    <x v="173"/>
  </r>
  <r>
    <x v="3"/>
    <x v="3"/>
    <x v="0"/>
    <x v="0"/>
    <x v="170"/>
    <x v="174"/>
  </r>
  <r>
    <x v="4"/>
    <x v="20"/>
    <x v="2"/>
    <x v="4"/>
    <x v="171"/>
    <x v="175"/>
  </r>
  <r>
    <x v="2"/>
    <x v="30"/>
    <x v="2"/>
    <x v="1"/>
    <x v="10"/>
    <x v="176"/>
  </r>
  <r>
    <x v="0"/>
    <x v="0"/>
    <x v="0"/>
    <x v="0"/>
    <x v="172"/>
    <x v="177"/>
  </r>
  <r>
    <x v="1"/>
    <x v="10"/>
    <x v="0"/>
    <x v="4"/>
    <x v="173"/>
    <x v="178"/>
  </r>
  <r>
    <x v="4"/>
    <x v="20"/>
    <x v="0"/>
    <x v="3"/>
    <x v="174"/>
    <x v="179"/>
  </r>
  <r>
    <x v="0"/>
    <x v="15"/>
    <x v="0"/>
    <x v="2"/>
    <x v="175"/>
    <x v="180"/>
  </r>
  <r>
    <x v="4"/>
    <x v="9"/>
    <x v="0"/>
    <x v="4"/>
    <x v="176"/>
    <x v="181"/>
  </r>
  <r>
    <x v="1"/>
    <x v="1"/>
    <x v="0"/>
    <x v="2"/>
    <x v="177"/>
    <x v="182"/>
  </r>
  <r>
    <x v="5"/>
    <x v="6"/>
    <x v="0"/>
    <x v="1"/>
    <x v="178"/>
    <x v="183"/>
  </r>
  <r>
    <x v="6"/>
    <x v="13"/>
    <x v="0"/>
    <x v="1"/>
    <x v="179"/>
    <x v="184"/>
  </r>
  <r>
    <x v="3"/>
    <x v="27"/>
    <x v="0"/>
    <x v="1"/>
    <x v="180"/>
    <x v="185"/>
  </r>
  <r>
    <x v="5"/>
    <x v="17"/>
    <x v="2"/>
    <x v="3"/>
    <x v="181"/>
    <x v="186"/>
  </r>
  <r>
    <x v="7"/>
    <x v="25"/>
    <x v="0"/>
    <x v="5"/>
    <x v="182"/>
    <x v="187"/>
  </r>
  <r>
    <x v="7"/>
    <x v="32"/>
    <x v="0"/>
    <x v="1"/>
    <x v="183"/>
    <x v="188"/>
  </r>
  <r>
    <x v="6"/>
    <x v="31"/>
    <x v="0"/>
    <x v="0"/>
    <x v="184"/>
    <x v="189"/>
  </r>
  <r>
    <x v="4"/>
    <x v="11"/>
    <x v="0"/>
    <x v="3"/>
    <x v="185"/>
    <x v="190"/>
  </r>
  <r>
    <x v="5"/>
    <x v="17"/>
    <x v="0"/>
    <x v="5"/>
    <x v="186"/>
    <x v="191"/>
  </r>
  <r>
    <x v="1"/>
    <x v="21"/>
    <x v="0"/>
    <x v="4"/>
    <x v="187"/>
    <x v="192"/>
  </r>
  <r>
    <x v="3"/>
    <x v="3"/>
    <x v="0"/>
    <x v="2"/>
    <x v="188"/>
    <x v="193"/>
  </r>
  <r>
    <x v="0"/>
    <x v="0"/>
    <x v="0"/>
    <x v="3"/>
    <x v="189"/>
    <x v="194"/>
  </r>
  <r>
    <x v="0"/>
    <x v="15"/>
    <x v="0"/>
    <x v="1"/>
    <x v="190"/>
    <x v="195"/>
  </r>
  <r>
    <x v="2"/>
    <x v="2"/>
    <x v="0"/>
    <x v="0"/>
    <x v="96"/>
    <x v="196"/>
  </r>
  <r>
    <x v="5"/>
    <x v="6"/>
    <x v="0"/>
    <x v="3"/>
    <x v="191"/>
    <x v="197"/>
  </r>
  <r>
    <x v="5"/>
    <x v="6"/>
    <x v="1"/>
    <x v="1"/>
    <x v="192"/>
    <x v="198"/>
  </r>
  <r>
    <x v="5"/>
    <x v="29"/>
    <x v="0"/>
    <x v="1"/>
    <x v="193"/>
    <x v="199"/>
  </r>
  <r>
    <x v="3"/>
    <x v="3"/>
    <x v="0"/>
    <x v="5"/>
    <x v="166"/>
    <x v="200"/>
  </r>
  <r>
    <x v="4"/>
    <x v="11"/>
    <x v="0"/>
    <x v="0"/>
    <x v="194"/>
    <x v="201"/>
  </r>
  <r>
    <x v="4"/>
    <x v="11"/>
    <x v="0"/>
    <x v="2"/>
    <x v="195"/>
    <x v="202"/>
  </r>
  <r>
    <x v="5"/>
    <x v="29"/>
    <x v="0"/>
    <x v="1"/>
    <x v="196"/>
    <x v="203"/>
  </r>
  <r>
    <x v="3"/>
    <x v="19"/>
    <x v="0"/>
    <x v="3"/>
    <x v="197"/>
    <x v="204"/>
  </r>
  <r>
    <x v="4"/>
    <x v="4"/>
    <x v="2"/>
    <x v="3"/>
    <x v="198"/>
    <x v="205"/>
  </r>
  <r>
    <x v="4"/>
    <x v="5"/>
    <x v="0"/>
    <x v="3"/>
    <x v="199"/>
    <x v="206"/>
  </r>
  <r>
    <x v="3"/>
    <x v="19"/>
    <x v="0"/>
    <x v="0"/>
    <x v="200"/>
    <x v="207"/>
  </r>
  <r>
    <x v="4"/>
    <x v="9"/>
    <x v="0"/>
    <x v="3"/>
    <x v="201"/>
    <x v="208"/>
  </r>
  <r>
    <x v="4"/>
    <x v="12"/>
    <x v="0"/>
    <x v="5"/>
    <x v="202"/>
    <x v="209"/>
  </r>
  <r>
    <x v="7"/>
    <x v="32"/>
    <x v="0"/>
    <x v="2"/>
    <x v="203"/>
    <x v="210"/>
  </r>
  <r>
    <x v="2"/>
    <x v="8"/>
    <x v="1"/>
    <x v="1"/>
    <x v="204"/>
    <x v="211"/>
  </r>
  <r>
    <x v="3"/>
    <x v="7"/>
    <x v="0"/>
    <x v="4"/>
    <x v="205"/>
    <x v="212"/>
  </r>
  <r>
    <x v="6"/>
    <x v="31"/>
    <x v="2"/>
    <x v="4"/>
    <x v="206"/>
    <x v="213"/>
  </r>
  <r>
    <x v="2"/>
    <x v="30"/>
    <x v="0"/>
    <x v="4"/>
    <x v="207"/>
    <x v="214"/>
  </r>
  <r>
    <x v="6"/>
    <x v="13"/>
    <x v="0"/>
    <x v="0"/>
    <x v="208"/>
    <x v="215"/>
  </r>
  <r>
    <x v="0"/>
    <x v="0"/>
    <x v="0"/>
    <x v="0"/>
    <x v="209"/>
    <x v="216"/>
  </r>
  <r>
    <x v="2"/>
    <x v="30"/>
    <x v="0"/>
    <x v="0"/>
    <x v="210"/>
    <x v="217"/>
  </r>
  <r>
    <x v="3"/>
    <x v="3"/>
    <x v="0"/>
    <x v="4"/>
    <x v="211"/>
    <x v="218"/>
  </r>
  <r>
    <x v="5"/>
    <x v="29"/>
    <x v="0"/>
    <x v="4"/>
    <x v="212"/>
    <x v="219"/>
  </r>
  <r>
    <x v="3"/>
    <x v="27"/>
    <x v="0"/>
    <x v="3"/>
    <x v="213"/>
    <x v="220"/>
  </r>
  <r>
    <x v="7"/>
    <x v="25"/>
    <x v="0"/>
    <x v="4"/>
    <x v="214"/>
    <x v="221"/>
  </r>
  <r>
    <x v="4"/>
    <x v="9"/>
    <x v="0"/>
    <x v="0"/>
    <x v="215"/>
    <x v="222"/>
  </r>
  <r>
    <x v="0"/>
    <x v="15"/>
    <x v="0"/>
    <x v="5"/>
    <x v="216"/>
    <x v="223"/>
  </r>
  <r>
    <x v="6"/>
    <x v="22"/>
    <x v="2"/>
    <x v="3"/>
    <x v="217"/>
    <x v="224"/>
  </r>
  <r>
    <x v="6"/>
    <x v="31"/>
    <x v="0"/>
    <x v="3"/>
    <x v="218"/>
    <x v="225"/>
  </r>
  <r>
    <x v="1"/>
    <x v="1"/>
    <x v="0"/>
    <x v="2"/>
    <x v="219"/>
    <x v="226"/>
  </r>
  <r>
    <x v="0"/>
    <x v="0"/>
    <x v="0"/>
    <x v="2"/>
    <x v="220"/>
    <x v="227"/>
  </r>
  <r>
    <x v="5"/>
    <x v="6"/>
    <x v="0"/>
    <x v="5"/>
    <x v="221"/>
    <x v="228"/>
  </r>
  <r>
    <x v="3"/>
    <x v="19"/>
    <x v="0"/>
    <x v="1"/>
    <x v="222"/>
    <x v="229"/>
  </r>
  <r>
    <x v="5"/>
    <x v="6"/>
    <x v="0"/>
    <x v="4"/>
    <x v="223"/>
    <x v="230"/>
  </r>
  <r>
    <x v="7"/>
    <x v="25"/>
    <x v="0"/>
    <x v="4"/>
    <x v="224"/>
    <x v="231"/>
  </r>
  <r>
    <x v="7"/>
    <x v="25"/>
    <x v="0"/>
    <x v="4"/>
    <x v="225"/>
    <x v="232"/>
  </r>
  <r>
    <x v="7"/>
    <x v="25"/>
    <x v="0"/>
    <x v="3"/>
    <x v="226"/>
    <x v="233"/>
  </r>
  <r>
    <x v="4"/>
    <x v="5"/>
    <x v="0"/>
    <x v="3"/>
    <x v="227"/>
    <x v="234"/>
  </r>
  <r>
    <x v="2"/>
    <x v="8"/>
    <x v="0"/>
    <x v="0"/>
    <x v="228"/>
    <x v="235"/>
  </r>
  <r>
    <x v="6"/>
    <x v="16"/>
    <x v="0"/>
    <x v="0"/>
    <x v="229"/>
    <x v="236"/>
  </r>
  <r>
    <x v="4"/>
    <x v="20"/>
    <x v="0"/>
    <x v="0"/>
    <x v="230"/>
    <x v="237"/>
  </r>
  <r>
    <x v="3"/>
    <x v="27"/>
    <x v="0"/>
    <x v="3"/>
    <x v="231"/>
    <x v="238"/>
  </r>
  <r>
    <x v="4"/>
    <x v="11"/>
    <x v="0"/>
    <x v="1"/>
    <x v="232"/>
    <x v="239"/>
  </r>
  <r>
    <x v="1"/>
    <x v="10"/>
    <x v="2"/>
    <x v="4"/>
    <x v="233"/>
    <x v="240"/>
  </r>
  <r>
    <x v="1"/>
    <x v="10"/>
    <x v="0"/>
    <x v="3"/>
    <x v="113"/>
    <x v="241"/>
  </r>
  <r>
    <x v="1"/>
    <x v="10"/>
    <x v="2"/>
    <x v="4"/>
    <x v="234"/>
    <x v="242"/>
  </r>
  <r>
    <x v="0"/>
    <x v="15"/>
    <x v="2"/>
    <x v="2"/>
    <x v="14"/>
    <x v="243"/>
  </r>
  <r>
    <x v="4"/>
    <x v="5"/>
    <x v="0"/>
    <x v="5"/>
    <x v="235"/>
    <x v="244"/>
  </r>
  <r>
    <x v="1"/>
    <x v="1"/>
    <x v="0"/>
    <x v="0"/>
    <x v="236"/>
    <x v="245"/>
  </r>
  <r>
    <x v="0"/>
    <x v="0"/>
    <x v="1"/>
    <x v="4"/>
    <x v="237"/>
    <x v="246"/>
  </r>
  <r>
    <x v="1"/>
    <x v="21"/>
    <x v="0"/>
    <x v="1"/>
    <x v="238"/>
    <x v="247"/>
  </r>
  <r>
    <x v="1"/>
    <x v="10"/>
    <x v="0"/>
    <x v="3"/>
    <x v="239"/>
    <x v="248"/>
  </r>
  <r>
    <x v="5"/>
    <x v="17"/>
    <x v="2"/>
    <x v="2"/>
    <x v="122"/>
    <x v="249"/>
  </r>
  <r>
    <x v="6"/>
    <x v="31"/>
    <x v="0"/>
    <x v="2"/>
    <x v="240"/>
    <x v="250"/>
  </r>
  <r>
    <x v="0"/>
    <x v="24"/>
    <x v="0"/>
    <x v="0"/>
    <x v="241"/>
    <x v="251"/>
  </r>
  <r>
    <x v="5"/>
    <x v="29"/>
    <x v="0"/>
    <x v="4"/>
    <x v="242"/>
    <x v="252"/>
  </r>
  <r>
    <x v="6"/>
    <x v="13"/>
    <x v="0"/>
    <x v="2"/>
    <x v="243"/>
    <x v="253"/>
  </r>
  <r>
    <x v="4"/>
    <x v="5"/>
    <x v="2"/>
    <x v="0"/>
    <x v="244"/>
    <x v="254"/>
  </r>
  <r>
    <x v="7"/>
    <x v="32"/>
    <x v="2"/>
    <x v="3"/>
    <x v="245"/>
    <x v="255"/>
  </r>
  <r>
    <x v="1"/>
    <x v="21"/>
    <x v="0"/>
    <x v="3"/>
    <x v="246"/>
    <x v="256"/>
  </r>
  <r>
    <x v="2"/>
    <x v="8"/>
    <x v="2"/>
    <x v="0"/>
    <x v="247"/>
    <x v="257"/>
  </r>
  <r>
    <x v="7"/>
    <x v="25"/>
    <x v="0"/>
    <x v="1"/>
    <x v="248"/>
    <x v="258"/>
  </r>
  <r>
    <x v="4"/>
    <x v="20"/>
    <x v="2"/>
    <x v="3"/>
    <x v="249"/>
    <x v="259"/>
  </r>
  <r>
    <x v="3"/>
    <x v="7"/>
    <x v="1"/>
    <x v="0"/>
    <x v="250"/>
    <x v="260"/>
  </r>
  <r>
    <x v="1"/>
    <x v="10"/>
    <x v="0"/>
    <x v="2"/>
    <x v="251"/>
    <x v="261"/>
  </r>
  <r>
    <x v="4"/>
    <x v="9"/>
    <x v="0"/>
    <x v="5"/>
    <x v="241"/>
    <x v="262"/>
  </r>
  <r>
    <x v="7"/>
    <x v="32"/>
    <x v="2"/>
    <x v="5"/>
    <x v="252"/>
    <x v="263"/>
  </r>
  <r>
    <x v="5"/>
    <x v="29"/>
    <x v="1"/>
    <x v="5"/>
    <x v="253"/>
    <x v="264"/>
  </r>
  <r>
    <x v="2"/>
    <x v="23"/>
    <x v="2"/>
    <x v="4"/>
    <x v="254"/>
    <x v="265"/>
  </r>
  <r>
    <x v="2"/>
    <x v="8"/>
    <x v="2"/>
    <x v="0"/>
    <x v="255"/>
    <x v="266"/>
  </r>
  <r>
    <x v="2"/>
    <x v="8"/>
    <x v="0"/>
    <x v="3"/>
    <x v="256"/>
    <x v="267"/>
  </r>
  <r>
    <x v="0"/>
    <x v="28"/>
    <x v="0"/>
    <x v="3"/>
    <x v="257"/>
    <x v="268"/>
  </r>
  <r>
    <x v="6"/>
    <x v="22"/>
    <x v="0"/>
    <x v="1"/>
    <x v="258"/>
    <x v="269"/>
  </r>
  <r>
    <x v="5"/>
    <x v="17"/>
    <x v="1"/>
    <x v="2"/>
    <x v="259"/>
    <x v="270"/>
  </r>
  <r>
    <x v="5"/>
    <x v="6"/>
    <x v="0"/>
    <x v="3"/>
    <x v="260"/>
    <x v="271"/>
  </r>
  <r>
    <x v="5"/>
    <x v="6"/>
    <x v="1"/>
    <x v="1"/>
    <x v="261"/>
    <x v="272"/>
  </r>
  <r>
    <x v="1"/>
    <x v="21"/>
    <x v="0"/>
    <x v="0"/>
    <x v="262"/>
    <x v="273"/>
  </r>
  <r>
    <x v="7"/>
    <x v="32"/>
    <x v="0"/>
    <x v="4"/>
    <x v="263"/>
    <x v="274"/>
  </r>
  <r>
    <x v="7"/>
    <x v="25"/>
    <x v="2"/>
    <x v="3"/>
    <x v="264"/>
    <x v="275"/>
  </r>
  <r>
    <x v="5"/>
    <x v="29"/>
    <x v="2"/>
    <x v="2"/>
    <x v="265"/>
    <x v="276"/>
  </r>
  <r>
    <x v="3"/>
    <x v="27"/>
    <x v="0"/>
    <x v="4"/>
    <x v="266"/>
    <x v="277"/>
  </r>
  <r>
    <x v="2"/>
    <x v="23"/>
    <x v="0"/>
    <x v="5"/>
    <x v="267"/>
    <x v="278"/>
  </r>
  <r>
    <x v="5"/>
    <x v="17"/>
    <x v="0"/>
    <x v="0"/>
    <x v="268"/>
    <x v="279"/>
  </r>
  <r>
    <x v="5"/>
    <x v="17"/>
    <x v="0"/>
    <x v="2"/>
    <x v="269"/>
    <x v="280"/>
  </r>
  <r>
    <x v="0"/>
    <x v="28"/>
    <x v="0"/>
    <x v="3"/>
    <x v="270"/>
    <x v="281"/>
  </r>
  <r>
    <x v="0"/>
    <x v="24"/>
    <x v="0"/>
    <x v="0"/>
    <x v="271"/>
    <x v="282"/>
  </r>
  <r>
    <x v="4"/>
    <x v="11"/>
    <x v="0"/>
    <x v="4"/>
    <x v="272"/>
    <x v="283"/>
  </r>
  <r>
    <x v="7"/>
    <x v="32"/>
    <x v="0"/>
    <x v="4"/>
    <x v="273"/>
    <x v="284"/>
  </r>
  <r>
    <x v="4"/>
    <x v="20"/>
    <x v="0"/>
    <x v="4"/>
    <x v="274"/>
    <x v="285"/>
  </r>
  <r>
    <x v="0"/>
    <x v="0"/>
    <x v="0"/>
    <x v="4"/>
    <x v="275"/>
    <x v="286"/>
  </r>
  <r>
    <x v="7"/>
    <x v="32"/>
    <x v="0"/>
    <x v="1"/>
    <x v="276"/>
    <x v="287"/>
  </r>
  <r>
    <x v="6"/>
    <x v="13"/>
    <x v="0"/>
    <x v="3"/>
    <x v="277"/>
    <x v="288"/>
  </r>
  <r>
    <x v="3"/>
    <x v="7"/>
    <x v="2"/>
    <x v="5"/>
    <x v="278"/>
    <x v="289"/>
  </r>
  <r>
    <x v="4"/>
    <x v="9"/>
    <x v="2"/>
    <x v="4"/>
    <x v="279"/>
    <x v="290"/>
  </r>
  <r>
    <x v="4"/>
    <x v="11"/>
    <x v="2"/>
    <x v="4"/>
    <x v="280"/>
    <x v="291"/>
  </r>
  <r>
    <x v="5"/>
    <x v="17"/>
    <x v="0"/>
    <x v="2"/>
    <x v="281"/>
    <x v="292"/>
  </r>
  <r>
    <x v="0"/>
    <x v="28"/>
    <x v="0"/>
    <x v="5"/>
    <x v="282"/>
    <x v="293"/>
  </r>
  <r>
    <x v="4"/>
    <x v="4"/>
    <x v="0"/>
    <x v="3"/>
    <x v="283"/>
    <x v="294"/>
  </r>
  <r>
    <x v="7"/>
    <x v="25"/>
    <x v="0"/>
    <x v="4"/>
    <x v="284"/>
    <x v="295"/>
  </r>
  <r>
    <x v="2"/>
    <x v="23"/>
    <x v="0"/>
    <x v="3"/>
    <x v="285"/>
    <x v="296"/>
  </r>
  <r>
    <x v="4"/>
    <x v="11"/>
    <x v="0"/>
    <x v="4"/>
    <x v="286"/>
    <x v="297"/>
  </r>
  <r>
    <x v="3"/>
    <x v="3"/>
    <x v="0"/>
    <x v="1"/>
    <x v="287"/>
    <x v="298"/>
  </r>
  <r>
    <x v="4"/>
    <x v="5"/>
    <x v="0"/>
    <x v="5"/>
    <x v="288"/>
    <x v="299"/>
  </r>
  <r>
    <x v="4"/>
    <x v="11"/>
    <x v="0"/>
    <x v="5"/>
    <x v="289"/>
    <x v="300"/>
  </r>
  <r>
    <x v="7"/>
    <x v="26"/>
    <x v="0"/>
    <x v="0"/>
    <x v="204"/>
    <x v="301"/>
  </r>
  <r>
    <x v="7"/>
    <x v="25"/>
    <x v="2"/>
    <x v="0"/>
    <x v="290"/>
    <x v="302"/>
  </r>
  <r>
    <x v="3"/>
    <x v="19"/>
    <x v="0"/>
    <x v="1"/>
    <x v="291"/>
    <x v="303"/>
  </r>
  <r>
    <x v="2"/>
    <x v="30"/>
    <x v="0"/>
    <x v="0"/>
    <x v="292"/>
    <x v="304"/>
  </r>
  <r>
    <x v="1"/>
    <x v="10"/>
    <x v="0"/>
    <x v="2"/>
    <x v="293"/>
    <x v="305"/>
  </r>
  <r>
    <x v="7"/>
    <x v="18"/>
    <x v="0"/>
    <x v="5"/>
    <x v="294"/>
    <x v="306"/>
  </r>
  <r>
    <x v="0"/>
    <x v="28"/>
    <x v="0"/>
    <x v="2"/>
    <x v="295"/>
    <x v="307"/>
  </r>
  <r>
    <x v="5"/>
    <x v="29"/>
    <x v="0"/>
    <x v="1"/>
    <x v="286"/>
    <x v="308"/>
  </r>
  <r>
    <x v="6"/>
    <x v="16"/>
    <x v="0"/>
    <x v="5"/>
    <x v="296"/>
    <x v="309"/>
  </r>
  <r>
    <x v="0"/>
    <x v="0"/>
    <x v="0"/>
    <x v="2"/>
    <x v="297"/>
    <x v="310"/>
  </r>
  <r>
    <x v="4"/>
    <x v="4"/>
    <x v="0"/>
    <x v="4"/>
    <x v="298"/>
    <x v="311"/>
  </r>
  <r>
    <x v="4"/>
    <x v="20"/>
    <x v="0"/>
    <x v="4"/>
    <x v="299"/>
    <x v="312"/>
  </r>
  <r>
    <x v="1"/>
    <x v="10"/>
    <x v="2"/>
    <x v="4"/>
    <x v="300"/>
    <x v="313"/>
  </r>
  <r>
    <x v="5"/>
    <x v="17"/>
    <x v="0"/>
    <x v="1"/>
    <x v="301"/>
    <x v="314"/>
  </r>
  <r>
    <x v="2"/>
    <x v="30"/>
    <x v="0"/>
    <x v="0"/>
    <x v="302"/>
    <x v="315"/>
  </r>
  <r>
    <x v="0"/>
    <x v="24"/>
    <x v="0"/>
    <x v="3"/>
    <x v="303"/>
    <x v="316"/>
  </r>
  <r>
    <x v="4"/>
    <x v="5"/>
    <x v="2"/>
    <x v="1"/>
    <x v="304"/>
    <x v="317"/>
  </r>
  <r>
    <x v="4"/>
    <x v="11"/>
    <x v="0"/>
    <x v="5"/>
    <x v="305"/>
    <x v="318"/>
  </r>
  <r>
    <x v="6"/>
    <x v="13"/>
    <x v="0"/>
    <x v="0"/>
    <x v="306"/>
    <x v="319"/>
  </r>
  <r>
    <x v="7"/>
    <x v="32"/>
    <x v="0"/>
    <x v="1"/>
    <x v="307"/>
    <x v="320"/>
  </r>
  <r>
    <x v="2"/>
    <x v="23"/>
    <x v="0"/>
    <x v="1"/>
    <x v="308"/>
    <x v="321"/>
  </r>
  <r>
    <x v="3"/>
    <x v="27"/>
    <x v="0"/>
    <x v="3"/>
    <x v="309"/>
    <x v="322"/>
  </r>
  <r>
    <x v="6"/>
    <x v="13"/>
    <x v="0"/>
    <x v="5"/>
    <x v="310"/>
    <x v="323"/>
  </r>
  <r>
    <x v="1"/>
    <x v="10"/>
    <x v="0"/>
    <x v="4"/>
    <x v="311"/>
    <x v="324"/>
  </r>
  <r>
    <x v="2"/>
    <x v="8"/>
    <x v="0"/>
    <x v="0"/>
    <x v="312"/>
    <x v="325"/>
  </r>
  <r>
    <x v="7"/>
    <x v="25"/>
    <x v="0"/>
    <x v="1"/>
    <x v="313"/>
    <x v="326"/>
  </r>
  <r>
    <x v="3"/>
    <x v="3"/>
    <x v="0"/>
    <x v="3"/>
    <x v="314"/>
    <x v="327"/>
  </r>
  <r>
    <x v="0"/>
    <x v="28"/>
    <x v="0"/>
    <x v="1"/>
    <x v="315"/>
    <x v="328"/>
  </r>
  <r>
    <x v="6"/>
    <x v="22"/>
    <x v="0"/>
    <x v="4"/>
    <x v="316"/>
    <x v="329"/>
  </r>
  <r>
    <x v="0"/>
    <x v="24"/>
    <x v="0"/>
    <x v="1"/>
    <x v="317"/>
    <x v="330"/>
  </r>
  <r>
    <x v="2"/>
    <x v="30"/>
    <x v="0"/>
    <x v="0"/>
    <x v="318"/>
    <x v="331"/>
  </r>
  <r>
    <x v="4"/>
    <x v="9"/>
    <x v="0"/>
    <x v="2"/>
    <x v="319"/>
    <x v="332"/>
  </r>
  <r>
    <x v="4"/>
    <x v="12"/>
    <x v="2"/>
    <x v="1"/>
    <x v="320"/>
    <x v="333"/>
  </r>
  <r>
    <x v="4"/>
    <x v="12"/>
    <x v="0"/>
    <x v="1"/>
    <x v="321"/>
    <x v="334"/>
  </r>
  <r>
    <x v="4"/>
    <x v="5"/>
    <x v="0"/>
    <x v="4"/>
    <x v="322"/>
    <x v="335"/>
  </r>
  <r>
    <x v="5"/>
    <x v="29"/>
    <x v="0"/>
    <x v="5"/>
    <x v="323"/>
    <x v="336"/>
  </r>
  <r>
    <x v="2"/>
    <x v="30"/>
    <x v="0"/>
    <x v="0"/>
    <x v="324"/>
    <x v="337"/>
  </r>
  <r>
    <x v="7"/>
    <x v="25"/>
    <x v="0"/>
    <x v="0"/>
    <x v="325"/>
    <x v="338"/>
  </r>
  <r>
    <x v="4"/>
    <x v="11"/>
    <x v="0"/>
    <x v="1"/>
    <x v="326"/>
    <x v="339"/>
  </r>
  <r>
    <x v="7"/>
    <x v="32"/>
    <x v="0"/>
    <x v="3"/>
    <x v="327"/>
    <x v="340"/>
  </r>
  <r>
    <x v="7"/>
    <x v="32"/>
    <x v="0"/>
    <x v="0"/>
    <x v="328"/>
    <x v="341"/>
  </r>
  <r>
    <x v="4"/>
    <x v="4"/>
    <x v="0"/>
    <x v="1"/>
    <x v="293"/>
    <x v="342"/>
  </r>
  <r>
    <x v="0"/>
    <x v="28"/>
    <x v="0"/>
    <x v="5"/>
    <x v="329"/>
    <x v="343"/>
  </r>
  <r>
    <x v="0"/>
    <x v="28"/>
    <x v="0"/>
    <x v="5"/>
    <x v="330"/>
    <x v="344"/>
  </r>
  <r>
    <x v="3"/>
    <x v="19"/>
    <x v="0"/>
    <x v="4"/>
    <x v="331"/>
    <x v="345"/>
  </r>
  <r>
    <x v="3"/>
    <x v="19"/>
    <x v="0"/>
    <x v="1"/>
    <x v="332"/>
    <x v="346"/>
  </r>
  <r>
    <x v="4"/>
    <x v="9"/>
    <x v="0"/>
    <x v="1"/>
    <x v="333"/>
    <x v="347"/>
  </r>
  <r>
    <x v="0"/>
    <x v="15"/>
    <x v="0"/>
    <x v="2"/>
    <x v="334"/>
    <x v="348"/>
  </r>
  <r>
    <x v="3"/>
    <x v="7"/>
    <x v="0"/>
    <x v="4"/>
    <x v="335"/>
    <x v="349"/>
  </r>
  <r>
    <x v="7"/>
    <x v="26"/>
    <x v="0"/>
    <x v="2"/>
    <x v="336"/>
    <x v="350"/>
  </r>
  <r>
    <x v="5"/>
    <x v="17"/>
    <x v="0"/>
    <x v="3"/>
    <x v="337"/>
    <x v="351"/>
  </r>
  <r>
    <x v="3"/>
    <x v="19"/>
    <x v="0"/>
    <x v="4"/>
    <x v="338"/>
    <x v="352"/>
  </r>
  <r>
    <x v="4"/>
    <x v="5"/>
    <x v="0"/>
    <x v="4"/>
    <x v="77"/>
    <x v="353"/>
  </r>
  <r>
    <x v="4"/>
    <x v="20"/>
    <x v="0"/>
    <x v="5"/>
    <x v="339"/>
    <x v="354"/>
  </r>
  <r>
    <x v="3"/>
    <x v="27"/>
    <x v="0"/>
    <x v="3"/>
    <x v="340"/>
    <x v="355"/>
  </r>
  <r>
    <x v="4"/>
    <x v="12"/>
    <x v="0"/>
    <x v="1"/>
    <x v="341"/>
    <x v="356"/>
  </r>
  <r>
    <x v="7"/>
    <x v="32"/>
    <x v="0"/>
    <x v="4"/>
    <x v="342"/>
    <x v="357"/>
  </r>
  <r>
    <x v="1"/>
    <x v="21"/>
    <x v="0"/>
    <x v="3"/>
    <x v="343"/>
    <x v="358"/>
  </r>
  <r>
    <x v="7"/>
    <x v="14"/>
    <x v="0"/>
    <x v="0"/>
    <x v="344"/>
    <x v="359"/>
  </r>
  <r>
    <x v="0"/>
    <x v="15"/>
    <x v="0"/>
    <x v="1"/>
    <x v="345"/>
    <x v="360"/>
  </r>
  <r>
    <x v="3"/>
    <x v="7"/>
    <x v="0"/>
    <x v="1"/>
    <x v="346"/>
    <x v="361"/>
  </r>
  <r>
    <x v="0"/>
    <x v="28"/>
    <x v="0"/>
    <x v="4"/>
    <x v="347"/>
    <x v="362"/>
  </r>
  <r>
    <x v="7"/>
    <x v="14"/>
    <x v="0"/>
    <x v="3"/>
    <x v="348"/>
    <x v="363"/>
  </r>
  <r>
    <x v="1"/>
    <x v="10"/>
    <x v="0"/>
    <x v="5"/>
    <x v="349"/>
    <x v="364"/>
  </r>
  <r>
    <x v="0"/>
    <x v="0"/>
    <x v="0"/>
    <x v="1"/>
    <x v="350"/>
    <x v="365"/>
  </r>
  <r>
    <x v="1"/>
    <x v="10"/>
    <x v="1"/>
    <x v="0"/>
    <x v="72"/>
    <x v="366"/>
  </r>
  <r>
    <x v="1"/>
    <x v="10"/>
    <x v="2"/>
    <x v="1"/>
    <x v="351"/>
    <x v="367"/>
  </r>
  <r>
    <x v="4"/>
    <x v="11"/>
    <x v="0"/>
    <x v="1"/>
    <x v="83"/>
    <x v="368"/>
  </r>
  <r>
    <x v="4"/>
    <x v="9"/>
    <x v="2"/>
    <x v="1"/>
    <x v="352"/>
    <x v="369"/>
  </r>
  <r>
    <x v="4"/>
    <x v="12"/>
    <x v="0"/>
    <x v="2"/>
    <x v="353"/>
    <x v="370"/>
  </r>
  <r>
    <x v="4"/>
    <x v="11"/>
    <x v="0"/>
    <x v="1"/>
    <x v="354"/>
    <x v="371"/>
  </r>
  <r>
    <x v="4"/>
    <x v="4"/>
    <x v="0"/>
    <x v="2"/>
    <x v="355"/>
    <x v="372"/>
  </r>
  <r>
    <x v="2"/>
    <x v="8"/>
    <x v="0"/>
    <x v="3"/>
    <x v="356"/>
    <x v="373"/>
  </r>
  <r>
    <x v="4"/>
    <x v="9"/>
    <x v="1"/>
    <x v="4"/>
    <x v="113"/>
    <x v="374"/>
  </r>
  <r>
    <x v="6"/>
    <x v="16"/>
    <x v="0"/>
    <x v="3"/>
    <x v="357"/>
    <x v="375"/>
  </r>
  <r>
    <x v="5"/>
    <x v="17"/>
    <x v="0"/>
    <x v="3"/>
    <x v="120"/>
    <x v="376"/>
  </r>
  <r>
    <x v="4"/>
    <x v="20"/>
    <x v="1"/>
    <x v="1"/>
    <x v="358"/>
    <x v="377"/>
  </r>
  <r>
    <x v="5"/>
    <x v="17"/>
    <x v="0"/>
    <x v="0"/>
    <x v="359"/>
    <x v="378"/>
  </r>
  <r>
    <x v="6"/>
    <x v="31"/>
    <x v="2"/>
    <x v="1"/>
    <x v="360"/>
    <x v="379"/>
  </r>
  <r>
    <x v="4"/>
    <x v="11"/>
    <x v="2"/>
    <x v="5"/>
    <x v="361"/>
    <x v="380"/>
  </r>
  <r>
    <x v="2"/>
    <x v="8"/>
    <x v="0"/>
    <x v="4"/>
    <x v="362"/>
    <x v="381"/>
  </r>
  <r>
    <x v="3"/>
    <x v="27"/>
    <x v="0"/>
    <x v="1"/>
    <x v="363"/>
    <x v="382"/>
  </r>
  <r>
    <x v="5"/>
    <x v="29"/>
    <x v="0"/>
    <x v="0"/>
    <x v="364"/>
    <x v="383"/>
  </r>
  <r>
    <x v="2"/>
    <x v="30"/>
    <x v="0"/>
    <x v="1"/>
    <x v="365"/>
    <x v="384"/>
  </r>
  <r>
    <x v="5"/>
    <x v="29"/>
    <x v="0"/>
    <x v="0"/>
    <x v="366"/>
    <x v="385"/>
  </r>
  <r>
    <x v="6"/>
    <x v="31"/>
    <x v="0"/>
    <x v="4"/>
    <x v="40"/>
    <x v="386"/>
  </r>
  <r>
    <x v="4"/>
    <x v="11"/>
    <x v="0"/>
    <x v="5"/>
    <x v="367"/>
    <x v="387"/>
  </r>
  <r>
    <x v="2"/>
    <x v="2"/>
    <x v="0"/>
    <x v="4"/>
    <x v="368"/>
    <x v="388"/>
  </r>
  <r>
    <x v="5"/>
    <x v="17"/>
    <x v="0"/>
    <x v="4"/>
    <x v="369"/>
    <x v="389"/>
  </r>
  <r>
    <x v="1"/>
    <x v="21"/>
    <x v="0"/>
    <x v="0"/>
    <x v="370"/>
    <x v="390"/>
  </r>
  <r>
    <x v="0"/>
    <x v="0"/>
    <x v="0"/>
    <x v="3"/>
    <x v="371"/>
    <x v="391"/>
  </r>
  <r>
    <x v="0"/>
    <x v="0"/>
    <x v="0"/>
    <x v="0"/>
    <x v="372"/>
    <x v="392"/>
  </r>
  <r>
    <x v="5"/>
    <x v="17"/>
    <x v="0"/>
    <x v="1"/>
    <x v="373"/>
    <x v="393"/>
  </r>
  <r>
    <x v="0"/>
    <x v="24"/>
    <x v="0"/>
    <x v="1"/>
    <x v="374"/>
    <x v="394"/>
  </r>
  <r>
    <x v="1"/>
    <x v="10"/>
    <x v="0"/>
    <x v="2"/>
    <x v="375"/>
    <x v="395"/>
  </r>
  <r>
    <x v="5"/>
    <x v="17"/>
    <x v="0"/>
    <x v="1"/>
    <x v="376"/>
    <x v="396"/>
  </r>
  <r>
    <x v="0"/>
    <x v="0"/>
    <x v="0"/>
    <x v="1"/>
    <x v="377"/>
    <x v="397"/>
  </r>
  <r>
    <x v="2"/>
    <x v="30"/>
    <x v="2"/>
    <x v="3"/>
    <x v="378"/>
    <x v="398"/>
  </r>
  <r>
    <x v="2"/>
    <x v="30"/>
    <x v="0"/>
    <x v="5"/>
    <x v="379"/>
    <x v="399"/>
  </r>
  <r>
    <x v="4"/>
    <x v="11"/>
    <x v="0"/>
    <x v="1"/>
    <x v="380"/>
    <x v="400"/>
  </r>
  <r>
    <x v="1"/>
    <x v="21"/>
    <x v="0"/>
    <x v="1"/>
    <x v="381"/>
    <x v="401"/>
  </r>
  <r>
    <x v="7"/>
    <x v="25"/>
    <x v="2"/>
    <x v="4"/>
    <x v="382"/>
    <x v="402"/>
  </r>
  <r>
    <x v="5"/>
    <x v="6"/>
    <x v="0"/>
    <x v="5"/>
    <x v="383"/>
    <x v="403"/>
  </r>
  <r>
    <x v="0"/>
    <x v="28"/>
    <x v="0"/>
    <x v="1"/>
    <x v="252"/>
    <x v="404"/>
  </r>
  <r>
    <x v="5"/>
    <x v="17"/>
    <x v="0"/>
    <x v="3"/>
    <x v="384"/>
    <x v="405"/>
  </r>
  <r>
    <x v="0"/>
    <x v="15"/>
    <x v="0"/>
    <x v="0"/>
    <x v="385"/>
    <x v="406"/>
  </r>
  <r>
    <x v="4"/>
    <x v="4"/>
    <x v="0"/>
    <x v="4"/>
    <x v="386"/>
    <x v="407"/>
  </r>
  <r>
    <x v="1"/>
    <x v="1"/>
    <x v="2"/>
    <x v="1"/>
    <x v="387"/>
    <x v="408"/>
  </r>
  <r>
    <x v="4"/>
    <x v="4"/>
    <x v="0"/>
    <x v="4"/>
    <x v="388"/>
    <x v="409"/>
  </r>
  <r>
    <x v="6"/>
    <x v="13"/>
    <x v="0"/>
    <x v="1"/>
    <x v="27"/>
    <x v="410"/>
  </r>
  <r>
    <x v="1"/>
    <x v="21"/>
    <x v="0"/>
    <x v="3"/>
    <x v="389"/>
    <x v="411"/>
  </r>
  <r>
    <x v="1"/>
    <x v="21"/>
    <x v="0"/>
    <x v="0"/>
    <x v="390"/>
    <x v="412"/>
  </r>
  <r>
    <x v="7"/>
    <x v="25"/>
    <x v="0"/>
    <x v="5"/>
    <x v="391"/>
    <x v="413"/>
  </r>
  <r>
    <x v="3"/>
    <x v="19"/>
    <x v="0"/>
    <x v="1"/>
    <x v="392"/>
    <x v="414"/>
  </r>
  <r>
    <x v="0"/>
    <x v="15"/>
    <x v="0"/>
    <x v="2"/>
    <x v="393"/>
    <x v="415"/>
  </r>
  <r>
    <x v="6"/>
    <x v="13"/>
    <x v="0"/>
    <x v="4"/>
    <x v="394"/>
    <x v="416"/>
  </r>
  <r>
    <x v="0"/>
    <x v="0"/>
    <x v="0"/>
    <x v="4"/>
    <x v="395"/>
    <x v="417"/>
  </r>
  <r>
    <x v="2"/>
    <x v="8"/>
    <x v="0"/>
    <x v="3"/>
    <x v="396"/>
    <x v="418"/>
  </r>
  <r>
    <x v="2"/>
    <x v="2"/>
    <x v="0"/>
    <x v="4"/>
    <x v="397"/>
    <x v="419"/>
  </r>
  <r>
    <x v="5"/>
    <x v="29"/>
    <x v="2"/>
    <x v="3"/>
    <x v="398"/>
    <x v="420"/>
  </r>
  <r>
    <x v="5"/>
    <x v="17"/>
    <x v="0"/>
    <x v="3"/>
    <x v="399"/>
    <x v="421"/>
  </r>
  <r>
    <x v="4"/>
    <x v="11"/>
    <x v="0"/>
    <x v="2"/>
    <x v="400"/>
    <x v="422"/>
  </r>
  <r>
    <x v="7"/>
    <x v="25"/>
    <x v="0"/>
    <x v="0"/>
    <x v="401"/>
    <x v="423"/>
  </r>
  <r>
    <x v="4"/>
    <x v="12"/>
    <x v="0"/>
    <x v="1"/>
    <x v="402"/>
    <x v="424"/>
  </r>
  <r>
    <x v="7"/>
    <x v="26"/>
    <x v="0"/>
    <x v="1"/>
    <x v="403"/>
    <x v="425"/>
  </r>
  <r>
    <x v="0"/>
    <x v="0"/>
    <x v="0"/>
    <x v="2"/>
    <x v="404"/>
    <x v="426"/>
  </r>
  <r>
    <x v="5"/>
    <x v="6"/>
    <x v="0"/>
    <x v="2"/>
    <x v="405"/>
    <x v="427"/>
  </r>
  <r>
    <x v="0"/>
    <x v="28"/>
    <x v="0"/>
    <x v="5"/>
    <x v="406"/>
    <x v="428"/>
  </r>
  <r>
    <x v="4"/>
    <x v="4"/>
    <x v="0"/>
    <x v="3"/>
    <x v="185"/>
    <x v="429"/>
  </r>
  <r>
    <x v="4"/>
    <x v="20"/>
    <x v="0"/>
    <x v="2"/>
    <x v="407"/>
    <x v="430"/>
  </r>
  <r>
    <x v="2"/>
    <x v="8"/>
    <x v="0"/>
    <x v="1"/>
    <x v="408"/>
    <x v="431"/>
  </r>
  <r>
    <x v="3"/>
    <x v="19"/>
    <x v="0"/>
    <x v="5"/>
    <x v="409"/>
    <x v="432"/>
  </r>
  <r>
    <x v="4"/>
    <x v="5"/>
    <x v="0"/>
    <x v="0"/>
    <x v="81"/>
    <x v="433"/>
  </r>
  <r>
    <x v="4"/>
    <x v="11"/>
    <x v="0"/>
    <x v="3"/>
    <x v="410"/>
    <x v="434"/>
  </r>
  <r>
    <x v="2"/>
    <x v="23"/>
    <x v="0"/>
    <x v="3"/>
    <x v="411"/>
    <x v="435"/>
  </r>
  <r>
    <x v="4"/>
    <x v="9"/>
    <x v="2"/>
    <x v="1"/>
    <x v="412"/>
    <x v="436"/>
  </r>
  <r>
    <x v="5"/>
    <x v="17"/>
    <x v="2"/>
    <x v="4"/>
    <x v="157"/>
    <x v="437"/>
  </r>
  <r>
    <x v="2"/>
    <x v="23"/>
    <x v="2"/>
    <x v="4"/>
    <x v="413"/>
    <x v="438"/>
  </r>
  <r>
    <x v="4"/>
    <x v="5"/>
    <x v="0"/>
    <x v="1"/>
    <x v="414"/>
    <x v="439"/>
  </r>
  <r>
    <x v="4"/>
    <x v="12"/>
    <x v="0"/>
    <x v="3"/>
    <x v="415"/>
    <x v="440"/>
  </r>
  <r>
    <x v="1"/>
    <x v="21"/>
    <x v="0"/>
    <x v="4"/>
    <x v="416"/>
    <x v="441"/>
  </r>
  <r>
    <x v="0"/>
    <x v="28"/>
    <x v="1"/>
    <x v="2"/>
    <x v="417"/>
    <x v="442"/>
  </r>
  <r>
    <x v="0"/>
    <x v="24"/>
    <x v="2"/>
    <x v="0"/>
    <x v="84"/>
    <x v="443"/>
  </r>
  <r>
    <x v="5"/>
    <x v="6"/>
    <x v="0"/>
    <x v="5"/>
    <x v="418"/>
    <x v="444"/>
  </r>
  <r>
    <x v="1"/>
    <x v="21"/>
    <x v="0"/>
    <x v="1"/>
    <x v="419"/>
    <x v="445"/>
  </r>
  <r>
    <x v="1"/>
    <x v="1"/>
    <x v="0"/>
    <x v="3"/>
    <x v="420"/>
    <x v="446"/>
  </r>
  <r>
    <x v="2"/>
    <x v="2"/>
    <x v="0"/>
    <x v="5"/>
    <x v="421"/>
    <x v="447"/>
  </r>
  <r>
    <x v="0"/>
    <x v="15"/>
    <x v="0"/>
    <x v="5"/>
    <x v="422"/>
    <x v="448"/>
  </r>
  <r>
    <x v="4"/>
    <x v="5"/>
    <x v="0"/>
    <x v="2"/>
    <x v="32"/>
    <x v="449"/>
  </r>
  <r>
    <x v="5"/>
    <x v="17"/>
    <x v="0"/>
    <x v="3"/>
    <x v="423"/>
    <x v="450"/>
  </r>
  <r>
    <x v="7"/>
    <x v="14"/>
    <x v="0"/>
    <x v="1"/>
    <x v="163"/>
    <x v="451"/>
  </r>
  <r>
    <x v="0"/>
    <x v="15"/>
    <x v="2"/>
    <x v="3"/>
    <x v="424"/>
    <x v="452"/>
  </r>
  <r>
    <x v="1"/>
    <x v="1"/>
    <x v="0"/>
    <x v="1"/>
    <x v="425"/>
    <x v="453"/>
  </r>
  <r>
    <x v="4"/>
    <x v="11"/>
    <x v="0"/>
    <x v="3"/>
    <x v="426"/>
    <x v="454"/>
  </r>
  <r>
    <x v="7"/>
    <x v="26"/>
    <x v="0"/>
    <x v="3"/>
    <x v="427"/>
    <x v="455"/>
  </r>
  <r>
    <x v="4"/>
    <x v="5"/>
    <x v="2"/>
    <x v="4"/>
    <x v="428"/>
    <x v="456"/>
  </r>
  <r>
    <x v="0"/>
    <x v="28"/>
    <x v="0"/>
    <x v="4"/>
    <x v="429"/>
    <x v="457"/>
  </r>
  <r>
    <x v="4"/>
    <x v="11"/>
    <x v="1"/>
    <x v="0"/>
    <x v="430"/>
    <x v="458"/>
  </r>
  <r>
    <x v="4"/>
    <x v="5"/>
    <x v="0"/>
    <x v="0"/>
    <x v="431"/>
    <x v="459"/>
  </r>
  <r>
    <x v="4"/>
    <x v="9"/>
    <x v="0"/>
    <x v="0"/>
    <x v="432"/>
    <x v="460"/>
  </r>
  <r>
    <x v="3"/>
    <x v="3"/>
    <x v="0"/>
    <x v="4"/>
    <x v="433"/>
    <x v="461"/>
  </r>
  <r>
    <x v="2"/>
    <x v="23"/>
    <x v="0"/>
    <x v="4"/>
    <x v="434"/>
    <x v="462"/>
  </r>
  <r>
    <x v="7"/>
    <x v="14"/>
    <x v="0"/>
    <x v="4"/>
    <x v="435"/>
    <x v="463"/>
  </r>
  <r>
    <x v="1"/>
    <x v="10"/>
    <x v="2"/>
    <x v="3"/>
    <x v="436"/>
    <x v="464"/>
  </r>
  <r>
    <x v="0"/>
    <x v="0"/>
    <x v="2"/>
    <x v="5"/>
    <x v="437"/>
    <x v="465"/>
  </r>
  <r>
    <x v="6"/>
    <x v="16"/>
    <x v="0"/>
    <x v="1"/>
    <x v="438"/>
    <x v="466"/>
  </r>
  <r>
    <x v="5"/>
    <x v="17"/>
    <x v="0"/>
    <x v="3"/>
    <x v="439"/>
    <x v="467"/>
  </r>
  <r>
    <x v="6"/>
    <x v="16"/>
    <x v="0"/>
    <x v="2"/>
    <x v="440"/>
    <x v="468"/>
  </r>
  <r>
    <x v="1"/>
    <x v="10"/>
    <x v="0"/>
    <x v="2"/>
    <x v="441"/>
    <x v="469"/>
  </r>
  <r>
    <x v="4"/>
    <x v="20"/>
    <x v="0"/>
    <x v="4"/>
    <x v="442"/>
    <x v="470"/>
  </r>
  <r>
    <x v="1"/>
    <x v="10"/>
    <x v="0"/>
    <x v="5"/>
    <x v="443"/>
    <x v="471"/>
  </r>
  <r>
    <x v="4"/>
    <x v="4"/>
    <x v="2"/>
    <x v="5"/>
    <x v="444"/>
    <x v="472"/>
  </r>
  <r>
    <x v="5"/>
    <x v="17"/>
    <x v="0"/>
    <x v="4"/>
    <x v="445"/>
    <x v="473"/>
  </r>
  <r>
    <x v="7"/>
    <x v="32"/>
    <x v="0"/>
    <x v="3"/>
    <x v="446"/>
    <x v="474"/>
  </r>
  <r>
    <x v="1"/>
    <x v="1"/>
    <x v="0"/>
    <x v="4"/>
    <x v="447"/>
    <x v="475"/>
  </r>
  <r>
    <x v="4"/>
    <x v="4"/>
    <x v="0"/>
    <x v="4"/>
    <x v="448"/>
    <x v="476"/>
  </r>
  <r>
    <x v="7"/>
    <x v="18"/>
    <x v="0"/>
    <x v="3"/>
    <x v="449"/>
    <x v="477"/>
  </r>
  <r>
    <x v="1"/>
    <x v="10"/>
    <x v="2"/>
    <x v="1"/>
    <x v="450"/>
    <x v="478"/>
  </r>
  <r>
    <x v="7"/>
    <x v="32"/>
    <x v="0"/>
    <x v="4"/>
    <x v="347"/>
    <x v="479"/>
  </r>
  <r>
    <x v="3"/>
    <x v="27"/>
    <x v="2"/>
    <x v="2"/>
    <x v="451"/>
    <x v="480"/>
  </r>
  <r>
    <x v="2"/>
    <x v="23"/>
    <x v="0"/>
    <x v="2"/>
    <x v="452"/>
    <x v="481"/>
  </r>
  <r>
    <x v="0"/>
    <x v="24"/>
    <x v="2"/>
    <x v="5"/>
    <x v="453"/>
    <x v="482"/>
  </r>
  <r>
    <x v="3"/>
    <x v="7"/>
    <x v="1"/>
    <x v="3"/>
    <x v="454"/>
    <x v="483"/>
  </r>
  <r>
    <x v="7"/>
    <x v="32"/>
    <x v="0"/>
    <x v="5"/>
    <x v="455"/>
    <x v="484"/>
  </r>
  <r>
    <x v="1"/>
    <x v="1"/>
    <x v="1"/>
    <x v="4"/>
    <x v="456"/>
    <x v="485"/>
  </r>
  <r>
    <x v="4"/>
    <x v="9"/>
    <x v="0"/>
    <x v="1"/>
    <x v="457"/>
    <x v="486"/>
  </r>
  <r>
    <x v="6"/>
    <x v="31"/>
    <x v="0"/>
    <x v="2"/>
    <x v="458"/>
    <x v="487"/>
  </r>
  <r>
    <x v="1"/>
    <x v="1"/>
    <x v="0"/>
    <x v="2"/>
    <x v="459"/>
    <x v="488"/>
  </r>
  <r>
    <x v="5"/>
    <x v="17"/>
    <x v="0"/>
    <x v="4"/>
    <x v="460"/>
    <x v="489"/>
  </r>
  <r>
    <x v="0"/>
    <x v="0"/>
    <x v="2"/>
    <x v="2"/>
    <x v="461"/>
    <x v="490"/>
  </r>
  <r>
    <x v="3"/>
    <x v="19"/>
    <x v="0"/>
    <x v="4"/>
    <x v="462"/>
    <x v="491"/>
  </r>
  <r>
    <x v="6"/>
    <x v="13"/>
    <x v="0"/>
    <x v="4"/>
    <x v="66"/>
    <x v="492"/>
  </r>
  <r>
    <x v="4"/>
    <x v="11"/>
    <x v="0"/>
    <x v="3"/>
    <x v="463"/>
    <x v="493"/>
  </r>
  <r>
    <x v="0"/>
    <x v="28"/>
    <x v="0"/>
    <x v="0"/>
    <x v="464"/>
    <x v="494"/>
  </r>
  <r>
    <x v="0"/>
    <x v="28"/>
    <x v="0"/>
    <x v="0"/>
    <x v="465"/>
    <x v="495"/>
  </r>
  <r>
    <x v="7"/>
    <x v="14"/>
    <x v="0"/>
    <x v="3"/>
    <x v="466"/>
    <x v="496"/>
  </r>
  <r>
    <x v="4"/>
    <x v="20"/>
    <x v="0"/>
    <x v="2"/>
    <x v="109"/>
    <x v="497"/>
  </r>
  <r>
    <x v="1"/>
    <x v="1"/>
    <x v="0"/>
    <x v="5"/>
    <x v="170"/>
    <x v="498"/>
  </r>
  <r>
    <x v="1"/>
    <x v="10"/>
    <x v="0"/>
    <x v="1"/>
    <x v="467"/>
    <x v="499"/>
  </r>
  <r>
    <x v="2"/>
    <x v="8"/>
    <x v="1"/>
    <x v="5"/>
    <x v="468"/>
    <x v="500"/>
  </r>
  <r>
    <x v="7"/>
    <x v="32"/>
    <x v="0"/>
    <x v="5"/>
    <x v="469"/>
    <x v="501"/>
  </r>
  <r>
    <x v="6"/>
    <x v="13"/>
    <x v="2"/>
    <x v="1"/>
    <x v="470"/>
    <x v="502"/>
  </r>
  <r>
    <x v="5"/>
    <x v="29"/>
    <x v="2"/>
    <x v="0"/>
    <x v="471"/>
    <x v="503"/>
  </r>
  <r>
    <x v="2"/>
    <x v="8"/>
    <x v="0"/>
    <x v="2"/>
    <x v="472"/>
    <x v="504"/>
  </r>
  <r>
    <x v="4"/>
    <x v="9"/>
    <x v="0"/>
    <x v="5"/>
    <x v="473"/>
    <x v="505"/>
  </r>
  <r>
    <x v="1"/>
    <x v="1"/>
    <x v="0"/>
    <x v="1"/>
    <x v="474"/>
    <x v="506"/>
  </r>
  <r>
    <x v="5"/>
    <x v="17"/>
    <x v="0"/>
    <x v="2"/>
    <x v="188"/>
    <x v="507"/>
  </r>
  <r>
    <x v="1"/>
    <x v="1"/>
    <x v="0"/>
    <x v="1"/>
    <x v="475"/>
    <x v="508"/>
  </r>
  <r>
    <x v="2"/>
    <x v="30"/>
    <x v="0"/>
    <x v="2"/>
    <x v="476"/>
    <x v="509"/>
  </r>
  <r>
    <x v="3"/>
    <x v="27"/>
    <x v="2"/>
    <x v="3"/>
    <x v="477"/>
    <x v="510"/>
  </r>
  <r>
    <x v="0"/>
    <x v="28"/>
    <x v="0"/>
    <x v="1"/>
    <x v="478"/>
    <x v="511"/>
  </r>
  <r>
    <x v="1"/>
    <x v="10"/>
    <x v="0"/>
    <x v="0"/>
    <x v="479"/>
    <x v="512"/>
  </r>
  <r>
    <x v="5"/>
    <x v="29"/>
    <x v="0"/>
    <x v="5"/>
    <x v="480"/>
    <x v="513"/>
  </r>
  <r>
    <x v="4"/>
    <x v="11"/>
    <x v="0"/>
    <x v="1"/>
    <x v="481"/>
    <x v="514"/>
  </r>
  <r>
    <x v="4"/>
    <x v="11"/>
    <x v="0"/>
    <x v="0"/>
    <x v="482"/>
    <x v="515"/>
  </r>
  <r>
    <x v="0"/>
    <x v="28"/>
    <x v="2"/>
    <x v="0"/>
    <x v="350"/>
    <x v="516"/>
  </r>
  <r>
    <x v="5"/>
    <x v="6"/>
    <x v="0"/>
    <x v="5"/>
    <x v="483"/>
    <x v="517"/>
  </r>
  <r>
    <x v="1"/>
    <x v="21"/>
    <x v="0"/>
    <x v="3"/>
    <x v="484"/>
    <x v="518"/>
  </r>
  <r>
    <x v="4"/>
    <x v="12"/>
    <x v="0"/>
    <x v="0"/>
    <x v="485"/>
    <x v="519"/>
  </r>
  <r>
    <x v="3"/>
    <x v="7"/>
    <x v="0"/>
    <x v="4"/>
    <x v="486"/>
    <x v="520"/>
  </r>
  <r>
    <x v="0"/>
    <x v="15"/>
    <x v="2"/>
    <x v="1"/>
    <x v="487"/>
    <x v="521"/>
  </r>
  <r>
    <x v="1"/>
    <x v="21"/>
    <x v="1"/>
    <x v="1"/>
    <x v="488"/>
    <x v="522"/>
  </r>
  <r>
    <x v="5"/>
    <x v="29"/>
    <x v="0"/>
    <x v="0"/>
    <x v="489"/>
    <x v="523"/>
  </r>
  <r>
    <x v="5"/>
    <x v="17"/>
    <x v="0"/>
    <x v="3"/>
    <x v="249"/>
    <x v="524"/>
  </r>
  <r>
    <x v="0"/>
    <x v="0"/>
    <x v="0"/>
    <x v="2"/>
    <x v="490"/>
    <x v="525"/>
  </r>
  <r>
    <x v="0"/>
    <x v="0"/>
    <x v="0"/>
    <x v="1"/>
    <x v="491"/>
    <x v="526"/>
  </r>
  <r>
    <x v="6"/>
    <x v="22"/>
    <x v="0"/>
    <x v="2"/>
    <x v="492"/>
    <x v="527"/>
  </r>
  <r>
    <x v="4"/>
    <x v="4"/>
    <x v="0"/>
    <x v="1"/>
    <x v="92"/>
    <x v="528"/>
  </r>
  <r>
    <x v="5"/>
    <x v="17"/>
    <x v="0"/>
    <x v="5"/>
    <x v="493"/>
    <x v="529"/>
  </r>
  <r>
    <x v="5"/>
    <x v="29"/>
    <x v="2"/>
    <x v="1"/>
    <x v="38"/>
    <x v="530"/>
  </r>
  <r>
    <x v="1"/>
    <x v="1"/>
    <x v="0"/>
    <x v="4"/>
    <x v="36"/>
    <x v="531"/>
  </r>
  <r>
    <x v="1"/>
    <x v="10"/>
    <x v="0"/>
    <x v="1"/>
    <x v="494"/>
    <x v="532"/>
  </r>
  <r>
    <x v="7"/>
    <x v="32"/>
    <x v="0"/>
    <x v="1"/>
    <x v="171"/>
    <x v="533"/>
  </r>
  <r>
    <x v="2"/>
    <x v="8"/>
    <x v="0"/>
    <x v="3"/>
    <x v="220"/>
    <x v="534"/>
  </r>
  <r>
    <x v="1"/>
    <x v="21"/>
    <x v="2"/>
    <x v="2"/>
    <x v="495"/>
    <x v="535"/>
  </r>
  <r>
    <x v="5"/>
    <x v="29"/>
    <x v="2"/>
    <x v="2"/>
    <x v="163"/>
    <x v="536"/>
  </r>
  <r>
    <x v="6"/>
    <x v="31"/>
    <x v="0"/>
    <x v="4"/>
    <x v="496"/>
    <x v="537"/>
  </r>
  <r>
    <x v="0"/>
    <x v="0"/>
    <x v="0"/>
    <x v="4"/>
    <x v="497"/>
    <x v="538"/>
  </r>
  <r>
    <x v="4"/>
    <x v="20"/>
    <x v="0"/>
    <x v="2"/>
    <x v="498"/>
    <x v="539"/>
  </r>
  <r>
    <x v="1"/>
    <x v="1"/>
    <x v="2"/>
    <x v="1"/>
    <x v="444"/>
    <x v="540"/>
  </r>
  <r>
    <x v="3"/>
    <x v="7"/>
    <x v="0"/>
    <x v="0"/>
    <x v="499"/>
    <x v="541"/>
  </r>
  <r>
    <x v="6"/>
    <x v="22"/>
    <x v="0"/>
    <x v="5"/>
    <x v="500"/>
    <x v="542"/>
  </r>
  <r>
    <x v="2"/>
    <x v="23"/>
    <x v="0"/>
    <x v="5"/>
    <x v="501"/>
    <x v="543"/>
  </r>
  <r>
    <x v="3"/>
    <x v="27"/>
    <x v="0"/>
    <x v="2"/>
    <x v="77"/>
    <x v="544"/>
  </r>
  <r>
    <x v="0"/>
    <x v="24"/>
    <x v="0"/>
    <x v="2"/>
    <x v="502"/>
    <x v="545"/>
  </r>
  <r>
    <x v="4"/>
    <x v="4"/>
    <x v="0"/>
    <x v="3"/>
    <x v="503"/>
    <x v="546"/>
  </r>
  <r>
    <x v="2"/>
    <x v="8"/>
    <x v="0"/>
    <x v="5"/>
    <x v="222"/>
    <x v="547"/>
  </r>
  <r>
    <x v="7"/>
    <x v="25"/>
    <x v="0"/>
    <x v="0"/>
    <x v="218"/>
    <x v="548"/>
  </r>
  <r>
    <x v="5"/>
    <x v="17"/>
    <x v="0"/>
    <x v="1"/>
    <x v="504"/>
    <x v="549"/>
  </r>
  <r>
    <x v="7"/>
    <x v="26"/>
    <x v="0"/>
    <x v="1"/>
    <x v="505"/>
    <x v="550"/>
  </r>
  <r>
    <x v="5"/>
    <x v="17"/>
    <x v="0"/>
    <x v="5"/>
    <x v="506"/>
    <x v="551"/>
  </r>
  <r>
    <x v="7"/>
    <x v="18"/>
    <x v="0"/>
    <x v="3"/>
    <x v="507"/>
    <x v="552"/>
  </r>
  <r>
    <x v="7"/>
    <x v="26"/>
    <x v="0"/>
    <x v="4"/>
    <x v="508"/>
    <x v="553"/>
  </r>
  <r>
    <x v="5"/>
    <x v="29"/>
    <x v="0"/>
    <x v="5"/>
    <x v="509"/>
    <x v="554"/>
  </r>
  <r>
    <x v="0"/>
    <x v="0"/>
    <x v="0"/>
    <x v="2"/>
    <x v="510"/>
    <x v="555"/>
  </r>
  <r>
    <x v="4"/>
    <x v="20"/>
    <x v="1"/>
    <x v="2"/>
    <x v="511"/>
    <x v="556"/>
  </r>
  <r>
    <x v="4"/>
    <x v="9"/>
    <x v="0"/>
    <x v="2"/>
    <x v="512"/>
    <x v="557"/>
  </r>
  <r>
    <x v="2"/>
    <x v="2"/>
    <x v="0"/>
    <x v="2"/>
    <x v="513"/>
    <x v="558"/>
  </r>
  <r>
    <x v="3"/>
    <x v="27"/>
    <x v="0"/>
    <x v="5"/>
    <x v="514"/>
    <x v="559"/>
  </r>
  <r>
    <x v="2"/>
    <x v="8"/>
    <x v="0"/>
    <x v="3"/>
    <x v="515"/>
    <x v="560"/>
  </r>
  <r>
    <x v="4"/>
    <x v="9"/>
    <x v="2"/>
    <x v="4"/>
    <x v="516"/>
    <x v="561"/>
  </r>
  <r>
    <x v="4"/>
    <x v="4"/>
    <x v="0"/>
    <x v="3"/>
    <x v="517"/>
    <x v="562"/>
  </r>
  <r>
    <x v="4"/>
    <x v="9"/>
    <x v="0"/>
    <x v="5"/>
    <x v="518"/>
    <x v="563"/>
  </r>
  <r>
    <x v="0"/>
    <x v="15"/>
    <x v="0"/>
    <x v="0"/>
    <x v="519"/>
    <x v="564"/>
  </r>
  <r>
    <x v="7"/>
    <x v="32"/>
    <x v="0"/>
    <x v="3"/>
    <x v="520"/>
    <x v="565"/>
  </r>
  <r>
    <x v="0"/>
    <x v="28"/>
    <x v="0"/>
    <x v="1"/>
    <x v="521"/>
    <x v="566"/>
  </r>
  <r>
    <x v="0"/>
    <x v="0"/>
    <x v="0"/>
    <x v="4"/>
    <x v="497"/>
    <x v="567"/>
  </r>
  <r>
    <x v="1"/>
    <x v="1"/>
    <x v="0"/>
    <x v="4"/>
    <x v="410"/>
    <x v="568"/>
  </r>
  <r>
    <x v="0"/>
    <x v="24"/>
    <x v="0"/>
    <x v="0"/>
    <x v="259"/>
    <x v="569"/>
  </r>
  <r>
    <x v="7"/>
    <x v="14"/>
    <x v="0"/>
    <x v="1"/>
    <x v="522"/>
    <x v="570"/>
  </r>
  <r>
    <x v="5"/>
    <x v="29"/>
    <x v="0"/>
    <x v="1"/>
    <x v="506"/>
    <x v="571"/>
  </r>
  <r>
    <x v="0"/>
    <x v="28"/>
    <x v="0"/>
    <x v="3"/>
    <x v="335"/>
    <x v="572"/>
  </r>
  <r>
    <x v="3"/>
    <x v="27"/>
    <x v="1"/>
    <x v="0"/>
    <x v="523"/>
    <x v="573"/>
  </r>
  <r>
    <x v="5"/>
    <x v="29"/>
    <x v="0"/>
    <x v="4"/>
    <x v="119"/>
    <x v="574"/>
  </r>
  <r>
    <x v="1"/>
    <x v="21"/>
    <x v="0"/>
    <x v="4"/>
    <x v="524"/>
    <x v="575"/>
  </r>
  <r>
    <x v="4"/>
    <x v="11"/>
    <x v="2"/>
    <x v="2"/>
    <x v="525"/>
    <x v="576"/>
  </r>
  <r>
    <x v="1"/>
    <x v="1"/>
    <x v="0"/>
    <x v="0"/>
    <x v="526"/>
    <x v="577"/>
  </r>
  <r>
    <x v="7"/>
    <x v="14"/>
    <x v="2"/>
    <x v="3"/>
    <x v="527"/>
    <x v="578"/>
  </r>
  <r>
    <x v="6"/>
    <x v="22"/>
    <x v="0"/>
    <x v="1"/>
    <x v="528"/>
    <x v="579"/>
  </r>
  <r>
    <x v="0"/>
    <x v="0"/>
    <x v="0"/>
    <x v="3"/>
    <x v="529"/>
    <x v="580"/>
  </r>
  <r>
    <x v="1"/>
    <x v="1"/>
    <x v="0"/>
    <x v="1"/>
    <x v="530"/>
    <x v="581"/>
  </r>
  <r>
    <x v="7"/>
    <x v="14"/>
    <x v="0"/>
    <x v="2"/>
    <x v="391"/>
    <x v="582"/>
  </r>
  <r>
    <x v="0"/>
    <x v="24"/>
    <x v="0"/>
    <x v="0"/>
    <x v="531"/>
    <x v="583"/>
  </r>
  <r>
    <x v="3"/>
    <x v="27"/>
    <x v="0"/>
    <x v="4"/>
    <x v="532"/>
    <x v="584"/>
  </r>
  <r>
    <x v="6"/>
    <x v="13"/>
    <x v="0"/>
    <x v="2"/>
    <x v="177"/>
    <x v="585"/>
  </r>
  <r>
    <x v="4"/>
    <x v="5"/>
    <x v="0"/>
    <x v="5"/>
    <x v="533"/>
    <x v="586"/>
  </r>
  <r>
    <x v="4"/>
    <x v="9"/>
    <x v="0"/>
    <x v="4"/>
    <x v="534"/>
    <x v="587"/>
  </r>
  <r>
    <x v="4"/>
    <x v="9"/>
    <x v="0"/>
    <x v="4"/>
    <x v="172"/>
    <x v="588"/>
  </r>
  <r>
    <x v="4"/>
    <x v="5"/>
    <x v="0"/>
    <x v="0"/>
    <x v="535"/>
    <x v="589"/>
  </r>
  <r>
    <x v="4"/>
    <x v="5"/>
    <x v="2"/>
    <x v="0"/>
    <x v="536"/>
    <x v="590"/>
  </r>
  <r>
    <x v="3"/>
    <x v="27"/>
    <x v="0"/>
    <x v="0"/>
    <x v="537"/>
    <x v="591"/>
  </r>
  <r>
    <x v="4"/>
    <x v="11"/>
    <x v="0"/>
    <x v="1"/>
    <x v="538"/>
    <x v="592"/>
  </r>
  <r>
    <x v="0"/>
    <x v="0"/>
    <x v="0"/>
    <x v="0"/>
    <x v="539"/>
    <x v="593"/>
  </r>
  <r>
    <x v="5"/>
    <x v="6"/>
    <x v="0"/>
    <x v="5"/>
    <x v="540"/>
    <x v="594"/>
  </r>
  <r>
    <x v="7"/>
    <x v="14"/>
    <x v="2"/>
    <x v="3"/>
    <x v="541"/>
    <x v="595"/>
  </r>
  <r>
    <x v="3"/>
    <x v="7"/>
    <x v="2"/>
    <x v="4"/>
    <x v="542"/>
    <x v="596"/>
  </r>
  <r>
    <x v="4"/>
    <x v="11"/>
    <x v="0"/>
    <x v="5"/>
    <x v="543"/>
    <x v="597"/>
  </r>
  <r>
    <x v="4"/>
    <x v="11"/>
    <x v="0"/>
    <x v="3"/>
    <x v="544"/>
    <x v="598"/>
  </r>
  <r>
    <x v="4"/>
    <x v="4"/>
    <x v="0"/>
    <x v="1"/>
    <x v="387"/>
    <x v="599"/>
  </r>
  <r>
    <x v="4"/>
    <x v="11"/>
    <x v="2"/>
    <x v="1"/>
    <x v="545"/>
    <x v="600"/>
  </r>
  <r>
    <x v="6"/>
    <x v="22"/>
    <x v="2"/>
    <x v="3"/>
    <x v="546"/>
    <x v="601"/>
  </r>
  <r>
    <x v="4"/>
    <x v="9"/>
    <x v="0"/>
    <x v="4"/>
    <x v="547"/>
    <x v="602"/>
  </r>
  <r>
    <x v="4"/>
    <x v="9"/>
    <x v="0"/>
    <x v="0"/>
    <x v="548"/>
    <x v="603"/>
  </r>
  <r>
    <x v="4"/>
    <x v="11"/>
    <x v="2"/>
    <x v="1"/>
    <x v="549"/>
    <x v="604"/>
  </r>
  <r>
    <x v="0"/>
    <x v="24"/>
    <x v="0"/>
    <x v="4"/>
    <x v="550"/>
    <x v="605"/>
  </r>
  <r>
    <x v="4"/>
    <x v="11"/>
    <x v="1"/>
    <x v="2"/>
    <x v="551"/>
    <x v="606"/>
  </r>
  <r>
    <x v="0"/>
    <x v="28"/>
    <x v="0"/>
    <x v="1"/>
    <x v="520"/>
    <x v="607"/>
  </r>
  <r>
    <x v="7"/>
    <x v="25"/>
    <x v="0"/>
    <x v="0"/>
    <x v="359"/>
    <x v="608"/>
  </r>
  <r>
    <x v="2"/>
    <x v="8"/>
    <x v="0"/>
    <x v="4"/>
    <x v="552"/>
    <x v="609"/>
  </r>
  <r>
    <x v="4"/>
    <x v="4"/>
    <x v="0"/>
    <x v="0"/>
    <x v="469"/>
    <x v="610"/>
  </r>
  <r>
    <x v="5"/>
    <x v="17"/>
    <x v="0"/>
    <x v="5"/>
    <x v="553"/>
    <x v="611"/>
  </r>
  <r>
    <x v="3"/>
    <x v="19"/>
    <x v="0"/>
    <x v="5"/>
    <x v="554"/>
    <x v="612"/>
  </r>
  <r>
    <x v="4"/>
    <x v="9"/>
    <x v="0"/>
    <x v="3"/>
    <x v="409"/>
    <x v="613"/>
  </r>
  <r>
    <x v="5"/>
    <x v="29"/>
    <x v="2"/>
    <x v="3"/>
    <x v="555"/>
    <x v="614"/>
  </r>
  <r>
    <x v="1"/>
    <x v="1"/>
    <x v="0"/>
    <x v="2"/>
    <x v="556"/>
    <x v="615"/>
  </r>
  <r>
    <x v="4"/>
    <x v="12"/>
    <x v="2"/>
    <x v="5"/>
    <x v="557"/>
    <x v="616"/>
  </r>
  <r>
    <x v="6"/>
    <x v="31"/>
    <x v="0"/>
    <x v="4"/>
    <x v="558"/>
    <x v="617"/>
  </r>
  <r>
    <x v="5"/>
    <x v="17"/>
    <x v="0"/>
    <x v="1"/>
    <x v="559"/>
    <x v="618"/>
  </r>
  <r>
    <x v="2"/>
    <x v="30"/>
    <x v="0"/>
    <x v="5"/>
    <x v="560"/>
    <x v="619"/>
  </r>
  <r>
    <x v="4"/>
    <x v="20"/>
    <x v="1"/>
    <x v="2"/>
    <x v="561"/>
    <x v="620"/>
  </r>
  <r>
    <x v="4"/>
    <x v="11"/>
    <x v="0"/>
    <x v="3"/>
    <x v="562"/>
    <x v="621"/>
  </r>
  <r>
    <x v="0"/>
    <x v="24"/>
    <x v="0"/>
    <x v="1"/>
    <x v="563"/>
    <x v="622"/>
  </r>
  <r>
    <x v="7"/>
    <x v="26"/>
    <x v="1"/>
    <x v="0"/>
    <x v="564"/>
    <x v="623"/>
  </r>
  <r>
    <x v="3"/>
    <x v="7"/>
    <x v="0"/>
    <x v="0"/>
    <x v="565"/>
    <x v="624"/>
  </r>
  <r>
    <x v="0"/>
    <x v="28"/>
    <x v="0"/>
    <x v="4"/>
    <x v="566"/>
    <x v="625"/>
  </r>
  <r>
    <x v="0"/>
    <x v="0"/>
    <x v="2"/>
    <x v="2"/>
    <x v="567"/>
    <x v="626"/>
  </r>
  <r>
    <x v="2"/>
    <x v="8"/>
    <x v="0"/>
    <x v="3"/>
    <x v="568"/>
    <x v="627"/>
  </r>
  <r>
    <x v="4"/>
    <x v="11"/>
    <x v="0"/>
    <x v="5"/>
    <x v="569"/>
    <x v="628"/>
  </r>
  <r>
    <x v="6"/>
    <x v="22"/>
    <x v="2"/>
    <x v="1"/>
    <x v="570"/>
    <x v="629"/>
  </r>
  <r>
    <x v="2"/>
    <x v="30"/>
    <x v="0"/>
    <x v="1"/>
    <x v="571"/>
    <x v="630"/>
  </r>
  <r>
    <x v="5"/>
    <x v="29"/>
    <x v="0"/>
    <x v="5"/>
    <x v="572"/>
    <x v="631"/>
  </r>
  <r>
    <x v="7"/>
    <x v="14"/>
    <x v="0"/>
    <x v="0"/>
    <x v="573"/>
    <x v="632"/>
  </r>
  <r>
    <x v="7"/>
    <x v="18"/>
    <x v="0"/>
    <x v="4"/>
    <x v="574"/>
    <x v="633"/>
  </r>
  <r>
    <x v="4"/>
    <x v="12"/>
    <x v="1"/>
    <x v="2"/>
    <x v="575"/>
    <x v="634"/>
  </r>
  <r>
    <x v="0"/>
    <x v="0"/>
    <x v="0"/>
    <x v="3"/>
    <x v="576"/>
    <x v="635"/>
  </r>
  <r>
    <x v="7"/>
    <x v="32"/>
    <x v="0"/>
    <x v="0"/>
    <x v="577"/>
    <x v="636"/>
  </r>
  <r>
    <x v="6"/>
    <x v="13"/>
    <x v="2"/>
    <x v="0"/>
    <x v="578"/>
    <x v="637"/>
  </r>
  <r>
    <x v="6"/>
    <x v="16"/>
    <x v="0"/>
    <x v="3"/>
    <x v="579"/>
    <x v="638"/>
  </r>
  <r>
    <x v="0"/>
    <x v="15"/>
    <x v="0"/>
    <x v="1"/>
    <x v="541"/>
    <x v="639"/>
  </r>
  <r>
    <x v="4"/>
    <x v="20"/>
    <x v="0"/>
    <x v="5"/>
    <x v="580"/>
    <x v="640"/>
  </r>
  <r>
    <x v="0"/>
    <x v="15"/>
    <x v="0"/>
    <x v="5"/>
    <x v="581"/>
    <x v="641"/>
  </r>
  <r>
    <x v="4"/>
    <x v="20"/>
    <x v="0"/>
    <x v="3"/>
    <x v="582"/>
    <x v="642"/>
  </r>
  <r>
    <x v="0"/>
    <x v="28"/>
    <x v="0"/>
    <x v="4"/>
    <x v="583"/>
    <x v="643"/>
  </r>
  <r>
    <x v="4"/>
    <x v="11"/>
    <x v="0"/>
    <x v="0"/>
    <x v="584"/>
    <x v="644"/>
  </r>
  <r>
    <x v="5"/>
    <x v="6"/>
    <x v="0"/>
    <x v="4"/>
    <x v="78"/>
    <x v="645"/>
  </r>
  <r>
    <x v="3"/>
    <x v="7"/>
    <x v="0"/>
    <x v="1"/>
    <x v="585"/>
    <x v="646"/>
  </r>
  <r>
    <x v="2"/>
    <x v="2"/>
    <x v="0"/>
    <x v="5"/>
    <x v="586"/>
    <x v="647"/>
  </r>
  <r>
    <x v="5"/>
    <x v="6"/>
    <x v="0"/>
    <x v="2"/>
    <x v="587"/>
    <x v="648"/>
  </r>
  <r>
    <x v="7"/>
    <x v="18"/>
    <x v="0"/>
    <x v="2"/>
    <x v="14"/>
    <x v="649"/>
  </r>
  <r>
    <x v="4"/>
    <x v="11"/>
    <x v="0"/>
    <x v="2"/>
    <x v="588"/>
    <x v="650"/>
  </r>
  <r>
    <x v="7"/>
    <x v="32"/>
    <x v="0"/>
    <x v="4"/>
    <x v="563"/>
    <x v="651"/>
  </r>
  <r>
    <x v="7"/>
    <x v="32"/>
    <x v="0"/>
    <x v="2"/>
    <x v="589"/>
    <x v="652"/>
  </r>
  <r>
    <x v="2"/>
    <x v="8"/>
    <x v="0"/>
    <x v="0"/>
    <x v="361"/>
    <x v="653"/>
  </r>
  <r>
    <x v="0"/>
    <x v="0"/>
    <x v="0"/>
    <x v="0"/>
    <x v="590"/>
    <x v="654"/>
  </r>
  <r>
    <x v="4"/>
    <x v="12"/>
    <x v="0"/>
    <x v="2"/>
    <x v="591"/>
    <x v="655"/>
  </r>
  <r>
    <x v="6"/>
    <x v="22"/>
    <x v="0"/>
    <x v="3"/>
    <x v="592"/>
    <x v="656"/>
  </r>
  <r>
    <x v="0"/>
    <x v="24"/>
    <x v="0"/>
    <x v="5"/>
    <x v="593"/>
    <x v="657"/>
  </r>
  <r>
    <x v="3"/>
    <x v="19"/>
    <x v="0"/>
    <x v="5"/>
    <x v="594"/>
    <x v="658"/>
  </r>
  <r>
    <x v="7"/>
    <x v="32"/>
    <x v="0"/>
    <x v="1"/>
    <x v="595"/>
    <x v="659"/>
  </r>
  <r>
    <x v="0"/>
    <x v="28"/>
    <x v="0"/>
    <x v="2"/>
    <x v="596"/>
    <x v="660"/>
  </r>
  <r>
    <x v="1"/>
    <x v="1"/>
    <x v="0"/>
    <x v="5"/>
    <x v="597"/>
    <x v="661"/>
  </r>
  <r>
    <x v="3"/>
    <x v="27"/>
    <x v="0"/>
    <x v="5"/>
    <x v="256"/>
    <x v="662"/>
  </r>
  <r>
    <x v="6"/>
    <x v="22"/>
    <x v="0"/>
    <x v="4"/>
    <x v="598"/>
    <x v="663"/>
  </r>
  <r>
    <x v="4"/>
    <x v="12"/>
    <x v="0"/>
    <x v="3"/>
    <x v="599"/>
    <x v="664"/>
  </r>
  <r>
    <x v="4"/>
    <x v="4"/>
    <x v="0"/>
    <x v="3"/>
    <x v="600"/>
    <x v="665"/>
  </r>
  <r>
    <x v="6"/>
    <x v="13"/>
    <x v="0"/>
    <x v="1"/>
    <x v="601"/>
    <x v="666"/>
  </r>
  <r>
    <x v="4"/>
    <x v="12"/>
    <x v="0"/>
    <x v="5"/>
    <x v="602"/>
    <x v="667"/>
  </r>
  <r>
    <x v="4"/>
    <x v="11"/>
    <x v="0"/>
    <x v="1"/>
    <x v="603"/>
    <x v="668"/>
  </r>
  <r>
    <x v="6"/>
    <x v="16"/>
    <x v="0"/>
    <x v="4"/>
    <x v="604"/>
    <x v="669"/>
  </r>
  <r>
    <x v="4"/>
    <x v="9"/>
    <x v="2"/>
    <x v="0"/>
    <x v="605"/>
    <x v="670"/>
  </r>
  <r>
    <x v="5"/>
    <x v="6"/>
    <x v="2"/>
    <x v="1"/>
    <x v="606"/>
    <x v="671"/>
  </r>
  <r>
    <x v="4"/>
    <x v="4"/>
    <x v="1"/>
    <x v="4"/>
    <x v="607"/>
    <x v="672"/>
  </r>
  <r>
    <x v="7"/>
    <x v="18"/>
    <x v="0"/>
    <x v="3"/>
    <x v="608"/>
    <x v="673"/>
  </r>
  <r>
    <x v="0"/>
    <x v="28"/>
    <x v="0"/>
    <x v="0"/>
    <x v="510"/>
    <x v="674"/>
  </r>
  <r>
    <x v="1"/>
    <x v="21"/>
    <x v="0"/>
    <x v="1"/>
    <x v="609"/>
    <x v="675"/>
  </r>
  <r>
    <x v="4"/>
    <x v="11"/>
    <x v="0"/>
    <x v="0"/>
    <x v="413"/>
    <x v="676"/>
  </r>
  <r>
    <x v="0"/>
    <x v="24"/>
    <x v="0"/>
    <x v="0"/>
    <x v="30"/>
    <x v="677"/>
  </r>
  <r>
    <x v="1"/>
    <x v="21"/>
    <x v="0"/>
    <x v="5"/>
    <x v="610"/>
    <x v="678"/>
  </r>
  <r>
    <x v="5"/>
    <x v="17"/>
    <x v="0"/>
    <x v="5"/>
    <x v="611"/>
    <x v="679"/>
  </r>
  <r>
    <x v="5"/>
    <x v="29"/>
    <x v="0"/>
    <x v="0"/>
    <x v="612"/>
    <x v="680"/>
  </r>
  <r>
    <x v="6"/>
    <x v="16"/>
    <x v="0"/>
    <x v="0"/>
    <x v="613"/>
    <x v="681"/>
  </r>
  <r>
    <x v="4"/>
    <x v="5"/>
    <x v="0"/>
    <x v="5"/>
    <x v="614"/>
    <x v="682"/>
  </r>
  <r>
    <x v="3"/>
    <x v="27"/>
    <x v="0"/>
    <x v="1"/>
    <x v="615"/>
    <x v="683"/>
  </r>
  <r>
    <x v="1"/>
    <x v="21"/>
    <x v="0"/>
    <x v="4"/>
    <x v="551"/>
    <x v="684"/>
  </r>
  <r>
    <x v="7"/>
    <x v="26"/>
    <x v="0"/>
    <x v="2"/>
    <x v="616"/>
    <x v="685"/>
  </r>
  <r>
    <x v="7"/>
    <x v="26"/>
    <x v="0"/>
    <x v="2"/>
    <x v="617"/>
    <x v="686"/>
  </r>
  <r>
    <x v="6"/>
    <x v="22"/>
    <x v="0"/>
    <x v="3"/>
    <x v="618"/>
    <x v="687"/>
  </r>
  <r>
    <x v="2"/>
    <x v="30"/>
    <x v="0"/>
    <x v="0"/>
    <x v="619"/>
    <x v="688"/>
  </r>
  <r>
    <x v="4"/>
    <x v="5"/>
    <x v="0"/>
    <x v="5"/>
    <x v="620"/>
    <x v="689"/>
  </r>
  <r>
    <x v="0"/>
    <x v="0"/>
    <x v="0"/>
    <x v="4"/>
    <x v="370"/>
    <x v="690"/>
  </r>
  <r>
    <x v="0"/>
    <x v="24"/>
    <x v="2"/>
    <x v="0"/>
    <x v="621"/>
    <x v="691"/>
  </r>
  <r>
    <x v="7"/>
    <x v="32"/>
    <x v="0"/>
    <x v="4"/>
    <x v="520"/>
    <x v="692"/>
  </r>
  <r>
    <x v="6"/>
    <x v="13"/>
    <x v="0"/>
    <x v="5"/>
    <x v="622"/>
    <x v="693"/>
  </r>
  <r>
    <x v="4"/>
    <x v="9"/>
    <x v="0"/>
    <x v="0"/>
    <x v="623"/>
    <x v="694"/>
  </r>
  <r>
    <x v="3"/>
    <x v="7"/>
    <x v="0"/>
    <x v="1"/>
    <x v="86"/>
    <x v="695"/>
  </r>
  <r>
    <x v="6"/>
    <x v="13"/>
    <x v="0"/>
    <x v="0"/>
    <x v="624"/>
    <x v="696"/>
  </r>
  <r>
    <x v="7"/>
    <x v="25"/>
    <x v="0"/>
    <x v="5"/>
    <x v="625"/>
    <x v="697"/>
  </r>
  <r>
    <x v="4"/>
    <x v="12"/>
    <x v="2"/>
    <x v="1"/>
    <x v="626"/>
    <x v="698"/>
  </r>
  <r>
    <x v="7"/>
    <x v="14"/>
    <x v="1"/>
    <x v="1"/>
    <x v="627"/>
    <x v="699"/>
  </r>
  <r>
    <x v="7"/>
    <x v="26"/>
    <x v="0"/>
    <x v="1"/>
    <x v="360"/>
    <x v="700"/>
  </r>
  <r>
    <x v="4"/>
    <x v="9"/>
    <x v="0"/>
    <x v="4"/>
    <x v="628"/>
    <x v="701"/>
  </r>
  <r>
    <x v="0"/>
    <x v="24"/>
    <x v="2"/>
    <x v="3"/>
    <x v="629"/>
    <x v="702"/>
  </r>
  <r>
    <x v="4"/>
    <x v="20"/>
    <x v="0"/>
    <x v="3"/>
    <x v="630"/>
    <x v="703"/>
  </r>
  <r>
    <x v="4"/>
    <x v="9"/>
    <x v="0"/>
    <x v="4"/>
    <x v="631"/>
    <x v="704"/>
  </r>
  <r>
    <x v="1"/>
    <x v="21"/>
    <x v="1"/>
    <x v="0"/>
    <x v="632"/>
    <x v="705"/>
  </r>
  <r>
    <x v="0"/>
    <x v="28"/>
    <x v="1"/>
    <x v="0"/>
    <x v="633"/>
    <x v="706"/>
  </r>
  <r>
    <x v="5"/>
    <x v="29"/>
    <x v="0"/>
    <x v="4"/>
    <x v="239"/>
    <x v="707"/>
  </r>
  <r>
    <x v="6"/>
    <x v="31"/>
    <x v="0"/>
    <x v="0"/>
    <x v="634"/>
    <x v="708"/>
  </r>
  <r>
    <x v="2"/>
    <x v="30"/>
    <x v="0"/>
    <x v="2"/>
    <x v="635"/>
    <x v="709"/>
  </r>
  <r>
    <x v="2"/>
    <x v="23"/>
    <x v="0"/>
    <x v="3"/>
    <x v="636"/>
    <x v="710"/>
  </r>
  <r>
    <x v="3"/>
    <x v="7"/>
    <x v="0"/>
    <x v="2"/>
    <x v="637"/>
    <x v="711"/>
  </r>
  <r>
    <x v="7"/>
    <x v="18"/>
    <x v="0"/>
    <x v="0"/>
    <x v="638"/>
    <x v="712"/>
  </r>
  <r>
    <x v="0"/>
    <x v="24"/>
    <x v="0"/>
    <x v="4"/>
    <x v="272"/>
    <x v="713"/>
  </r>
  <r>
    <x v="0"/>
    <x v="0"/>
    <x v="0"/>
    <x v="0"/>
    <x v="639"/>
    <x v="714"/>
  </r>
  <r>
    <x v="1"/>
    <x v="10"/>
    <x v="0"/>
    <x v="4"/>
    <x v="640"/>
    <x v="715"/>
  </r>
  <r>
    <x v="5"/>
    <x v="29"/>
    <x v="0"/>
    <x v="4"/>
    <x v="641"/>
    <x v="716"/>
  </r>
  <r>
    <x v="1"/>
    <x v="1"/>
    <x v="0"/>
    <x v="4"/>
    <x v="642"/>
    <x v="717"/>
  </r>
  <r>
    <x v="4"/>
    <x v="12"/>
    <x v="0"/>
    <x v="1"/>
    <x v="643"/>
    <x v="718"/>
  </r>
  <r>
    <x v="2"/>
    <x v="23"/>
    <x v="0"/>
    <x v="2"/>
    <x v="644"/>
    <x v="719"/>
  </r>
  <r>
    <x v="1"/>
    <x v="21"/>
    <x v="0"/>
    <x v="1"/>
    <x v="645"/>
    <x v="720"/>
  </r>
  <r>
    <x v="4"/>
    <x v="11"/>
    <x v="2"/>
    <x v="5"/>
    <x v="646"/>
    <x v="721"/>
  </r>
  <r>
    <x v="4"/>
    <x v="9"/>
    <x v="0"/>
    <x v="1"/>
    <x v="647"/>
    <x v="722"/>
  </r>
  <r>
    <x v="2"/>
    <x v="23"/>
    <x v="0"/>
    <x v="3"/>
    <x v="648"/>
    <x v="723"/>
  </r>
  <r>
    <x v="7"/>
    <x v="18"/>
    <x v="0"/>
    <x v="1"/>
    <x v="649"/>
    <x v="724"/>
  </r>
  <r>
    <x v="5"/>
    <x v="29"/>
    <x v="0"/>
    <x v="5"/>
    <x v="650"/>
    <x v="725"/>
  </r>
  <r>
    <x v="4"/>
    <x v="20"/>
    <x v="0"/>
    <x v="1"/>
    <x v="323"/>
    <x v="726"/>
  </r>
  <r>
    <x v="5"/>
    <x v="6"/>
    <x v="0"/>
    <x v="2"/>
    <x v="651"/>
    <x v="727"/>
  </r>
  <r>
    <x v="4"/>
    <x v="4"/>
    <x v="0"/>
    <x v="4"/>
    <x v="652"/>
    <x v="728"/>
  </r>
  <r>
    <x v="4"/>
    <x v="20"/>
    <x v="0"/>
    <x v="3"/>
    <x v="653"/>
    <x v="729"/>
  </r>
  <r>
    <x v="4"/>
    <x v="9"/>
    <x v="0"/>
    <x v="1"/>
    <x v="654"/>
    <x v="730"/>
  </r>
  <r>
    <x v="5"/>
    <x v="17"/>
    <x v="0"/>
    <x v="3"/>
    <x v="655"/>
    <x v="731"/>
  </r>
  <r>
    <x v="3"/>
    <x v="19"/>
    <x v="0"/>
    <x v="4"/>
    <x v="656"/>
    <x v="732"/>
  </r>
  <r>
    <x v="7"/>
    <x v="32"/>
    <x v="0"/>
    <x v="2"/>
    <x v="657"/>
    <x v="733"/>
  </r>
  <r>
    <x v="0"/>
    <x v="0"/>
    <x v="0"/>
    <x v="5"/>
    <x v="658"/>
    <x v="734"/>
  </r>
  <r>
    <x v="5"/>
    <x v="6"/>
    <x v="0"/>
    <x v="1"/>
    <x v="659"/>
    <x v="735"/>
  </r>
  <r>
    <x v="0"/>
    <x v="24"/>
    <x v="0"/>
    <x v="2"/>
    <x v="660"/>
    <x v="736"/>
  </r>
  <r>
    <x v="5"/>
    <x v="29"/>
    <x v="1"/>
    <x v="4"/>
    <x v="661"/>
    <x v="737"/>
  </r>
  <r>
    <x v="0"/>
    <x v="24"/>
    <x v="0"/>
    <x v="0"/>
    <x v="662"/>
    <x v="738"/>
  </r>
  <r>
    <x v="0"/>
    <x v="24"/>
    <x v="0"/>
    <x v="0"/>
    <x v="663"/>
    <x v="739"/>
  </r>
  <r>
    <x v="0"/>
    <x v="15"/>
    <x v="0"/>
    <x v="2"/>
    <x v="70"/>
    <x v="740"/>
  </r>
  <r>
    <x v="6"/>
    <x v="31"/>
    <x v="2"/>
    <x v="5"/>
    <x v="664"/>
    <x v="741"/>
  </r>
  <r>
    <x v="2"/>
    <x v="30"/>
    <x v="0"/>
    <x v="4"/>
    <x v="185"/>
    <x v="742"/>
  </r>
  <r>
    <x v="7"/>
    <x v="25"/>
    <x v="0"/>
    <x v="5"/>
    <x v="665"/>
    <x v="743"/>
  </r>
  <r>
    <x v="6"/>
    <x v="22"/>
    <x v="0"/>
    <x v="3"/>
    <x v="517"/>
    <x v="744"/>
  </r>
  <r>
    <x v="5"/>
    <x v="17"/>
    <x v="0"/>
    <x v="4"/>
    <x v="666"/>
    <x v="745"/>
  </r>
  <r>
    <x v="0"/>
    <x v="0"/>
    <x v="2"/>
    <x v="0"/>
    <x v="667"/>
    <x v="746"/>
  </r>
  <r>
    <x v="7"/>
    <x v="32"/>
    <x v="0"/>
    <x v="4"/>
    <x v="668"/>
    <x v="747"/>
  </r>
  <r>
    <x v="1"/>
    <x v="10"/>
    <x v="0"/>
    <x v="0"/>
    <x v="669"/>
    <x v="748"/>
  </r>
  <r>
    <x v="3"/>
    <x v="7"/>
    <x v="0"/>
    <x v="2"/>
    <x v="534"/>
    <x v="749"/>
  </r>
  <r>
    <x v="4"/>
    <x v="20"/>
    <x v="0"/>
    <x v="0"/>
    <x v="670"/>
    <x v="750"/>
  </r>
  <r>
    <x v="1"/>
    <x v="21"/>
    <x v="0"/>
    <x v="3"/>
    <x v="671"/>
    <x v="751"/>
  </r>
  <r>
    <x v="3"/>
    <x v="7"/>
    <x v="0"/>
    <x v="5"/>
    <x v="672"/>
    <x v="752"/>
  </r>
  <r>
    <x v="0"/>
    <x v="0"/>
    <x v="0"/>
    <x v="5"/>
    <x v="673"/>
    <x v="753"/>
  </r>
  <r>
    <x v="4"/>
    <x v="12"/>
    <x v="0"/>
    <x v="2"/>
    <x v="674"/>
    <x v="754"/>
  </r>
  <r>
    <x v="5"/>
    <x v="6"/>
    <x v="1"/>
    <x v="1"/>
    <x v="675"/>
    <x v="755"/>
  </r>
  <r>
    <x v="3"/>
    <x v="27"/>
    <x v="0"/>
    <x v="2"/>
    <x v="676"/>
    <x v="756"/>
  </r>
  <r>
    <x v="7"/>
    <x v="32"/>
    <x v="0"/>
    <x v="3"/>
    <x v="59"/>
    <x v="757"/>
  </r>
  <r>
    <x v="5"/>
    <x v="29"/>
    <x v="0"/>
    <x v="4"/>
    <x v="677"/>
    <x v="758"/>
  </r>
  <r>
    <x v="5"/>
    <x v="17"/>
    <x v="1"/>
    <x v="2"/>
    <x v="678"/>
    <x v="759"/>
  </r>
  <r>
    <x v="4"/>
    <x v="20"/>
    <x v="0"/>
    <x v="3"/>
    <x v="679"/>
    <x v="760"/>
  </r>
  <r>
    <x v="6"/>
    <x v="16"/>
    <x v="0"/>
    <x v="4"/>
    <x v="680"/>
    <x v="761"/>
  </r>
  <r>
    <x v="6"/>
    <x v="13"/>
    <x v="0"/>
    <x v="0"/>
    <x v="681"/>
    <x v="762"/>
  </r>
  <r>
    <x v="2"/>
    <x v="8"/>
    <x v="0"/>
    <x v="4"/>
    <x v="682"/>
    <x v="763"/>
  </r>
  <r>
    <x v="4"/>
    <x v="11"/>
    <x v="0"/>
    <x v="0"/>
    <x v="183"/>
    <x v="764"/>
  </r>
  <r>
    <x v="7"/>
    <x v="32"/>
    <x v="0"/>
    <x v="5"/>
    <x v="683"/>
    <x v="765"/>
  </r>
  <r>
    <x v="2"/>
    <x v="30"/>
    <x v="0"/>
    <x v="4"/>
    <x v="684"/>
    <x v="766"/>
  </r>
  <r>
    <x v="5"/>
    <x v="17"/>
    <x v="0"/>
    <x v="0"/>
    <x v="685"/>
    <x v="767"/>
  </r>
  <r>
    <x v="0"/>
    <x v="24"/>
    <x v="0"/>
    <x v="2"/>
    <x v="686"/>
    <x v="768"/>
  </r>
  <r>
    <x v="5"/>
    <x v="17"/>
    <x v="0"/>
    <x v="3"/>
    <x v="687"/>
    <x v="769"/>
  </r>
  <r>
    <x v="4"/>
    <x v="20"/>
    <x v="0"/>
    <x v="2"/>
    <x v="688"/>
    <x v="770"/>
  </r>
  <r>
    <x v="5"/>
    <x v="6"/>
    <x v="0"/>
    <x v="5"/>
    <x v="689"/>
    <x v="771"/>
  </r>
  <r>
    <x v="4"/>
    <x v="4"/>
    <x v="0"/>
    <x v="4"/>
    <x v="690"/>
    <x v="772"/>
  </r>
  <r>
    <x v="0"/>
    <x v="15"/>
    <x v="0"/>
    <x v="0"/>
    <x v="691"/>
    <x v="773"/>
  </r>
  <r>
    <x v="5"/>
    <x v="6"/>
    <x v="0"/>
    <x v="4"/>
    <x v="692"/>
    <x v="774"/>
  </r>
  <r>
    <x v="4"/>
    <x v="9"/>
    <x v="0"/>
    <x v="4"/>
    <x v="693"/>
    <x v="775"/>
  </r>
  <r>
    <x v="6"/>
    <x v="31"/>
    <x v="1"/>
    <x v="0"/>
    <x v="209"/>
    <x v="776"/>
  </r>
  <r>
    <x v="2"/>
    <x v="8"/>
    <x v="0"/>
    <x v="5"/>
    <x v="694"/>
    <x v="777"/>
  </r>
  <r>
    <x v="2"/>
    <x v="23"/>
    <x v="2"/>
    <x v="2"/>
    <x v="695"/>
    <x v="778"/>
  </r>
  <r>
    <x v="3"/>
    <x v="27"/>
    <x v="0"/>
    <x v="1"/>
    <x v="353"/>
    <x v="779"/>
  </r>
  <r>
    <x v="2"/>
    <x v="23"/>
    <x v="0"/>
    <x v="1"/>
    <x v="696"/>
    <x v="780"/>
  </r>
  <r>
    <x v="7"/>
    <x v="26"/>
    <x v="0"/>
    <x v="2"/>
    <x v="697"/>
    <x v="781"/>
  </r>
  <r>
    <x v="6"/>
    <x v="22"/>
    <x v="0"/>
    <x v="1"/>
    <x v="698"/>
    <x v="782"/>
  </r>
  <r>
    <x v="0"/>
    <x v="28"/>
    <x v="0"/>
    <x v="2"/>
    <x v="699"/>
    <x v="783"/>
  </r>
  <r>
    <x v="4"/>
    <x v="5"/>
    <x v="0"/>
    <x v="4"/>
    <x v="700"/>
    <x v="784"/>
  </r>
  <r>
    <x v="1"/>
    <x v="10"/>
    <x v="0"/>
    <x v="1"/>
    <x v="701"/>
    <x v="785"/>
  </r>
  <r>
    <x v="7"/>
    <x v="14"/>
    <x v="0"/>
    <x v="1"/>
    <x v="702"/>
    <x v="786"/>
  </r>
  <r>
    <x v="0"/>
    <x v="28"/>
    <x v="0"/>
    <x v="2"/>
    <x v="703"/>
    <x v="787"/>
  </r>
  <r>
    <x v="0"/>
    <x v="0"/>
    <x v="0"/>
    <x v="4"/>
    <x v="704"/>
    <x v="788"/>
  </r>
  <r>
    <x v="1"/>
    <x v="1"/>
    <x v="0"/>
    <x v="0"/>
    <x v="705"/>
    <x v="789"/>
  </r>
  <r>
    <x v="4"/>
    <x v="11"/>
    <x v="0"/>
    <x v="3"/>
    <x v="360"/>
    <x v="790"/>
  </r>
  <r>
    <x v="7"/>
    <x v="18"/>
    <x v="2"/>
    <x v="0"/>
    <x v="706"/>
    <x v="791"/>
  </r>
  <r>
    <x v="7"/>
    <x v="14"/>
    <x v="0"/>
    <x v="5"/>
    <x v="707"/>
    <x v="792"/>
  </r>
  <r>
    <x v="3"/>
    <x v="3"/>
    <x v="0"/>
    <x v="4"/>
    <x v="708"/>
    <x v="793"/>
  </r>
  <r>
    <x v="4"/>
    <x v="11"/>
    <x v="0"/>
    <x v="2"/>
    <x v="709"/>
    <x v="794"/>
  </r>
  <r>
    <x v="5"/>
    <x v="29"/>
    <x v="1"/>
    <x v="5"/>
    <x v="710"/>
    <x v="795"/>
  </r>
  <r>
    <x v="1"/>
    <x v="10"/>
    <x v="0"/>
    <x v="3"/>
    <x v="711"/>
    <x v="796"/>
  </r>
  <r>
    <x v="7"/>
    <x v="25"/>
    <x v="0"/>
    <x v="1"/>
    <x v="564"/>
    <x v="797"/>
  </r>
  <r>
    <x v="2"/>
    <x v="23"/>
    <x v="0"/>
    <x v="4"/>
    <x v="712"/>
    <x v="798"/>
  </r>
  <r>
    <x v="1"/>
    <x v="21"/>
    <x v="0"/>
    <x v="5"/>
    <x v="713"/>
    <x v="799"/>
  </r>
  <r>
    <x v="2"/>
    <x v="2"/>
    <x v="2"/>
    <x v="3"/>
    <x v="350"/>
    <x v="800"/>
  </r>
  <r>
    <x v="4"/>
    <x v="5"/>
    <x v="0"/>
    <x v="1"/>
    <x v="714"/>
    <x v="801"/>
  </r>
  <r>
    <x v="7"/>
    <x v="32"/>
    <x v="0"/>
    <x v="5"/>
    <x v="715"/>
    <x v="802"/>
  </r>
  <r>
    <x v="3"/>
    <x v="19"/>
    <x v="0"/>
    <x v="5"/>
    <x v="716"/>
    <x v="803"/>
  </r>
  <r>
    <x v="0"/>
    <x v="24"/>
    <x v="0"/>
    <x v="3"/>
    <x v="717"/>
    <x v="804"/>
  </r>
  <r>
    <x v="2"/>
    <x v="30"/>
    <x v="0"/>
    <x v="0"/>
    <x v="718"/>
    <x v="805"/>
  </r>
  <r>
    <x v="1"/>
    <x v="1"/>
    <x v="0"/>
    <x v="2"/>
    <x v="719"/>
    <x v="806"/>
  </r>
  <r>
    <x v="1"/>
    <x v="21"/>
    <x v="0"/>
    <x v="2"/>
    <x v="720"/>
    <x v="807"/>
  </r>
  <r>
    <x v="0"/>
    <x v="0"/>
    <x v="0"/>
    <x v="5"/>
    <x v="721"/>
    <x v="808"/>
  </r>
  <r>
    <x v="4"/>
    <x v="11"/>
    <x v="0"/>
    <x v="2"/>
    <x v="722"/>
    <x v="809"/>
  </r>
  <r>
    <x v="1"/>
    <x v="1"/>
    <x v="0"/>
    <x v="3"/>
    <x v="723"/>
    <x v="810"/>
  </r>
  <r>
    <x v="5"/>
    <x v="6"/>
    <x v="0"/>
    <x v="0"/>
    <x v="724"/>
    <x v="811"/>
  </r>
  <r>
    <x v="4"/>
    <x v="9"/>
    <x v="0"/>
    <x v="5"/>
    <x v="676"/>
    <x v="812"/>
  </r>
  <r>
    <x v="1"/>
    <x v="21"/>
    <x v="0"/>
    <x v="4"/>
    <x v="320"/>
    <x v="813"/>
  </r>
  <r>
    <x v="5"/>
    <x v="29"/>
    <x v="0"/>
    <x v="5"/>
    <x v="725"/>
    <x v="814"/>
  </r>
  <r>
    <x v="7"/>
    <x v="26"/>
    <x v="0"/>
    <x v="5"/>
    <x v="632"/>
    <x v="815"/>
  </r>
  <r>
    <x v="3"/>
    <x v="19"/>
    <x v="0"/>
    <x v="4"/>
    <x v="726"/>
    <x v="816"/>
  </r>
  <r>
    <x v="0"/>
    <x v="28"/>
    <x v="2"/>
    <x v="5"/>
    <x v="727"/>
    <x v="817"/>
  </r>
  <r>
    <x v="4"/>
    <x v="5"/>
    <x v="0"/>
    <x v="3"/>
    <x v="219"/>
    <x v="818"/>
  </r>
  <r>
    <x v="0"/>
    <x v="24"/>
    <x v="0"/>
    <x v="0"/>
    <x v="728"/>
    <x v="819"/>
  </r>
  <r>
    <x v="5"/>
    <x v="29"/>
    <x v="0"/>
    <x v="3"/>
    <x v="729"/>
    <x v="820"/>
  </r>
  <r>
    <x v="4"/>
    <x v="11"/>
    <x v="0"/>
    <x v="0"/>
    <x v="730"/>
    <x v="821"/>
  </r>
  <r>
    <x v="0"/>
    <x v="28"/>
    <x v="2"/>
    <x v="3"/>
    <x v="731"/>
    <x v="822"/>
  </r>
  <r>
    <x v="0"/>
    <x v="28"/>
    <x v="0"/>
    <x v="3"/>
    <x v="732"/>
    <x v="823"/>
  </r>
  <r>
    <x v="7"/>
    <x v="14"/>
    <x v="0"/>
    <x v="3"/>
    <x v="733"/>
    <x v="824"/>
  </r>
  <r>
    <x v="1"/>
    <x v="1"/>
    <x v="0"/>
    <x v="4"/>
    <x v="396"/>
    <x v="825"/>
  </r>
  <r>
    <x v="0"/>
    <x v="0"/>
    <x v="0"/>
    <x v="4"/>
    <x v="470"/>
    <x v="826"/>
  </r>
  <r>
    <x v="0"/>
    <x v="15"/>
    <x v="0"/>
    <x v="4"/>
    <x v="140"/>
    <x v="827"/>
  </r>
  <r>
    <x v="2"/>
    <x v="30"/>
    <x v="0"/>
    <x v="5"/>
    <x v="734"/>
    <x v="828"/>
  </r>
  <r>
    <x v="0"/>
    <x v="24"/>
    <x v="2"/>
    <x v="4"/>
    <x v="735"/>
    <x v="829"/>
  </r>
  <r>
    <x v="6"/>
    <x v="16"/>
    <x v="0"/>
    <x v="0"/>
    <x v="736"/>
    <x v="830"/>
  </r>
  <r>
    <x v="0"/>
    <x v="28"/>
    <x v="0"/>
    <x v="4"/>
    <x v="296"/>
    <x v="831"/>
  </r>
  <r>
    <x v="4"/>
    <x v="20"/>
    <x v="0"/>
    <x v="3"/>
    <x v="2"/>
    <x v="832"/>
  </r>
  <r>
    <x v="4"/>
    <x v="5"/>
    <x v="0"/>
    <x v="2"/>
    <x v="737"/>
    <x v="833"/>
  </r>
  <r>
    <x v="7"/>
    <x v="18"/>
    <x v="0"/>
    <x v="4"/>
    <x v="738"/>
    <x v="834"/>
  </r>
  <r>
    <x v="0"/>
    <x v="28"/>
    <x v="0"/>
    <x v="1"/>
    <x v="739"/>
    <x v="835"/>
  </r>
  <r>
    <x v="1"/>
    <x v="21"/>
    <x v="0"/>
    <x v="4"/>
    <x v="565"/>
    <x v="836"/>
  </r>
  <r>
    <x v="0"/>
    <x v="24"/>
    <x v="0"/>
    <x v="3"/>
    <x v="740"/>
    <x v="837"/>
  </r>
  <r>
    <x v="7"/>
    <x v="26"/>
    <x v="0"/>
    <x v="0"/>
    <x v="86"/>
    <x v="838"/>
  </r>
  <r>
    <x v="3"/>
    <x v="7"/>
    <x v="0"/>
    <x v="1"/>
    <x v="741"/>
    <x v="839"/>
  </r>
  <r>
    <x v="4"/>
    <x v="9"/>
    <x v="0"/>
    <x v="1"/>
    <x v="742"/>
    <x v="840"/>
  </r>
  <r>
    <x v="3"/>
    <x v="19"/>
    <x v="0"/>
    <x v="0"/>
    <x v="298"/>
    <x v="841"/>
  </r>
  <r>
    <x v="4"/>
    <x v="9"/>
    <x v="0"/>
    <x v="3"/>
    <x v="373"/>
    <x v="842"/>
  </r>
  <r>
    <x v="1"/>
    <x v="1"/>
    <x v="0"/>
    <x v="3"/>
    <x v="743"/>
    <x v="843"/>
  </r>
  <r>
    <x v="4"/>
    <x v="12"/>
    <x v="0"/>
    <x v="5"/>
    <x v="744"/>
    <x v="844"/>
  </r>
  <r>
    <x v="0"/>
    <x v="0"/>
    <x v="0"/>
    <x v="0"/>
    <x v="745"/>
    <x v="845"/>
  </r>
  <r>
    <x v="4"/>
    <x v="11"/>
    <x v="0"/>
    <x v="3"/>
    <x v="746"/>
    <x v="846"/>
  </r>
  <r>
    <x v="1"/>
    <x v="21"/>
    <x v="0"/>
    <x v="4"/>
    <x v="747"/>
    <x v="168"/>
  </r>
  <r>
    <x v="7"/>
    <x v="26"/>
    <x v="0"/>
    <x v="4"/>
    <x v="574"/>
    <x v="847"/>
  </r>
  <r>
    <x v="3"/>
    <x v="3"/>
    <x v="1"/>
    <x v="1"/>
    <x v="748"/>
    <x v="848"/>
  </r>
  <r>
    <x v="4"/>
    <x v="9"/>
    <x v="0"/>
    <x v="4"/>
    <x v="294"/>
    <x v="849"/>
  </r>
  <r>
    <x v="2"/>
    <x v="2"/>
    <x v="0"/>
    <x v="2"/>
    <x v="53"/>
    <x v="850"/>
  </r>
  <r>
    <x v="4"/>
    <x v="4"/>
    <x v="0"/>
    <x v="3"/>
    <x v="749"/>
    <x v="851"/>
  </r>
  <r>
    <x v="5"/>
    <x v="6"/>
    <x v="0"/>
    <x v="4"/>
    <x v="750"/>
    <x v="852"/>
  </r>
  <r>
    <x v="4"/>
    <x v="12"/>
    <x v="0"/>
    <x v="3"/>
    <x v="751"/>
    <x v="853"/>
  </r>
  <r>
    <x v="4"/>
    <x v="9"/>
    <x v="0"/>
    <x v="4"/>
    <x v="475"/>
    <x v="854"/>
  </r>
  <r>
    <x v="4"/>
    <x v="5"/>
    <x v="0"/>
    <x v="0"/>
    <x v="752"/>
    <x v="855"/>
  </r>
  <r>
    <x v="7"/>
    <x v="32"/>
    <x v="0"/>
    <x v="4"/>
    <x v="753"/>
    <x v="856"/>
  </r>
  <r>
    <x v="7"/>
    <x v="18"/>
    <x v="0"/>
    <x v="0"/>
    <x v="754"/>
    <x v="857"/>
  </r>
  <r>
    <x v="4"/>
    <x v="5"/>
    <x v="0"/>
    <x v="3"/>
    <x v="755"/>
    <x v="858"/>
  </r>
  <r>
    <x v="5"/>
    <x v="6"/>
    <x v="1"/>
    <x v="0"/>
    <x v="756"/>
    <x v="859"/>
  </r>
  <r>
    <x v="0"/>
    <x v="28"/>
    <x v="0"/>
    <x v="3"/>
    <x v="757"/>
    <x v="860"/>
  </r>
  <r>
    <x v="7"/>
    <x v="25"/>
    <x v="0"/>
    <x v="1"/>
    <x v="758"/>
    <x v="861"/>
  </r>
  <r>
    <x v="0"/>
    <x v="24"/>
    <x v="0"/>
    <x v="5"/>
    <x v="315"/>
    <x v="862"/>
  </r>
  <r>
    <x v="0"/>
    <x v="15"/>
    <x v="0"/>
    <x v="4"/>
    <x v="759"/>
    <x v="863"/>
  </r>
  <r>
    <x v="7"/>
    <x v="26"/>
    <x v="2"/>
    <x v="2"/>
    <x v="760"/>
    <x v="864"/>
  </r>
  <r>
    <x v="4"/>
    <x v="11"/>
    <x v="0"/>
    <x v="2"/>
    <x v="652"/>
    <x v="865"/>
  </r>
  <r>
    <x v="4"/>
    <x v="11"/>
    <x v="0"/>
    <x v="5"/>
    <x v="761"/>
    <x v="866"/>
  </r>
  <r>
    <x v="5"/>
    <x v="29"/>
    <x v="0"/>
    <x v="1"/>
    <x v="762"/>
    <x v="867"/>
  </r>
  <r>
    <x v="1"/>
    <x v="10"/>
    <x v="0"/>
    <x v="3"/>
    <x v="18"/>
    <x v="868"/>
  </r>
  <r>
    <x v="0"/>
    <x v="15"/>
    <x v="0"/>
    <x v="0"/>
    <x v="607"/>
    <x v="869"/>
  </r>
  <r>
    <x v="6"/>
    <x v="13"/>
    <x v="0"/>
    <x v="4"/>
    <x v="763"/>
    <x v="870"/>
  </r>
  <r>
    <x v="3"/>
    <x v="19"/>
    <x v="0"/>
    <x v="2"/>
    <x v="764"/>
    <x v="871"/>
  </r>
  <r>
    <x v="0"/>
    <x v="15"/>
    <x v="0"/>
    <x v="1"/>
    <x v="765"/>
    <x v="872"/>
  </r>
  <r>
    <x v="4"/>
    <x v="5"/>
    <x v="0"/>
    <x v="4"/>
    <x v="766"/>
    <x v="873"/>
  </r>
  <r>
    <x v="4"/>
    <x v="20"/>
    <x v="0"/>
    <x v="2"/>
    <x v="767"/>
    <x v="874"/>
  </r>
  <r>
    <x v="2"/>
    <x v="30"/>
    <x v="0"/>
    <x v="1"/>
    <x v="768"/>
    <x v="875"/>
  </r>
  <r>
    <x v="3"/>
    <x v="19"/>
    <x v="0"/>
    <x v="0"/>
    <x v="769"/>
    <x v="876"/>
  </r>
  <r>
    <x v="4"/>
    <x v="9"/>
    <x v="0"/>
    <x v="5"/>
    <x v="565"/>
    <x v="877"/>
  </r>
  <r>
    <x v="6"/>
    <x v="22"/>
    <x v="0"/>
    <x v="0"/>
    <x v="770"/>
    <x v="878"/>
  </r>
  <r>
    <x v="6"/>
    <x v="31"/>
    <x v="0"/>
    <x v="3"/>
    <x v="771"/>
    <x v="879"/>
  </r>
  <r>
    <x v="2"/>
    <x v="2"/>
    <x v="2"/>
    <x v="0"/>
    <x v="772"/>
    <x v="880"/>
  </r>
  <r>
    <x v="4"/>
    <x v="5"/>
    <x v="0"/>
    <x v="3"/>
    <x v="93"/>
    <x v="881"/>
  </r>
  <r>
    <x v="4"/>
    <x v="5"/>
    <x v="2"/>
    <x v="1"/>
    <x v="773"/>
    <x v="882"/>
  </r>
  <r>
    <x v="5"/>
    <x v="29"/>
    <x v="0"/>
    <x v="3"/>
    <x v="774"/>
    <x v="883"/>
  </r>
  <r>
    <x v="4"/>
    <x v="20"/>
    <x v="0"/>
    <x v="2"/>
    <x v="775"/>
    <x v="884"/>
  </r>
  <r>
    <x v="3"/>
    <x v="7"/>
    <x v="0"/>
    <x v="5"/>
    <x v="274"/>
    <x v="885"/>
  </r>
  <r>
    <x v="6"/>
    <x v="13"/>
    <x v="1"/>
    <x v="0"/>
    <x v="776"/>
    <x v="886"/>
  </r>
  <r>
    <x v="4"/>
    <x v="5"/>
    <x v="0"/>
    <x v="0"/>
    <x v="777"/>
    <x v="887"/>
  </r>
  <r>
    <x v="6"/>
    <x v="16"/>
    <x v="2"/>
    <x v="4"/>
    <x v="778"/>
    <x v="888"/>
  </r>
  <r>
    <x v="2"/>
    <x v="23"/>
    <x v="0"/>
    <x v="2"/>
    <x v="779"/>
    <x v="889"/>
  </r>
  <r>
    <x v="5"/>
    <x v="17"/>
    <x v="0"/>
    <x v="2"/>
    <x v="780"/>
    <x v="890"/>
  </r>
  <r>
    <x v="5"/>
    <x v="6"/>
    <x v="1"/>
    <x v="3"/>
    <x v="781"/>
    <x v="891"/>
  </r>
  <r>
    <x v="0"/>
    <x v="0"/>
    <x v="0"/>
    <x v="0"/>
    <x v="782"/>
    <x v="892"/>
  </r>
  <r>
    <x v="3"/>
    <x v="19"/>
    <x v="0"/>
    <x v="1"/>
    <x v="783"/>
    <x v="893"/>
  </r>
  <r>
    <x v="4"/>
    <x v="5"/>
    <x v="0"/>
    <x v="1"/>
    <x v="784"/>
    <x v="894"/>
  </r>
  <r>
    <x v="6"/>
    <x v="31"/>
    <x v="0"/>
    <x v="3"/>
    <x v="785"/>
    <x v="895"/>
  </r>
  <r>
    <x v="5"/>
    <x v="29"/>
    <x v="1"/>
    <x v="1"/>
    <x v="786"/>
    <x v="896"/>
  </r>
  <r>
    <x v="4"/>
    <x v="9"/>
    <x v="0"/>
    <x v="3"/>
    <x v="787"/>
    <x v="897"/>
  </r>
  <r>
    <x v="4"/>
    <x v="4"/>
    <x v="0"/>
    <x v="2"/>
    <x v="788"/>
    <x v="898"/>
  </r>
  <r>
    <x v="4"/>
    <x v="20"/>
    <x v="0"/>
    <x v="3"/>
    <x v="431"/>
    <x v="899"/>
  </r>
  <r>
    <x v="4"/>
    <x v="11"/>
    <x v="0"/>
    <x v="4"/>
    <x v="789"/>
    <x v="900"/>
  </r>
  <r>
    <x v="4"/>
    <x v="5"/>
    <x v="0"/>
    <x v="4"/>
    <x v="790"/>
    <x v="901"/>
  </r>
  <r>
    <x v="7"/>
    <x v="25"/>
    <x v="0"/>
    <x v="0"/>
    <x v="425"/>
    <x v="902"/>
  </r>
  <r>
    <x v="0"/>
    <x v="28"/>
    <x v="0"/>
    <x v="0"/>
    <x v="791"/>
    <x v="903"/>
  </r>
  <r>
    <x v="5"/>
    <x v="29"/>
    <x v="0"/>
    <x v="0"/>
    <x v="792"/>
    <x v="904"/>
  </r>
  <r>
    <x v="5"/>
    <x v="6"/>
    <x v="0"/>
    <x v="5"/>
    <x v="756"/>
    <x v="905"/>
  </r>
  <r>
    <x v="0"/>
    <x v="24"/>
    <x v="0"/>
    <x v="5"/>
    <x v="581"/>
    <x v="906"/>
  </r>
  <r>
    <x v="6"/>
    <x v="22"/>
    <x v="0"/>
    <x v="1"/>
    <x v="414"/>
    <x v="907"/>
  </r>
  <r>
    <x v="0"/>
    <x v="0"/>
    <x v="0"/>
    <x v="0"/>
    <x v="793"/>
    <x v="908"/>
  </r>
  <r>
    <x v="3"/>
    <x v="19"/>
    <x v="0"/>
    <x v="2"/>
    <x v="510"/>
    <x v="909"/>
  </r>
  <r>
    <x v="6"/>
    <x v="16"/>
    <x v="0"/>
    <x v="5"/>
    <x v="794"/>
    <x v="910"/>
  </r>
  <r>
    <x v="3"/>
    <x v="27"/>
    <x v="0"/>
    <x v="0"/>
    <x v="795"/>
    <x v="911"/>
  </r>
  <r>
    <x v="0"/>
    <x v="24"/>
    <x v="0"/>
    <x v="3"/>
    <x v="7"/>
    <x v="912"/>
  </r>
  <r>
    <x v="7"/>
    <x v="32"/>
    <x v="0"/>
    <x v="5"/>
    <x v="796"/>
    <x v="913"/>
  </r>
  <r>
    <x v="0"/>
    <x v="28"/>
    <x v="0"/>
    <x v="4"/>
    <x v="797"/>
    <x v="914"/>
  </r>
  <r>
    <x v="6"/>
    <x v="16"/>
    <x v="0"/>
    <x v="2"/>
    <x v="197"/>
    <x v="915"/>
  </r>
  <r>
    <x v="1"/>
    <x v="1"/>
    <x v="2"/>
    <x v="0"/>
    <x v="798"/>
    <x v="916"/>
  </r>
  <r>
    <x v="2"/>
    <x v="8"/>
    <x v="1"/>
    <x v="2"/>
    <x v="799"/>
    <x v="917"/>
  </r>
  <r>
    <x v="4"/>
    <x v="9"/>
    <x v="0"/>
    <x v="1"/>
    <x v="800"/>
    <x v="918"/>
  </r>
  <r>
    <x v="5"/>
    <x v="17"/>
    <x v="0"/>
    <x v="5"/>
    <x v="801"/>
    <x v="919"/>
  </r>
  <r>
    <x v="7"/>
    <x v="25"/>
    <x v="1"/>
    <x v="1"/>
    <x v="802"/>
    <x v="920"/>
  </r>
  <r>
    <x v="5"/>
    <x v="17"/>
    <x v="0"/>
    <x v="3"/>
    <x v="803"/>
    <x v="921"/>
  </r>
  <r>
    <x v="5"/>
    <x v="17"/>
    <x v="2"/>
    <x v="5"/>
    <x v="804"/>
    <x v="922"/>
  </r>
  <r>
    <x v="0"/>
    <x v="28"/>
    <x v="1"/>
    <x v="3"/>
    <x v="805"/>
    <x v="923"/>
  </r>
  <r>
    <x v="4"/>
    <x v="11"/>
    <x v="2"/>
    <x v="1"/>
    <x v="169"/>
    <x v="924"/>
  </r>
  <r>
    <x v="6"/>
    <x v="31"/>
    <x v="0"/>
    <x v="1"/>
    <x v="806"/>
    <x v="925"/>
  </r>
  <r>
    <x v="7"/>
    <x v="32"/>
    <x v="2"/>
    <x v="1"/>
    <x v="807"/>
    <x v="926"/>
  </r>
  <r>
    <x v="3"/>
    <x v="3"/>
    <x v="0"/>
    <x v="3"/>
    <x v="808"/>
    <x v="927"/>
  </r>
  <r>
    <x v="6"/>
    <x v="13"/>
    <x v="0"/>
    <x v="2"/>
    <x v="809"/>
    <x v="928"/>
  </r>
  <r>
    <x v="4"/>
    <x v="20"/>
    <x v="2"/>
    <x v="4"/>
    <x v="810"/>
    <x v="929"/>
  </r>
  <r>
    <x v="5"/>
    <x v="17"/>
    <x v="0"/>
    <x v="1"/>
    <x v="811"/>
    <x v="930"/>
  </r>
  <r>
    <x v="1"/>
    <x v="1"/>
    <x v="0"/>
    <x v="3"/>
    <x v="812"/>
    <x v="931"/>
  </r>
  <r>
    <x v="7"/>
    <x v="14"/>
    <x v="0"/>
    <x v="4"/>
    <x v="813"/>
    <x v="932"/>
  </r>
  <r>
    <x v="4"/>
    <x v="5"/>
    <x v="0"/>
    <x v="5"/>
    <x v="814"/>
    <x v="933"/>
  </r>
  <r>
    <x v="6"/>
    <x v="31"/>
    <x v="0"/>
    <x v="2"/>
    <x v="815"/>
    <x v="934"/>
  </r>
  <r>
    <x v="4"/>
    <x v="9"/>
    <x v="0"/>
    <x v="4"/>
    <x v="816"/>
    <x v="935"/>
  </r>
  <r>
    <x v="1"/>
    <x v="10"/>
    <x v="0"/>
    <x v="2"/>
    <x v="817"/>
    <x v="936"/>
  </r>
  <r>
    <x v="4"/>
    <x v="20"/>
    <x v="0"/>
    <x v="0"/>
    <x v="818"/>
    <x v="937"/>
  </r>
  <r>
    <x v="7"/>
    <x v="25"/>
    <x v="2"/>
    <x v="2"/>
    <x v="819"/>
    <x v="938"/>
  </r>
  <r>
    <x v="6"/>
    <x v="13"/>
    <x v="0"/>
    <x v="1"/>
    <x v="129"/>
    <x v="939"/>
  </r>
  <r>
    <x v="7"/>
    <x v="32"/>
    <x v="0"/>
    <x v="2"/>
    <x v="407"/>
    <x v="940"/>
  </r>
  <r>
    <x v="3"/>
    <x v="3"/>
    <x v="0"/>
    <x v="3"/>
    <x v="81"/>
    <x v="941"/>
  </r>
  <r>
    <x v="5"/>
    <x v="17"/>
    <x v="2"/>
    <x v="2"/>
    <x v="820"/>
    <x v="942"/>
  </r>
  <r>
    <x v="4"/>
    <x v="4"/>
    <x v="0"/>
    <x v="5"/>
    <x v="821"/>
    <x v="943"/>
  </r>
  <r>
    <x v="4"/>
    <x v="20"/>
    <x v="2"/>
    <x v="3"/>
    <x v="822"/>
    <x v="944"/>
  </r>
  <r>
    <x v="4"/>
    <x v="20"/>
    <x v="0"/>
    <x v="2"/>
    <x v="823"/>
    <x v="945"/>
  </r>
  <r>
    <x v="1"/>
    <x v="21"/>
    <x v="0"/>
    <x v="5"/>
    <x v="824"/>
    <x v="946"/>
  </r>
  <r>
    <x v="5"/>
    <x v="29"/>
    <x v="0"/>
    <x v="3"/>
    <x v="825"/>
    <x v="947"/>
  </r>
  <r>
    <x v="3"/>
    <x v="19"/>
    <x v="0"/>
    <x v="3"/>
    <x v="826"/>
    <x v="948"/>
  </r>
  <r>
    <x v="3"/>
    <x v="7"/>
    <x v="0"/>
    <x v="5"/>
    <x v="827"/>
    <x v="949"/>
  </r>
  <r>
    <x v="3"/>
    <x v="7"/>
    <x v="0"/>
    <x v="5"/>
    <x v="828"/>
    <x v="950"/>
  </r>
  <r>
    <x v="4"/>
    <x v="20"/>
    <x v="0"/>
    <x v="4"/>
    <x v="829"/>
    <x v="951"/>
  </r>
  <r>
    <x v="1"/>
    <x v="10"/>
    <x v="0"/>
    <x v="5"/>
    <x v="326"/>
    <x v="952"/>
  </r>
  <r>
    <x v="0"/>
    <x v="15"/>
    <x v="0"/>
    <x v="4"/>
    <x v="830"/>
    <x v="953"/>
  </r>
  <r>
    <x v="0"/>
    <x v="15"/>
    <x v="0"/>
    <x v="0"/>
    <x v="831"/>
    <x v="954"/>
  </r>
  <r>
    <x v="7"/>
    <x v="14"/>
    <x v="0"/>
    <x v="1"/>
    <x v="832"/>
    <x v="955"/>
  </r>
  <r>
    <x v="4"/>
    <x v="9"/>
    <x v="0"/>
    <x v="2"/>
    <x v="833"/>
    <x v="956"/>
  </r>
  <r>
    <x v="4"/>
    <x v="5"/>
    <x v="0"/>
    <x v="3"/>
    <x v="834"/>
    <x v="957"/>
  </r>
  <r>
    <x v="2"/>
    <x v="30"/>
    <x v="0"/>
    <x v="4"/>
    <x v="835"/>
    <x v="958"/>
  </r>
  <r>
    <x v="4"/>
    <x v="11"/>
    <x v="2"/>
    <x v="2"/>
    <x v="836"/>
    <x v="959"/>
  </r>
  <r>
    <x v="3"/>
    <x v="19"/>
    <x v="0"/>
    <x v="5"/>
    <x v="837"/>
    <x v="960"/>
  </r>
  <r>
    <x v="6"/>
    <x v="16"/>
    <x v="0"/>
    <x v="5"/>
    <x v="326"/>
    <x v="961"/>
  </r>
  <r>
    <x v="0"/>
    <x v="24"/>
    <x v="0"/>
    <x v="2"/>
    <x v="838"/>
    <x v="962"/>
  </r>
  <r>
    <x v="6"/>
    <x v="31"/>
    <x v="0"/>
    <x v="5"/>
    <x v="839"/>
    <x v="963"/>
  </r>
  <r>
    <x v="0"/>
    <x v="28"/>
    <x v="0"/>
    <x v="0"/>
    <x v="64"/>
    <x v="964"/>
  </r>
  <r>
    <x v="2"/>
    <x v="23"/>
    <x v="0"/>
    <x v="3"/>
    <x v="840"/>
    <x v="965"/>
  </r>
  <r>
    <x v="6"/>
    <x v="22"/>
    <x v="0"/>
    <x v="0"/>
    <x v="841"/>
    <x v="966"/>
  </r>
  <r>
    <x v="7"/>
    <x v="32"/>
    <x v="0"/>
    <x v="4"/>
    <x v="842"/>
    <x v="967"/>
  </r>
  <r>
    <x v="7"/>
    <x v="25"/>
    <x v="0"/>
    <x v="2"/>
    <x v="190"/>
    <x v="968"/>
  </r>
  <r>
    <x v="3"/>
    <x v="7"/>
    <x v="0"/>
    <x v="0"/>
    <x v="843"/>
    <x v="969"/>
  </r>
  <r>
    <x v="1"/>
    <x v="10"/>
    <x v="0"/>
    <x v="1"/>
    <x v="844"/>
    <x v="970"/>
  </r>
  <r>
    <x v="2"/>
    <x v="23"/>
    <x v="2"/>
    <x v="4"/>
    <x v="845"/>
    <x v="971"/>
  </r>
  <r>
    <x v="4"/>
    <x v="20"/>
    <x v="0"/>
    <x v="5"/>
    <x v="613"/>
    <x v="972"/>
  </r>
  <r>
    <x v="4"/>
    <x v="9"/>
    <x v="0"/>
    <x v="0"/>
    <x v="846"/>
    <x v="973"/>
  </r>
  <r>
    <x v="6"/>
    <x v="16"/>
    <x v="2"/>
    <x v="3"/>
    <x v="847"/>
    <x v="974"/>
  </r>
  <r>
    <x v="3"/>
    <x v="7"/>
    <x v="0"/>
    <x v="3"/>
    <x v="382"/>
    <x v="975"/>
  </r>
  <r>
    <x v="4"/>
    <x v="9"/>
    <x v="0"/>
    <x v="3"/>
    <x v="211"/>
    <x v="976"/>
  </r>
  <r>
    <x v="7"/>
    <x v="26"/>
    <x v="0"/>
    <x v="0"/>
    <x v="848"/>
    <x v="977"/>
  </r>
  <r>
    <x v="3"/>
    <x v="27"/>
    <x v="0"/>
    <x v="0"/>
    <x v="666"/>
    <x v="978"/>
  </r>
  <r>
    <x v="0"/>
    <x v="0"/>
    <x v="0"/>
    <x v="3"/>
    <x v="849"/>
    <x v="979"/>
  </r>
  <r>
    <x v="5"/>
    <x v="6"/>
    <x v="2"/>
    <x v="5"/>
    <x v="850"/>
    <x v="980"/>
  </r>
  <r>
    <x v="4"/>
    <x v="20"/>
    <x v="0"/>
    <x v="4"/>
    <x v="851"/>
    <x v="981"/>
  </r>
  <r>
    <x v="4"/>
    <x v="20"/>
    <x v="0"/>
    <x v="1"/>
    <x v="852"/>
    <x v="982"/>
  </r>
  <r>
    <x v="2"/>
    <x v="23"/>
    <x v="0"/>
    <x v="2"/>
    <x v="853"/>
    <x v="983"/>
  </r>
  <r>
    <x v="7"/>
    <x v="25"/>
    <x v="0"/>
    <x v="2"/>
    <x v="854"/>
    <x v="984"/>
  </r>
  <r>
    <x v="2"/>
    <x v="30"/>
    <x v="2"/>
    <x v="0"/>
    <x v="813"/>
    <x v="985"/>
  </r>
  <r>
    <x v="0"/>
    <x v="24"/>
    <x v="0"/>
    <x v="0"/>
    <x v="855"/>
    <x v="986"/>
  </r>
  <r>
    <x v="6"/>
    <x v="22"/>
    <x v="0"/>
    <x v="3"/>
    <x v="109"/>
    <x v="987"/>
  </r>
  <r>
    <x v="5"/>
    <x v="6"/>
    <x v="0"/>
    <x v="2"/>
    <x v="856"/>
    <x v="988"/>
  </r>
  <r>
    <x v="5"/>
    <x v="6"/>
    <x v="0"/>
    <x v="1"/>
    <x v="7"/>
    <x v="989"/>
  </r>
  <r>
    <x v="2"/>
    <x v="23"/>
    <x v="0"/>
    <x v="1"/>
    <x v="857"/>
    <x v="990"/>
  </r>
  <r>
    <x v="6"/>
    <x v="31"/>
    <x v="0"/>
    <x v="5"/>
    <x v="858"/>
    <x v="991"/>
  </r>
  <r>
    <x v="3"/>
    <x v="7"/>
    <x v="0"/>
    <x v="0"/>
    <x v="699"/>
    <x v="992"/>
  </r>
  <r>
    <x v="0"/>
    <x v="28"/>
    <x v="0"/>
    <x v="2"/>
    <x v="859"/>
    <x v="993"/>
  </r>
  <r>
    <x v="4"/>
    <x v="5"/>
    <x v="0"/>
    <x v="5"/>
    <x v="172"/>
    <x v="994"/>
  </r>
  <r>
    <x v="1"/>
    <x v="10"/>
    <x v="0"/>
    <x v="1"/>
    <x v="860"/>
    <x v="995"/>
  </r>
  <r>
    <x v="4"/>
    <x v="11"/>
    <x v="0"/>
    <x v="3"/>
    <x v="861"/>
    <x v="996"/>
  </r>
  <r>
    <x v="1"/>
    <x v="21"/>
    <x v="0"/>
    <x v="2"/>
    <x v="862"/>
    <x v="997"/>
  </r>
  <r>
    <x v="0"/>
    <x v="0"/>
    <x v="0"/>
    <x v="5"/>
    <x v="863"/>
    <x v="998"/>
  </r>
  <r>
    <x v="8"/>
    <x v="33"/>
    <x v="3"/>
    <x v="6"/>
    <x v="864"/>
    <x v="999"/>
  </r>
</pivotCacheRecords>
</file>

<file path=xl/pivotCache/pivotCacheRecords5.xml><?xml version="1.0" encoding="utf-8"?>
<pivotCacheRecords xmlns="http://schemas.openxmlformats.org/spreadsheetml/2006/main" xmlns:r="http://schemas.openxmlformats.org/officeDocument/2006/relationships" count="1001">
  <r>
    <x v="0"/>
    <x v="0"/>
    <x v="0"/>
    <x v="0"/>
    <x v="0"/>
    <x v="0"/>
    <x v="0"/>
    <x v="0"/>
    <x v="0"/>
  </r>
  <r>
    <x v="1"/>
    <x v="1"/>
    <x v="1"/>
    <x v="0"/>
    <x v="1"/>
    <x v="1"/>
    <x v="1"/>
    <x v="1"/>
    <x v="1"/>
  </r>
  <r>
    <x v="2"/>
    <x v="2"/>
    <x v="0"/>
    <x v="1"/>
    <x v="2"/>
    <x v="2"/>
    <x v="2"/>
    <x v="2"/>
    <x v="2"/>
  </r>
  <r>
    <x v="3"/>
    <x v="3"/>
    <x v="0"/>
    <x v="2"/>
    <x v="3"/>
    <x v="3"/>
    <x v="3"/>
    <x v="3"/>
    <x v="1"/>
  </r>
  <r>
    <x v="4"/>
    <x v="4"/>
    <x v="0"/>
    <x v="3"/>
    <x v="4"/>
    <x v="4"/>
    <x v="4"/>
    <x v="4"/>
    <x v="2"/>
  </r>
  <r>
    <x v="4"/>
    <x v="5"/>
    <x v="0"/>
    <x v="3"/>
    <x v="5"/>
    <x v="5"/>
    <x v="5"/>
    <x v="5"/>
    <x v="1"/>
  </r>
  <r>
    <x v="4"/>
    <x v="5"/>
    <x v="2"/>
    <x v="2"/>
    <x v="6"/>
    <x v="6"/>
    <x v="6"/>
    <x v="6"/>
    <x v="2"/>
  </r>
  <r>
    <x v="5"/>
    <x v="6"/>
    <x v="0"/>
    <x v="0"/>
    <x v="7"/>
    <x v="7"/>
    <x v="7"/>
    <x v="7"/>
    <x v="1"/>
  </r>
  <r>
    <x v="3"/>
    <x v="7"/>
    <x v="0"/>
    <x v="3"/>
    <x v="8"/>
    <x v="8"/>
    <x v="8"/>
    <x v="8"/>
    <x v="0"/>
  </r>
  <r>
    <x v="2"/>
    <x v="8"/>
    <x v="0"/>
    <x v="4"/>
    <x v="9"/>
    <x v="9"/>
    <x v="9"/>
    <x v="9"/>
    <x v="1"/>
  </r>
  <r>
    <x v="4"/>
    <x v="9"/>
    <x v="1"/>
    <x v="1"/>
    <x v="10"/>
    <x v="10"/>
    <x v="10"/>
    <x v="10"/>
    <x v="0"/>
  </r>
  <r>
    <x v="1"/>
    <x v="10"/>
    <x v="0"/>
    <x v="3"/>
    <x v="11"/>
    <x v="11"/>
    <x v="11"/>
    <x v="11"/>
    <x v="1"/>
  </r>
  <r>
    <x v="5"/>
    <x v="6"/>
    <x v="2"/>
    <x v="0"/>
    <x v="12"/>
    <x v="12"/>
    <x v="12"/>
    <x v="12"/>
    <x v="2"/>
  </r>
  <r>
    <x v="4"/>
    <x v="11"/>
    <x v="0"/>
    <x v="0"/>
    <x v="13"/>
    <x v="13"/>
    <x v="13"/>
    <x v="13"/>
    <x v="1"/>
  </r>
  <r>
    <x v="4"/>
    <x v="5"/>
    <x v="0"/>
    <x v="3"/>
    <x v="14"/>
    <x v="14"/>
    <x v="14"/>
    <x v="14"/>
    <x v="2"/>
  </r>
  <r>
    <x v="4"/>
    <x v="12"/>
    <x v="0"/>
    <x v="1"/>
    <x v="15"/>
    <x v="15"/>
    <x v="10"/>
    <x v="15"/>
    <x v="1"/>
  </r>
  <r>
    <x v="6"/>
    <x v="13"/>
    <x v="0"/>
    <x v="3"/>
    <x v="16"/>
    <x v="16"/>
    <x v="15"/>
    <x v="16"/>
    <x v="0"/>
  </r>
  <r>
    <x v="7"/>
    <x v="14"/>
    <x v="0"/>
    <x v="5"/>
    <x v="17"/>
    <x v="17"/>
    <x v="16"/>
    <x v="17"/>
    <x v="3"/>
  </r>
  <r>
    <x v="0"/>
    <x v="15"/>
    <x v="0"/>
    <x v="3"/>
    <x v="18"/>
    <x v="18"/>
    <x v="17"/>
    <x v="18"/>
    <x v="0"/>
  </r>
  <r>
    <x v="6"/>
    <x v="13"/>
    <x v="0"/>
    <x v="5"/>
    <x v="19"/>
    <x v="19"/>
    <x v="18"/>
    <x v="19"/>
    <x v="1"/>
  </r>
  <r>
    <x v="3"/>
    <x v="3"/>
    <x v="2"/>
    <x v="2"/>
    <x v="20"/>
    <x v="20"/>
    <x v="19"/>
    <x v="20"/>
    <x v="0"/>
  </r>
  <r>
    <x v="4"/>
    <x v="9"/>
    <x v="2"/>
    <x v="0"/>
    <x v="21"/>
    <x v="21"/>
    <x v="20"/>
    <x v="21"/>
    <x v="1"/>
  </r>
  <r>
    <x v="6"/>
    <x v="16"/>
    <x v="2"/>
    <x v="5"/>
    <x v="22"/>
    <x v="22"/>
    <x v="13"/>
    <x v="22"/>
    <x v="0"/>
  </r>
  <r>
    <x v="0"/>
    <x v="15"/>
    <x v="0"/>
    <x v="3"/>
    <x v="23"/>
    <x v="23"/>
    <x v="21"/>
    <x v="23"/>
    <x v="1"/>
  </r>
  <r>
    <x v="0"/>
    <x v="15"/>
    <x v="0"/>
    <x v="2"/>
    <x v="24"/>
    <x v="24"/>
    <x v="22"/>
    <x v="24"/>
    <x v="0"/>
  </r>
  <r>
    <x v="5"/>
    <x v="17"/>
    <x v="0"/>
    <x v="0"/>
    <x v="25"/>
    <x v="25"/>
    <x v="23"/>
    <x v="25"/>
    <x v="1"/>
  </r>
  <r>
    <x v="4"/>
    <x v="4"/>
    <x v="0"/>
    <x v="1"/>
    <x v="26"/>
    <x v="26"/>
    <x v="4"/>
    <x v="26"/>
    <x v="2"/>
  </r>
  <r>
    <x v="7"/>
    <x v="18"/>
    <x v="0"/>
    <x v="3"/>
    <x v="27"/>
    <x v="27"/>
    <x v="24"/>
    <x v="27"/>
    <x v="1"/>
  </r>
  <r>
    <x v="3"/>
    <x v="19"/>
    <x v="0"/>
    <x v="3"/>
    <x v="28"/>
    <x v="28"/>
    <x v="25"/>
    <x v="28"/>
    <x v="0"/>
  </r>
  <r>
    <x v="4"/>
    <x v="4"/>
    <x v="0"/>
    <x v="0"/>
    <x v="29"/>
    <x v="29"/>
    <x v="26"/>
    <x v="29"/>
    <x v="3"/>
  </r>
  <r>
    <x v="3"/>
    <x v="7"/>
    <x v="0"/>
    <x v="5"/>
    <x v="30"/>
    <x v="30"/>
    <x v="27"/>
    <x v="30"/>
    <x v="0"/>
  </r>
  <r>
    <x v="4"/>
    <x v="20"/>
    <x v="2"/>
    <x v="2"/>
    <x v="31"/>
    <x v="31"/>
    <x v="28"/>
    <x v="31"/>
    <x v="1"/>
  </r>
  <r>
    <x v="4"/>
    <x v="9"/>
    <x v="0"/>
    <x v="1"/>
    <x v="32"/>
    <x v="32"/>
    <x v="16"/>
    <x v="32"/>
    <x v="0"/>
  </r>
  <r>
    <x v="1"/>
    <x v="21"/>
    <x v="0"/>
    <x v="4"/>
    <x v="33"/>
    <x v="33"/>
    <x v="29"/>
    <x v="33"/>
    <x v="3"/>
  </r>
  <r>
    <x v="1"/>
    <x v="21"/>
    <x v="0"/>
    <x v="3"/>
    <x v="34"/>
    <x v="34"/>
    <x v="30"/>
    <x v="34"/>
    <x v="0"/>
  </r>
  <r>
    <x v="5"/>
    <x v="17"/>
    <x v="0"/>
    <x v="4"/>
    <x v="35"/>
    <x v="35"/>
    <x v="0"/>
    <x v="35"/>
    <x v="1"/>
  </r>
  <r>
    <x v="6"/>
    <x v="22"/>
    <x v="2"/>
    <x v="3"/>
    <x v="36"/>
    <x v="36"/>
    <x v="9"/>
    <x v="36"/>
    <x v="2"/>
  </r>
  <r>
    <x v="4"/>
    <x v="5"/>
    <x v="0"/>
    <x v="5"/>
    <x v="37"/>
    <x v="37"/>
    <x v="31"/>
    <x v="37"/>
    <x v="1"/>
  </r>
  <r>
    <x v="2"/>
    <x v="23"/>
    <x v="2"/>
    <x v="5"/>
    <x v="38"/>
    <x v="38"/>
    <x v="0"/>
    <x v="38"/>
    <x v="0"/>
  </r>
  <r>
    <x v="0"/>
    <x v="24"/>
    <x v="0"/>
    <x v="5"/>
    <x v="39"/>
    <x v="39"/>
    <x v="32"/>
    <x v="39"/>
    <x v="1"/>
  </r>
  <r>
    <x v="4"/>
    <x v="20"/>
    <x v="0"/>
    <x v="0"/>
    <x v="40"/>
    <x v="40"/>
    <x v="33"/>
    <x v="40"/>
    <x v="2"/>
  </r>
  <r>
    <x v="7"/>
    <x v="18"/>
    <x v="0"/>
    <x v="0"/>
    <x v="41"/>
    <x v="41"/>
    <x v="34"/>
    <x v="41"/>
    <x v="1"/>
  </r>
  <r>
    <x v="4"/>
    <x v="9"/>
    <x v="0"/>
    <x v="1"/>
    <x v="42"/>
    <x v="42"/>
    <x v="35"/>
    <x v="42"/>
    <x v="0"/>
  </r>
  <r>
    <x v="1"/>
    <x v="1"/>
    <x v="0"/>
    <x v="5"/>
    <x v="43"/>
    <x v="43"/>
    <x v="36"/>
    <x v="43"/>
    <x v="3"/>
  </r>
  <r>
    <x v="6"/>
    <x v="16"/>
    <x v="0"/>
    <x v="4"/>
    <x v="44"/>
    <x v="44"/>
    <x v="37"/>
    <x v="44"/>
    <x v="0"/>
  </r>
  <r>
    <x v="3"/>
    <x v="3"/>
    <x v="0"/>
    <x v="5"/>
    <x v="45"/>
    <x v="45"/>
    <x v="38"/>
    <x v="45"/>
    <x v="3"/>
  </r>
  <r>
    <x v="6"/>
    <x v="13"/>
    <x v="0"/>
    <x v="5"/>
    <x v="46"/>
    <x v="46"/>
    <x v="39"/>
    <x v="46"/>
    <x v="0"/>
  </r>
  <r>
    <x v="7"/>
    <x v="25"/>
    <x v="0"/>
    <x v="0"/>
    <x v="47"/>
    <x v="47"/>
    <x v="40"/>
    <x v="47"/>
    <x v="1"/>
  </r>
  <r>
    <x v="7"/>
    <x v="26"/>
    <x v="0"/>
    <x v="4"/>
    <x v="48"/>
    <x v="48"/>
    <x v="15"/>
    <x v="48"/>
    <x v="0"/>
  </r>
  <r>
    <x v="4"/>
    <x v="11"/>
    <x v="0"/>
    <x v="3"/>
    <x v="49"/>
    <x v="49"/>
    <x v="41"/>
    <x v="49"/>
    <x v="3"/>
  </r>
  <r>
    <x v="1"/>
    <x v="10"/>
    <x v="2"/>
    <x v="1"/>
    <x v="50"/>
    <x v="50"/>
    <x v="32"/>
    <x v="50"/>
    <x v="4"/>
  </r>
  <r>
    <x v="5"/>
    <x v="17"/>
    <x v="0"/>
    <x v="1"/>
    <x v="51"/>
    <x v="51"/>
    <x v="42"/>
    <x v="51"/>
    <x v="3"/>
  </r>
  <r>
    <x v="1"/>
    <x v="10"/>
    <x v="0"/>
    <x v="2"/>
    <x v="52"/>
    <x v="52"/>
    <x v="31"/>
    <x v="52"/>
    <x v="4"/>
  </r>
  <r>
    <x v="5"/>
    <x v="6"/>
    <x v="0"/>
    <x v="3"/>
    <x v="53"/>
    <x v="53"/>
    <x v="0"/>
    <x v="53"/>
    <x v="5"/>
  </r>
  <r>
    <x v="3"/>
    <x v="27"/>
    <x v="0"/>
    <x v="2"/>
    <x v="54"/>
    <x v="54"/>
    <x v="43"/>
    <x v="54"/>
    <x v="6"/>
  </r>
  <r>
    <x v="1"/>
    <x v="21"/>
    <x v="0"/>
    <x v="5"/>
    <x v="55"/>
    <x v="55"/>
    <x v="44"/>
    <x v="55"/>
    <x v="7"/>
  </r>
  <r>
    <x v="4"/>
    <x v="5"/>
    <x v="0"/>
    <x v="5"/>
    <x v="56"/>
    <x v="56"/>
    <x v="45"/>
    <x v="56"/>
    <x v="6"/>
  </r>
  <r>
    <x v="4"/>
    <x v="9"/>
    <x v="0"/>
    <x v="1"/>
    <x v="57"/>
    <x v="57"/>
    <x v="0"/>
    <x v="57"/>
    <x v="7"/>
  </r>
  <r>
    <x v="4"/>
    <x v="20"/>
    <x v="0"/>
    <x v="1"/>
    <x v="58"/>
    <x v="58"/>
    <x v="46"/>
    <x v="58"/>
    <x v="6"/>
  </r>
  <r>
    <x v="0"/>
    <x v="28"/>
    <x v="0"/>
    <x v="1"/>
    <x v="59"/>
    <x v="59"/>
    <x v="47"/>
    <x v="59"/>
    <x v="7"/>
  </r>
  <r>
    <x v="0"/>
    <x v="15"/>
    <x v="0"/>
    <x v="3"/>
    <x v="60"/>
    <x v="60"/>
    <x v="48"/>
    <x v="60"/>
    <x v="6"/>
  </r>
  <r>
    <x v="6"/>
    <x v="16"/>
    <x v="0"/>
    <x v="1"/>
    <x v="61"/>
    <x v="61"/>
    <x v="49"/>
    <x v="61"/>
    <x v="7"/>
  </r>
  <r>
    <x v="5"/>
    <x v="6"/>
    <x v="0"/>
    <x v="5"/>
    <x v="62"/>
    <x v="62"/>
    <x v="22"/>
    <x v="62"/>
    <x v="8"/>
  </r>
  <r>
    <x v="0"/>
    <x v="24"/>
    <x v="0"/>
    <x v="2"/>
    <x v="63"/>
    <x v="63"/>
    <x v="50"/>
    <x v="63"/>
    <x v="9"/>
  </r>
  <r>
    <x v="6"/>
    <x v="22"/>
    <x v="2"/>
    <x v="0"/>
    <x v="64"/>
    <x v="64"/>
    <x v="51"/>
    <x v="64"/>
    <x v="10"/>
  </r>
  <r>
    <x v="7"/>
    <x v="18"/>
    <x v="1"/>
    <x v="0"/>
    <x v="65"/>
    <x v="65"/>
    <x v="52"/>
    <x v="65"/>
    <x v="11"/>
  </r>
  <r>
    <x v="4"/>
    <x v="9"/>
    <x v="0"/>
    <x v="1"/>
    <x v="66"/>
    <x v="66"/>
    <x v="53"/>
    <x v="66"/>
    <x v="12"/>
  </r>
  <r>
    <x v="5"/>
    <x v="29"/>
    <x v="0"/>
    <x v="0"/>
    <x v="67"/>
    <x v="67"/>
    <x v="23"/>
    <x v="67"/>
    <x v="11"/>
  </r>
  <r>
    <x v="4"/>
    <x v="9"/>
    <x v="0"/>
    <x v="3"/>
    <x v="68"/>
    <x v="68"/>
    <x v="54"/>
    <x v="68"/>
    <x v="10"/>
  </r>
  <r>
    <x v="1"/>
    <x v="21"/>
    <x v="0"/>
    <x v="3"/>
    <x v="69"/>
    <x v="69"/>
    <x v="55"/>
    <x v="69"/>
    <x v="9"/>
  </r>
  <r>
    <x v="5"/>
    <x v="29"/>
    <x v="0"/>
    <x v="4"/>
    <x v="70"/>
    <x v="70"/>
    <x v="56"/>
    <x v="70"/>
    <x v="8"/>
  </r>
  <r>
    <x v="4"/>
    <x v="9"/>
    <x v="0"/>
    <x v="3"/>
    <x v="71"/>
    <x v="71"/>
    <x v="57"/>
    <x v="71"/>
    <x v="7"/>
  </r>
  <r>
    <x v="4"/>
    <x v="11"/>
    <x v="0"/>
    <x v="3"/>
    <x v="72"/>
    <x v="72"/>
    <x v="58"/>
    <x v="72"/>
    <x v="6"/>
  </r>
  <r>
    <x v="5"/>
    <x v="29"/>
    <x v="0"/>
    <x v="0"/>
    <x v="73"/>
    <x v="73"/>
    <x v="26"/>
    <x v="73"/>
    <x v="7"/>
  </r>
  <r>
    <x v="2"/>
    <x v="2"/>
    <x v="0"/>
    <x v="5"/>
    <x v="74"/>
    <x v="74"/>
    <x v="59"/>
    <x v="74"/>
    <x v="6"/>
  </r>
  <r>
    <x v="2"/>
    <x v="8"/>
    <x v="0"/>
    <x v="5"/>
    <x v="75"/>
    <x v="75"/>
    <x v="24"/>
    <x v="75"/>
    <x v="5"/>
  </r>
  <r>
    <x v="5"/>
    <x v="17"/>
    <x v="0"/>
    <x v="5"/>
    <x v="76"/>
    <x v="76"/>
    <x v="60"/>
    <x v="76"/>
    <x v="4"/>
  </r>
  <r>
    <x v="4"/>
    <x v="5"/>
    <x v="0"/>
    <x v="2"/>
    <x v="77"/>
    <x v="77"/>
    <x v="8"/>
    <x v="77"/>
    <x v="3"/>
  </r>
  <r>
    <x v="0"/>
    <x v="0"/>
    <x v="2"/>
    <x v="0"/>
    <x v="78"/>
    <x v="78"/>
    <x v="52"/>
    <x v="78"/>
    <x v="4"/>
  </r>
  <r>
    <x v="4"/>
    <x v="12"/>
    <x v="0"/>
    <x v="3"/>
    <x v="79"/>
    <x v="79"/>
    <x v="61"/>
    <x v="79"/>
    <x v="5"/>
  </r>
  <r>
    <x v="5"/>
    <x v="6"/>
    <x v="0"/>
    <x v="5"/>
    <x v="80"/>
    <x v="80"/>
    <x v="62"/>
    <x v="80"/>
    <x v="6"/>
  </r>
  <r>
    <x v="3"/>
    <x v="7"/>
    <x v="0"/>
    <x v="5"/>
    <x v="81"/>
    <x v="81"/>
    <x v="63"/>
    <x v="81"/>
    <x v="5"/>
  </r>
  <r>
    <x v="0"/>
    <x v="24"/>
    <x v="0"/>
    <x v="4"/>
    <x v="82"/>
    <x v="82"/>
    <x v="64"/>
    <x v="82"/>
    <x v="4"/>
  </r>
  <r>
    <x v="4"/>
    <x v="4"/>
    <x v="0"/>
    <x v="4"/>
    <x v="83"/>
    <x v="83"/>
    <x v="65"/>
    <x v="83"/>
    <x v="5"/>
  </r>
  <r>
    <x v="6"/>
    <x v="16"/>
    <x v="0"/>
    <x v="5"/>
    <x v="84"/>
    <x v="84"/>
    <x v="66"/>
    <x v="84"/>
    <x v="6"/>
  </r>
  <r>
    <x v="0"/>
    <x v="24"/>
    <x v="0"/>
    <x v="4"/>
    <x v="85"/>
    <x v="85"/>
    <x v="32"/>
    <x v="85"/>
    <x v="7"/>
  </r>
  <r>
    <x v="2"/>
    <x v="30"/>
    <x v="0"/>
    <x v="0"/>
    <x v="86"/>
    <x v="86"/>
    <x v="67"/>
    <x v="86"/>
    <x v="8"/>
  </r>
  <r>
    <x v="3"/>
    <x v="7"/>
    <x v="0"/>
    <x v="5"/>
    <x v="87"/>
    <x v="87"/>
    <x v="68"/>
    <x v="87"/>
    <x v="9"/>
  </r>
  <r>
    <x v="5"/>
    <x v="6"/>
    <x v="0"/>
    <x v="2"/>
    <x v="88"/>
    <x v="88"/>
    <x v="0"/>
    <x v="88"/>
    <x v="10"/>
  </r>
  <r>
    <x v="7"/>
    <x v="25"/>
    <x v="2"/>
    <x v="5"/>
    <x v="89"/>
    <x v="89"/>
    <x v="69"/>
    <x v="89"/>
    <x v="9"/>
  </r>
  <r>
    <x v="4"/>
    <x v="12"/>
    <x v="0"/>
    <x v="1"/>
    <x v="90"/>
    <x v="90"/>
    <x v="70"/>
    <x v="90"/>
    <x v="10"/>
  </r>
  <r>
    <x v="2"/>
    <x v="30"/>
    <x v="1"/>
    <x v="0"/>
    <x v="91"/>
    <x v="91"/>
    <x v="71"/>
    <x v="91"/>
    <x v="11"/>
  </r>
  <r>
    <x v="2"/>
    <x v="30"/>
    <x v="0"/>
    <x v="3"/>
    <x v="92"/>
    <x v="92"/>
    <x v="61"/>
    <x v="92"/>
    <x v="12"/>
  </r>
  <r>
    <x v="7"/>
    <x v="14"/>
    <x v="0"/>
    <x v="0"/>
    <x v="93"/>
    <x v="93"/>
    <x v="40"/>
    <x v="93"/>
    <x v="13"/>
  </r>
  <r>
    <x v="5"/>
    <x v="29"/>
    <x v="0"/>
    <x v="0"/>
    <x v="94"/>
    <x v="94"/>
    <x v="72"/>
    <x v="94"/>
    <x v="12"/>
  </r>
  <r>
    <x v="7"/>
    <x v="25"/>
    <x v="0"/>
    <x v="1"/>
    <x v="95"/>
    <x v="95"/>
    <x v="0"/>
    <x v="95"/>
    <x v="11"/>
  </r>
  <r>
    <x v="7"/>
    <x v="25"/>
    <x v="2"/>
    <x v="3"/>
    <x v="96"/>
    <x v="96"/>
    <x v="48"/>
    <x v="96"/>
    <x v="10"/>
  </r>
  <r>
    <x v="0"/>
    <x v="0"/>
    <x v="0"/>
    <x v="3"/>
    <x v="97"/>
    <x v="97"/>
    <x v="73"/>
    <x v="97"/>
    <x v="9"/>
  </r>
  <r>
    <x v="4"/>
    <x v="4"/>
    <x v="0"/>
    <x v="2"/>
    <x v="98"/>
    <x v="98"/>
    <x v="74"/>
    <x v="98"/>
    <x v="8"/>
  </r>
  <r>
    <x v="4"/>
    <x v="9"/>
    <x v="0"/>
    <x v="2"/>
    <x v="99"/>
    <x v="99"/>
    <x v="60"/>
    <x v="99"/>
    <x v="9"/>
  </r>
  <r>
    <x v="4"/>
    <x v="11"/>
    <x v="2"/>
    <x v="5"/>
    <x v="100"/>
    <x v="100"/>
    <x v="8"/>
    <x v="100"/>
    <x v="10"/>
  </r>
  <r>
    <x v="3"/>
    <x v="27"/>
    <x v="0"/>
    <x v="4"/>
    <x v="101"/>
    <x v="101"/>
    <x v="75"/>
    <x v="101"/>
    <x v="9"/>
  </r>
  <r>
    <x v="6"/>
    <x v="16"/>
    <x v="2"/>
    <x v="0"/>
    <x v="102"/>
    <x v="102"/>
    <x v="41"/>
    <x v="102"/>
    <x v="10"/>
  </r>
  <r>
    <x v="7"/>
    <x v="26"/>
    <x v="0"/>
    <x v="0"/>
    <x v="103"/>
    <x v="103"/>
    <x v="76"/>
    <x v="103"/>
    <x v="11"/>
  </r>
  <r>
    <x v="1"/>
    <x v="10"/>
    <x v="0"/>
    <x v="3"/>
    <x v="104"/>
    <x v="104"/>
    <x v="49"/>
    <x v="104"/>
    <x v="12"/>
  </r>
  <r>
    <x v="6"/>
    <x v="13"/>
    <x v="0"/>
    <x v="0"/>
    <x v="105"/>
    <x v="105"/>
    <x v="77"/>
    <x v="105"/>
    <x v="13"/>
  </r>
  <r>
    <x v="0"/>
    <x v="24"/>
    <x v="0"/>
    <x v="0"/>
    <x v="106"/>
    <x v="106"/>
    <x v="78"/>
    <x v="106"/>
    <x v="12"/>
  </r>
  <r>
    <x v="2"/>
    <x v="30"/>
    <x v="0"/>
    <x v="3"/>
    <x v="107"/>
    <x v="107"/>
    <x v="79"/>
    <x v="107"/>
    <x v="13"/>
  </r>
  <r>
    <x v="6"/>
    <x v="31"/>
    <x v="0"/>
    <x v="1"/>
    <x v="108"/>
    <x v="108"/>
    <x v="0"/>
    <x v="108"/>
    <x v="14"/>
  </r>
  <r>
    <x v="4"/>
    <x v="11"/>
    <x v="0"/>
    <x v="5"/>
    <x v="109"/>
    <x v="109"/>
    <x v="53"/>
    <x v="109"/>
    <x v="15"/>
  </r>
  <r>
    <x v="6"/>
    <x v="16"/>
    <x v="0"/>
    <x v="0"/>
    <x v="110"/>
    <x v="110"/>
    <x v="80"/>
    <x v="110"/>
    <x v="16"/>
  </r>
  <r>
    <x v="4"/>
    <x v="9"/>
    <x v="0"/>
    <x v="0"/>
    <x v="111"/>
    <x v="111"/>
    <x v="81"/>
    <x v="111"/>
    <x v="17"/>
  </r>
  <r>
    <x v="1"/>
    <x v="21"/>
    <x v="0"/>
    <x v="4"/>
    <x v="112"/>
    <x v="112"/>
    <x v="77"/>
    <x v="112"/>
    <x v="16"/>
  </r>
  <r>
    <x v="5"/>
    <x v="17"/>
    <x v="0"/>
    <x v="3"/>
    <x v="113"/>
    <x v="113"/>
    <x v="59"/>
    <x v="113"/>
    <x v="15"/>
  </r>
  <r>
    <x v="3"/>
    <x v="3"/>
    <x v="1"/>
    <x v="0"/>
    <x v="114"/>
    <x v="114"/>
    <x v="20"/>
    <x v="114"/>
    <x v="16"/>
  </r>
  <r>
    <x v="5"/>
    <x v="17"/>
    <x v="0"/>
    <x v="4"/>
    <x v="115"/>
    <x v="115"/>
    <x v="52"/>
    <x v="115"/>
    <x v="15"/>
  </r>
  <r>
    <x v="5"/>
    <x v="29"/>
    <x v="0"/>
    <x v="1"/>
    <x v="116"/>
    <x v="116"/>
    <x v="44"/>
    <x v="116"/>
    <x v="14"/>
  </r>
  <r>
    <x v="4"/>
    <x v="4"/>
    <x v="1"/>
    <x v="0"/>
    <x v="117"/>
    <x v="117"/>
    <x v="6"/>
    <x v="117"/>
    <x v="13"/>
  </r>
  <r>
    <x v="5"/>
    <x v="29"/>
    <x v="0"/>
    <x v="3"/>
    <x v="118"/>
    <x v="118"/>
    <x v="82"/>
    <x v="118"/>
    <x v="14"/>
  </r>
  <r>
    <x v="7"/>
    <x v="25"/>
    <x v="0"/>
    <x v="0"/>
    <x v="119"/>
    <x v="119"/>
    <x v="83"/>
    <x v="119"/>
    <x v="13"/>
  </r>
  <r>
    <x v="5"/>
    <x v="6"/>
    <x v="0"/>
    <x v="4"/>
    <x v="120"/>
    <x v="120"/>
    <x v="72"/>
    <x v="120"/>
    <x v="14"/>
  </r>
  <r>
    <x v="5"/>
    <x v="6"/>
    <x v="2"/>
    <x v="3"/>
    <x v="121"/>
    <x v="121"/>
    <x v="64"/>
    <x v="121"/>
    <x v="13"/>
  </r>
  <r>
    <x v="6"/>
    <x v="16"/>
    <x v="0"/>
    <x v="0"/>
    <x v="122"/>
    <x v="122"/>
    <x v="84"/>
    <x v="122"/>
    <x v="14"/>
  </r>
  <r>
    <x v="4"/>
    <x v="4"/>
    <x v="0"/>
    <x v="5"/>
    <x v="123"/>
    <x v="123"/>
    <x v="0"/>
    <x v="123"/>
    <x v="15"/>
  </r>
  <r>
    <x v="6"/>
    <x v="31"/>
    <x v="0"/>
    <x v="3"/>
    <x v="124"/>
    <x v="124"/>
    <x v="85"/>
    <x v="124"/>
    <x v="14"/>
  </r>
  <r>
    <x v="0"/>
    <x v="24"/>
    <x v="0"/>
    <x v="2"/>
    <x v="125"/>
    <x v="125"/>
    <x v="0"/>
    <x v="125"/>
    <x v="15"/>
  </r>
  <r>
    <x v="5"/>
    <x v="29"/>
    <x v="0"/>
    <x v="2"/>
    <x v="0"/>
    <x v="126"/>
    <x v="0"/>
    <x v="126"/>
    <x v="16"/>
  </r>
  <r>
    <x v="5"/>
    <x v="17"/>
    <x v="0"/>
    <x v="2"/>
    <x v="126"/>
    <x v="127"/>
    <x v="86"/>
    <x v="127"/>
    <x v="15"/>
  </r>
  <r>
    <x v="4"/>
    <x v="9"/>
    <x v="0"/>
    <x v="5"/>
    <x v="127"/>
    <x v="128"/>
    <x v="0"/>
    <x v="128"/>
    <x v="14"/>
  </r>
  <r>
    <x v="7"/>
    <x v="32"/>
    <x v="0"/>
    <x v="2"/>
    <x v="128"/>
    <x v="129"/>
    <x v="87"/>
    <x v="129"/>
    <x v="15"/>
  </r>
  <r>
    <x v="0"/>
    <x v="28"/>
    <x v="0"/>
    <x v="4"/>
    <x v="129"/>
    <x v="130"/>
    <x v="41"/>
    <x v="130"/>
    <x v="16"/>
  </r>
  <r>
    <x v="6"/>
    <x v="22"/>
    <x v="0"/>
    <x v="3"/>
    <x v="130"/>
    <x v="131"/>
    <x v="88"/>
    <x v="131"/>
    <x v="17"/>
  </r>
  <r>
    <x v="4"/>
    <x v="11"/>
    <x v="0"/>
    <x v="5"/>
    <x v="131"/>
    <x v="132"/>
    <x v="89"/>
    <x v="132"/>
    <x v="18"/>
  </r>
  <r>
    <x v="0"/>
    <x v="0"/>
    <x v="0"/>
    <x v="0"/>
    <x v="132"/>
    <x v="133"/>
    <x v="56"/>
    <x v="133"/>
    <x v="19"/>
  </r>
  <r>
    <x v="1"/>
    <x v="1"/>
    <x v="0"/>
    <x v="4"/>
    <x v="133"/>
    <x v="134"/>
    <x v="73"/>
    <x v="134"/>
    <x v="18"/>
  </r>
  <r>
    <x v="0"/>
    <x v="0"/>
    <x v="0"/>
    <x v="5"/>
    <x v="134"/>
    <x v="135"/>
    <x v="90"/>
    <x v="135"/>
    <x v="17"/>
  </r>
  <r>
    <x v="7"/>
    <x v="18"/>
    <x v="1"/>
    <x v="3"/>
    <x v="135"/>
    <x v="136"/>
    <x v="26"/>
    <x v="136"/>
    <x v="18"/>
  </r>
  <r>
    <x v="2"/>
    <x v="8"/>
    <x v="0"/>
    <x v="1"/>
    <x v="136"/>
    <x v="137"/>
    <x v="0"/>
    <x v="137"/>
    <x v="17"/>
  </r>
  <r>
    <x v="0"/>
    <x v="24"/>
    <x v="0"/>
    <x v="4"/>
    <x v="137"/>
    <x v="138"/>
    <x v="91"/>
    <x v="138"/>
    <x v="18"/>
  </r>
  <r>
    <x v="1"/>
    <x v="1"/>
    <x v="0"/>
    <x v="2"/>
    <x v="138"/>
    <x v="139"/>
    <x v="92"/>
    <x v="139"/>
    <x v="17"/>
  </r>
  <r>
    <x v="1"/>
    <x v="10"/>
    <x v="2"/>
    <x v="2"/>
    <x v="139"/>
    <x v="140"/>
    <x v="35"/>
    <x v="140"/>
    <x v="18"/>
  </r>
  <r>
    <x v="6"/>
    <x v="22"/>
    <x v="0"/>
    <x v="3"/>
    <x v="140"/>
    <x v="141"/>
    <x v="93"/>
    <x v="141"/>
    <x v="19"/>
  </r>
  <r>
    <x v="7"/>
    <x v="14"/>
    <x v="0"/>
    <x v="1"/>
    <x v="141"/>
    <x v="142"/>
    <x v="2"/>
    <x v="142"/>
    <x v="20"/>
  </r>
  <r>
    <x v="6"/>
    <x v="22"/>
    <x v="0"/>
    <x v="1"/>
    <x v="142"/>
    <x v="143"/>
    <x v="12"/>
    <x v="143"/>
    <x v="21"/>
  </r>
  <r>
    <x v="6"/>
    <x v="13"/>
    <x v="0"/>
    <x v="5"/>
    <x v="143"/>
    <x v="144"/>
    <x v="94"/>
    <x v="144"/>
    <x v="22"/>
  </r>
  <r>
    <x v="4"/>
    <x v="4"/>
    <x v="0"/>
    <x v="1"/>
    <x v="144"/>
    <x v="145"/>
    <x v="95"/>
    <x v="145"/>
    <x v="23"/>
  </r>
  <r>
    <x v="3"/>
    <x v="3"/>
    <x v="0"/>
    <x v="0"/>
    <x v="145"/>
    <x v="146"/>
    <x v="15"/>
    <x v="146"/>
    <x v="24"/>
  </r>
  <r>
    <x v="7"/>
    <x v="14"/>
    <x v="1"/>
    <x v="2"/>
    <x v="146"/>
    <x v="147"/>
    <x v="75"/>
    <x v="147"/>
    <x v="23"/>
  </r>
  <r>
    <x v="4"/>
    <x v="4"/>
    <x v="0"/>
    <x v="4"/>
    <x v="147"/>
    <x v="148"/>
    <x v="13"/>
    <x v="148"/>
    <x v="22"/>
  </r>
  <r>
    <x v="6"/>
    <x v="16"/>
    <x v="0"/>
    <x v="2"/>
    <x v="148"/>
    <x v="149"/>
    <x v="96"/>
    <x v="149"/>
    <x v="21"/>
  </r>
  <r>
    <x v="1"/>
    <x v="1"/>
    <x v="0"/>
    <x v="0"/>
    <x v="147"/>
    <x v="150"/>
    <x v="97"/>
    <x v="150"/>
    <x v="22"/>
  </r>
  <r>
    <x v="6"/>
    <x v="16"/>
    <x v="0"/>
    <x v="4"/>
    <x v="149"/>
    <x v="151"/>
    <x v="75"/>
    <x v="151"/>
    <x v="21"/>
  </r>
  <r>
    <x v="4"/>
    <x v="5"/>
    <x v="0"/>
    <x v="3"/>
    <x v="150"/>
    <x v="152"/>
    <x v="98"/>
    <x v="152"/>
    <x v="22"/>
  </r>
  <r>
    <x v="7"/>
    <x v="14"/>
    <x v="0"/>
    <x v="2"/>
    <x v="151"/>
    <x v="153"/>
    <x v="99"/>
    <x v="153"/>
    <x v="21"/>
  </r>
  <r>
    <x v="1"/>
    <x v="1"/>
    <x v="1"/>
    <x v="5"/>
    <x v="152"/>
    <x v="154"/>
    <x v="86"/>
    <x v="154"/>
    <x v="22"/>
  </r>
  <r>
    <x v="6"/>
    <x v="31"/>
    <x v="0"/>
    <x v="1"/>
    <x v="153"/>
    <x v="155"/>
    <x v="60"/>
    <x v="155"/>
    <x v="21"/>
  </r>
  <r>
    <x v="2"/>
    <x v="23"/>
    <x v="0"/>
    <x v="4"/>
    <x v="154"/>
    <x v="156"/>
    <x v="0"/>
    <x v="156"/>
    <x v="22"/>
  </r>
  <r>
    <x v="2"/>
    <x v="2"/>
    <x v="0"/>
    <x v="0"/>
    <x v="155"/>
    <x v="157"/>
    <x v="100"/>
    <x v="157"/>
    <x v="23"/>
  </r>
  <r>
    <x v="6"/>
    <x v="16"/>
    <x v="0"/>
    <x v="1"/>
    <x v="156"/>
    <x v="158"/>
    <x v="80"/>
    <x v="158"/>
    <x v="24"/>
  </r>
  <r>
    <x v="2"/>
    <x v="23"/>
    <x v="0"/>
    <x v="1"/>
    <x v="157"/>
    <x v="159"/>
    <x v="15"/>
    <x v="159"/>
    <x v="25"/>
  </r>
  <r>
    <x v="0"/>
    <x v="15"/>
    <x v="0"/>
    <x v="3"/>
    <x v="158"/>
    <x v="160"/>
    <x v="76"/>
    <x v="160"/>
    <x v="24"/>
  </r>
  <r>
    <x v="3"/>
    <x v="7"/>
    <x v="0"/>
    <x v="2"/>
    <x v="159"/>
    <x v="161"/>
    <x v="101"/>
    <x v="161"/>
    <x v="25"/>
  </r>
  <r>
    <x v="3"/>
    <x v="19"/>
    <x v="0"/>
    <x v="4"/>
    <x v="160"/>
    <x v="162"/>
    <x v="102"/>
    <x v="162"/>
    <x v="24"/>
  </r>
  <r>
    <x v="7"/>
    <x v="18"/>
    <x v="2"/>
    <x v="1"/>
    <x v="161"/>
    <x v="163"/>
    <x v="103"/>
    <x v="163"/>
    <x v="25"/>
  </r>
  <r>
    <x v="4"/>
    <x v="11"/>
    <x v="0"/>
    <x v="4"/>
    <x v="162"/>
    <x v="164"/>
    <x v="104"/>
    <x v="164"/>
    <x v="26"/>
  </r>
  <r>
    <x v="5"/>
    <x v="6"/>
    <x v="0"/>
    <x v="5"/>
    <x v="163"/>
    <x v="165"/>
    <x v="105"/>
    <x v="165"/>
    <x v="25"/>
  </r>
  <r>
    <x v="0"/>
    <x v="15"/>
    <x v="0"/>
    <x v="3"/>
    <x v="164"/>
    <x v="166"/>
    <x v="28"/>
    <x v="166"/>
    <x v="24"/>
  </r>
  <r>
    <x v="4"/>
    <x v="20"/>
    <x v="2"/>
    <x v="4"/>
    <x v="165"/>
    <x v="167"/>
    <x v="106"/>
    <x v="167"/>
    <x v="25"/>
  </r>
  <r>
    <x v="4"/>
    <x v="11"/>
    <x v="0"/>
    <x v="5"/>
    <x v="47"/>
    <x v="168"/>
    <x v="0"/>
    <x v="168"/>
    <x v="26"/>
  </r>
  <r>
    <x v="3"/>
    <x v="19"/>
    <x v="0"/>
    <x v="4"/>
    <x v="166"/>
    <x v="169"/>
    <x v="107"/>
    <x v="169"/>
    <x v="25"/>
  </r>
  <r>
    <x v="2"/>
    <x v="30"/>
    <x v="0"/>
    <x v="5"/>
    <x v="167"/>
    <x v="170"/>
    <x v="107"/>
    <x v="170"/>
    <x v="24"/>
  </r>
  <r>
    <x v="4"/>
    <x v="12"/>
    <x v="0"/>
    <x v="2"/>
    <x v="168"/>
    <x v="171"/>
    <x v="0"/>
    <x v="171"/>
    <x v="25"/>
  </r>
  <r>
    <x v="7"/>
    <x v="14"/>
    <x v="0"/>
    <x v="5"/>
    <x v="169"/>
    <x v="172"/>
    <x v="108"/>
    <x v="172"/>
    <x v="26"/>
  </r>
  <r>
    <x v="6"/>
    <x v="13"/>
    <x v="0"/>
    <x v="2"/>
    <x v="169"/>
    <x v="173"/>
    <x v="0"/>
    <x v="173"/>
    <x v="25"/>
  </r>
  <r>
    <x v="3"/>
    <x v="3"/>
    <x v="0"/>
    <x v="0"/>
    <x v="170"/>
    <x v="174"/>
    <x v="79"/>
    <x v="174"/>
    <x v="26"/>
  </r>
  <r>
    <x v="4"/>
    <x v="20"/>
    <x v="2"/>
    <x v="4"/>
    <x v="171"/>
    <x v="175"/>
    <x v="91"/>
    <x v="175"/>
    <x v="25"/>
  </r>
  <r>
    <x v="2"/>
    <x v="30"/>
    <x v="2"/>
    <x v="1"/>
    <x v="10"/>
    <x v="176"/>
    <x v="109"/>
    <x v="176"/>
    <x v="26"/>
  </r>
  <r>
    <x v="0"/>
    <x v="0"/>
    <x v="0"/>
    <x v="0"/>
    <x v="172"/>
    <x v="177"/>
    <x v="110"/>
    <x v="177"/>
    <x v="25"/>
  </r>
  <r>
    <x v="1"/>
    <x v="10"/>
    <x v="0"/>
    <x v="4"/>
    <x v="173"/>
    <x v="178"/>
    <x v="111"/>
    <x v="178"/>
    <x v="26"/>
  </r>
  <r>
    <x v="4"/>
    <x v="20"/>
    <x v="0"/>
    <x v="3"/>
    <x v="174"/>
    <x v="179"/>
    <x v="79"/>
    <x v="179"/>
    <x v="27"/>
  </r>
  <r>
    <x v="0"/>
    <x v="15"/>
    <x v="0"/>
    <x v="2"/>
    <x v="175"/>
    <x v="180"/>
    <x v="61"/>
    <x v="180"/>
    <x v="28"/>
  </r>
  <r>
    <x v="4"/>
    <x v="9"/>
    <x v="0"/>
    <x v="4"/>
    <x v="176"/>
    <x v="181"/>
    <x v="4"/>
    <x v="181"/>
    <x v="29"/>
  </r>
  <r>
    <x v="1"/>
    <x v="1"/>
    <x v="0"/>
    <x v="2"/>
    <x v="177"/>
    <x v="182"/>
    <x v="112"/>
    <x v="182"/>
    <x v="30"/>
  </r>
  <r>
    <x v="5"/>
    <x v="6"/>
    <x v="0"/>
    <x v="1"/>
    <x v="178"/>
    <x v="183"/>
    <x v="113"/>
    <x v="183"/>
    <x v="29"/>
  </r>
  <r>
    <x v="6"/>
    <x v="13"/>
    <x v="0"/>
    <x v="1"/>
    <x v="179"/>
    <x v="184"/>
    <x v="57"/>
    <x v="184"/>
    <x v="30"/>
  </r>
  <r>
    <x v="3"/>
    <x v="27"/>
    <x v="0"/>
    <x v="1"/>
    <x v="180"/>
    <x v="185"/>
    <x v="65"/>
    <x v="185"/>
    <x v="31"/>
  </r>
  <r>
    <x v="5"/>
    <x v="17"/>
    <x v="2"/>
    <x v="3"/>
    <x v="181"/>
    <x v="186"/>
    <x v="114"/>
    <x v="186"/>
    <x v="32"/>
  </r>
  <r>
    <x v="7"/>
    <x v="25"/>
    <x v="0"/>
    <x v="5"/>
    <x v="182"/>
    <x v="187"/>
    <x v="73"/>
    <x v="187"/>
    <x v="31"/>
  </r>
  <r>
    <x v="7"/>
    <x v="32"/>
    <x v="0"/>
    <x v="1"/>
    <x v="183"/>
    <x v="188"/>
    <x v="16"/>
    <x v="188"/>
    <x v="30"/>
  </r>
  <r>
    <x v="6"/>
    <x v="31"/>
    <x v="0"/>
    <x v="0"/>
    <x v="184"/>
    <x v="189"/>
    <x v="115"/>
    <x v="189"/>
    <x v="29"/>
  </r>
  <r>
    <x v="4"/>
    <x v="11"/>
    <x v="0"/>
    <x v="3"/>
    <x v="185"/>
    <x v="190"/>
    <x v="29"/>
    <x v="190"/>
    <x v="30"/>
  </r>
  <r>
    <x v="5"/>
    <x v="17"/>
    <x v="0"/>
    <x v="5"/>
    <x v="186"/>
    <x v="191"/>
    <x v="48"/>
    <x v="191"/>
    <x v="31"/>
  </r>
  <r>
    <x v="1"/>
    <x v="21"/>
    <x v="0"/>
    <x v="4"/>
    <x v="187"/>
    <x v="192"/>
    <x v="62"/>
    <x v="192"/>
    <x v="32"/>
  </r>
  <r>
    <x v="3"/>
    <x v="3"/>
    <x v="0"/>
    <x v="2"/>
    <x v="188"/>
    <x v="193"/>
    <x v="92"/>
    <x v="193"/>
    <x v="31"/>
  </r>
  <r>
    <x v="0"/>
    <x v="0"/>
    <x v="0"/>
    <x v="3"/>
    <x v="189"/>
    <x v="194"/>
    <x v="10"/>
    <x v="194"/>
    <x v="30"/>
  </r>
  <r>
    <x v="0"/>
    <x v="15"/>
    <x v="0"/>
    <x v="1"/>
    <x v="190"/>
    <x v="195"/>
    <x v="0"/>
    <x v="195"/>
    <x v="29"/>
  </r>
  <r>
    <x v="2"/>
    <x v="2"/>
    <x v="0"/>
    <x v="0"/>
    <x v="96"/>
    <x v="196"/>
    <x v="82"/>
    <x v="196"/>
    <x v="28"/>
  </r>
  <r>
    <x v="5"/>
    <x v="6"/>
    <x v="0"/>
    <x v="3"/>
    <x v="191"/>
    <x v="197"/>
    <x v="100"/>
    <x v="197"/>
    <x v="29"/>
  </r>
  <r>
    <x v="5"/>
    <x v="6"/>
    <x v="1"/>
    <x v="1"/>
    <x v="192"/>
    <x v="198"/>
    <x v="18"/>
    <x v="198"/>
    <x v="30"/>
  </r>
  <r>
    <x v="5"/>
    <x v="29"/>
    <x v="0"/>
    <x v="1"/>
    <x v="193"/>
    <x v="199"/>
    <x v="54"/>
    <x v="199"/>
    <x v="29"/>
  </r>
  <r>
    <x v="3"/>
    <x v="3"/>
    <x v="0"/>
    <x v="5"/>
    <x v="166"/>
    <x v="200"/>
    <x v="116"/>
    <x v="200"/>
    <x v="28"/>
  </r>
  <r>
    <x v="4"/>
    <x v="11"/>
    <x v="0"/>
    <x v="0"/>
    <x v="194"/>
    <x v="201"/>
    <x v="0"/>
    <x v="201"/>
    <x v="29"/>
  </r>
  <r>
    <x v="4"/>
    <x v="11"/>
    <x v="0"/>
    <x v="2"/>
    <x v="195"/>
    <x v="202"/>
    <x v="94"/>
    <x v="202"/>
    <x v="28"/>
  </r>
  <r>
    <x v="5"/>
    <x v="29"/>
    <x v="0"/>
    <x v="1"/>
    <x v="196"/>
    <x v="203"/>
    <x v="117"/>
    <x v="203"/>
    <x v="27"/>
  </r>
  <r>
    <x v="3"/>
    <x v="19"/>
    <x v="0"/>
    <x v="3"/>
    <x v="197"/>
    <x v="204"/>
    <x v="118"/>
    <x v="204"/>
    <x v="26"/>
  </r>
  <r>
    <x v="4"/>
    <x v="4"/>
    <x v="2"/>
    <x v="3"/>
    <x v="198"/>
    <x v="205"/>
    <x v="85"/>
    <x v="205"/>
    <x v="25"/>
  </r>
  <r>
    <x v="4"/>
    <x v="5"/>
    <x v="0"/>
    <x v="3"/>
    <x v="199"/>
    <x v="206"/>
    <x v="119"/>
    <x v="206"/>
    <x v="24"/>
  </r>
  <r>
    <x v="3"/>
    <x v="19"/>
    <x v="0"/>
    <x v="0"/>
    <x v="200"/>
    <x v="207"/>
    <x v="100"/>
    <x v="207"/>
    <x v="23"/>
  </r>
  <r>
    <x v="4"/>
    <x v="9"/>
    <x v="0"/>
    <x v="3"/>
    <x v="201"/>
    <x v="208"/>
    <x v="52"/>
    <x v="208"/>
    <x v="22"/>
  </r>
  <r>
    <x v="4"/>
    <x v="12"/>
    <x v="0"/>
    <x v="5"/>
    <x v="202"/>
    <x v="209"/>
    <x v="120"/>
    <x v="209"/>
    <x v="23"/>
  </r>
  <r>
    <x v="7"/>
    <x v="32"/>
    <x v="0"/>
    <x v="2"/>
    <x v="203"/>
    <x v="210"/>
    <x v="77"/>
    <x v="210"/>
    <x v="24"/>
  </r>
  <r>
    <x v="2"/>
    <x v="8"/>
    <x v="1"/>
    <x v="1"/>
    <x v="204"/>
    <x v="211"/>
    <x v="121"/>
    <x v="211"/>
    <x v="23"/>
  </r>
  <r>
    <x v="3"/>
    <x v="7"/>
    <x v="0"/>
    <x v="4"/>
    <x v="205"/>
    <x v="212"/>
    <x v="122"/>
    <x v="212"/>
    <x v="22"/>
  </r>
  <r>
    <x v="6"/>
    <x v="31"/>
    <x v="2"/>
    <x v="4"/>
    <x v="206"/>
    <x v="213"/>
    <x v="123"/>
    <x v="213"/>
    <x v="21"/>
  </r>
  <r>
    <x v="2"/>
    <x v="30"/>
    <x v="0"/>
    <x v="4"/>
    <x v="207"/>
    <x v="214"/>
    <x v="124"/>
    <x v="214"/>
    <x v="22"/>
  </r>
  <r>
    <x v="6"/>
    <x v="13"/>
    <x v="0"/>
    <x v="0"/>
    <x v="208"/>
    <x v="215"/>
    <x v="0"/>
    <x v="215"/>
    <x v="23"/>
  </r>
  <r>
    <x v="0"/>
    <x v="0"/>
    <x v="0"/>
    <x v="0"/>
    <x v="209"/>
    <x v="216"/>
    <x v="30"/>
    <x v="216"/>
    <x v="22"/>
  </r>
  <r>
    <x v="2"/>
    <x v="30"/>
    <x v="0"/>
    <x v="0"/>
    <x v="210"/>
    <x v="217"/>
    <x v="44"/>
    <x v="217"/>
    <x v="21"/>
  </r>
  <r>
    <x v="3"/>
    <x v="3"/>
    <x v="0"/>
    <x v="4"/>
    <x v="211"/>
    <x v="218"/>
    <x v="125"/>
    <x v="218"/>
    <x v="22"/>
  </r>
  <r>
    <x v="5"/>
    <x v="29"/>
    <x v="0"/>
    <x v="4"/>
    <x v="212"/>
    <x v="219"/>
    <x v="84"/>
    <x v="219"/>
    <x v="21"/>
  </r>
  <r>
    <x v="3"/>
    <x v="27"/>
    <x v="0"/>
    <x v="3"/>
    <x v="213"/>
    <x v="220"/>
    <x v="126"/>
    <x v="220"/>
    <x v="22"/>
  </r>
  <r>
    <x v="7"/>
    <x v="25"/>
    <x v="0"/>
    <x v="4"/>
    <x v="214"/>
    <x v="221"/>
    <x v="34"/>
    <x v="221"/>
    <x v="23"/>
  </r>
  <r>
    <x v="4"/>
    <x v="9"/>
    <x v="0"/>
    <x v="0"/>
    <x v="215"/>
    <x v="222"/>
    <x v="127"/>
    <x v="222"/>
    <x v="24"/>
  </r>
  <r>
    <x v="0"/>
    <x v="15"/>
    <x v="0"/>
    <x v="5"/>
    <x v="216"/>
    <x v="223"/>
    <x v="60"/>
    <x v="223"/>
    <x v="25"/>
  </r>
  <r>
    <x v="6"/>
    <x v="22"/>
    <x v="2"/>
    <x v="3"/>
    <x v="217"/>
    <x v="224"/>
    <x v="128"/>
    <x v="224"/>
    <x v="26"/>
  </r>
  <r>
    <x v="6"/>
    <x v="31"/>
    <x v="0"/>
    <x v="3"/>
    <x v="218"/>
    <x v="225"/>
    <x v="129"/>
    <x v="225"/>
    <x v="27"/>
  </r>
  <r>
    <x v="1"/>
    <x v="1"/>
    <x v="0"/>
    <x v="2"/>
    <x v="219"/>
    <x v="226"/>
    <x v="60"/>
    <x v="226"/>
    <x v="28"/>
  </r>
  <r>
    <x v="0"/>
    <x v="0"/>
    <x v="0"/>
    <x v="2"/>
    <x v="220"/>
    <x v="227"/>
    <x v="130"/>
    <x v="227"/>
    <x v="27"/>
  </r>
  <r>
    <x v="5"/>
    <x v="6"/>
    <x v="0"/>
    <x v="5"/>
    <x v="221"/>
    <x v="228"/>
    <x v="131"/>
    <x v="228"/>
    <x v="26"/>
  </r>
  <r>
    <x v="3"/>
    <x v="19"/>
    <x v="0"/>
    <x v="1"/>
    <x v="222"/>
    <x v="229"/>
    <x v="49"/>
    <x v="229"/>
    <x v="27"/>
  </r>
  <r>
    <x v="5"/>
    <x v="6"/>
    <x v="0"/>
    <x v="4"/>
    <x v="223"/>
    <x v="230"/>
    <x v="132"/>
    <x v="230"/>
    <x v="28"/>
  </r>
  <r>
    <x v="7"/>
    <x v="25"/>
    <x v="0"/>
    <x v="4"/>
    <x v="224"/>
    <x v="231"/>
    <x v="0"/>
    <x v="231"/>
    <x v="29"/>
  </r>
  <r>
    <x v="7"/>
    <x v="25"/>
    <x v="0"/>
    <x v="4"/>
    <x v="225"/>
    <x v="232"/>
    <x v="6"/>
    <x v="232"/>
    <x v="30"/>
  </r>
  <r>
    <x v="7"/>
    <x v="25"/>
    <x v="0"/>
    <x v="3"/>
    <x v="226"/>
    <x v="233"/>
    <x v="133"/>
    <x v="233"/>
    <x v="29"/>
  </r>
  <r>
    <x v="4"/>
    <x v="5"/>
    <x v="0"/>
    <x v="3"/>
    <x v="227"/>
    <x v="234"/>
    <x v="134"/>
    <x v="234"/>
    <x v="28"/>
  </r>
  <r>
    <x v="2"/>
    <x v="8"/>
    <x v="0"/>
    <x v="0"/>
    <x v="228"/>
    <x v="235"/>
    <x v="58"/>
    <x v="235"/>
    <x v="27"/>
  </r>
  <r>
    <x v="6"/>
    <x v="16"/>
    <x v="0"/>
    <x v="0"/>
    <x v="229"/>
    <x v="236"/>
    <x v="63"/>
    <x v="236"/>
    <x v="28"/>
  </r>
  <r>
    <x v="4"/>
    <x v="20"/>
    <x v="0"/>
    <x v="0"/>
    <x v="230"/>
    <x v="237"/>
    <x v="109"/>
    <x v="237"/>
    <x v="29"/>
  </r>
  <r>
    <x v="3"/>
    <x v="27"/>
    <x v="0"/>
    <x v="3"/>
    <x v="231"/>
    <x v="238"/>
    <x v="118"/>
    <x v="238"/>
    <x v="30"/>
  </r>
  <r>
    <x v="4"/>
    <x v="11"/>
    <x v="0"/>
    <x v="1"/>
    <x v="232"/>
    <x v="239"/>
    <x v="135"/>
    <x v="239"/>
    <x v="31"/>
  </r>
  <r>
    <x v="1"/>
    <x v="10"/>
    <x v="2"/>
    <x v="4"/>
    <x v="233"/>
    <x v="240"/>
    <x v="0"/>
    <x v="240"/>
    <x v="30"/>
  </r>
  <r>
    <x v="1"/>
    <x v="10"/>
    <x v="0"/>
    <x v="3"/>
    <x v="113"/>
    <x v="241"/>
    <x v="87"/>
    <x v="241"/>
    <x v="31"/>
  </r>
  <r>
    <x v="1"/>
    <x v="10"/>
    <x v="2"/>
    <x v="4"/>
    <x v="234"/>
    <x v="242"/>
    <x v="88"/>
    <x v="242"/>
    <x v="30"/>
  </r>
  <r>
    <x v="0"/>
    <x v="15"/>
    <x v="2"/>
    <x v="2"/>
    <x v="14"/>
    <x v="243"/>
    <x v="136"/>
    <x v="243"/>
    <x v="29"/>
  </r>
  <r>
    <x v="4"/>
    <x v="5"/>
    <x v="0"/>
    <x v="5"/>
    <x v="235"/>
    <x v="244"/>
    <x v="137"/>
    <x v="244"/>
    <x v="30"/>
  </r>
  <r>
    <x v="1"/>
    <x v="1"/>
    <x v="0"/>
    <x v="0"/>
    <x v="236"/>
    <x v="245"/>
    <x v="7"/>
    <x v="245"/>
    <x v="29"/>
  </r>
  <r>
    <x v="0"/>
    <x v="0"/>
    <x v="1"/>
    <x v="4"/>
    <x v="237"/>
    <x v="246"/>
    <x v="0"/>
    <x v="246"/>
    <x v="28"/>
  </r>
  <r>
    <x v="1"/>
    <x v="21"/>
    <x v="0"/>
    <x v="1"/>
    <x v="238"/>
    <x v="247"/>
    <x v="138"/>
    <x v="247"/>
    <x v="27"/>
  </r>
  <r>
    <x v="1"/>
    <x v="10"/>
    <x v="0"/>
    <x v="3"/>
    <x v="239"/>
    <x v="248"/>
    <x v="54"/>
    <x v="248"/>
    <x v="26"/>
  </r>
  <r>
    <x v="5"/>
    <x v="17"/>
    <x v="2"/>
    <x v="2"/>
    <x v="122"/>
    <x v="249"/>
    <x v="139"/>
    <x v="249"/>
    <x v="25"/>
  </r>
  <r>
    <x v="6"/>
    <x v="31"/>
    <x v="0"/>
    <x v="2"/>
    <x v="240"/>
    <x v="250"/>
    <x v="140"/>
    <x v="250"/>
    <x v="24"/>
  </r>
  <r>
    <x v="0"/>
    <x v="24"/>
    <x v="0"/>
    <x v="0"/>
    <x v="241"/>
    <x v="251"/>
    <x v="7"/>
    <x v="251"/>
    <x v="25"/>
  </r>
  <r>
    <x v="5"/>
    <x v="29"/>
    <x v="0"/>
    <x v="4"/>
    <x v="242"/>
    <x v="252"/>
    <x v="56"/>
    <x v="252"/>
    <x v="24"/>
  </r>
  <r>
    <x v="6"/>
    <x v="13"/>
    <x v="0"/>
    <x v="2"/>
    <x v="243"/>
    <x v="253"/>
    <x v="67"/>
    <x v="253"/>
    <x v="23"/>
  </r>
  <r>
    <x v="4"/>
    <x v="5"/>
    <x v="2"/>
    <x v="0"/>
    <x v="244"/>
    <x v="254"/>
    <x v="141"/>
    <x v="254"/>
    <x v="22"/>
  </r>
  <r>
    <x v="7"/>
    <x v="32"/>
    <x v="2"/>
    <x v="3"/>
    <x v="245"/>
    <x v="255"/>
    <x v="28"/>
    <x v="255"/>
    <x v="23"/>
  </r>
  <r>
    <x v="1"/>
    <x v="21"/>
    <x v="0"/>
    <x v="3"/>
    <x v="246"/>
    <x v="256"/>
    <x v="20"/>
    <x v="256"/>
    <x v="22"/>
  </r>
  <r>
    <x v="2"/>
    <x v="8"/>
    <x v="2"/>
    <x v="0"/>
    <x v="247"/>
    <x v="257"/>
    <x v="98"/>
    <x v="257"/>
    <x v="21"/>
  </r>
  <r>
    <x v="7"/>
    <x v="25"/>
    <x v="0"/>
    <x v="1"/>
    <x v="248"/>
    <x v="258"/>
    <x v="142"/>
    <x v="258"/>
    <x v="33"/>
  </r>
  <r>
    <x v="4"/>
    <x v="20"/>
    <x v="2"/>
    <x v="3"/>
    <x v="249"/>
    <x v="259"/>
    <x v="143"/>
    <x v="259"/>
    <x v="21"/>
  </r>
  <r>
    <x v="3"/>
    <x v="7"/>
    <x v="1"/>
    <x v="0"/>
    <x v="250"/>
    <x v="260"/>
    <x v="103"/>
    <x v="260"/>
    <x v="22"/>
  </r>
  <r>
    <x v="1"/>
    <x v="10"/>
    <x v="0"/>
    <x v="2"/>
    <x v="251"/>
    <x v="261"/>
    <x v="130"/>
    <x v="261"/>
    <x v="21"/>
  </r>
  <r>
    <x v="4"/>
    <x v="9"/>
    <x v="0"/>
    <x v="5"/>
    <x v="241"/>
    <x v="262"/>
    <x v="0"/>
    <x v="262"/>
    <x v="33"/>
  </r>
  <r>
    <x v="7"/>
    <x v="32"/>
    <x v="2"/>
    <x v="5"/>
    <x v="252"/>
    <x v="263"/>
    <x v="144"/>
    <x v="263"/>
    <x v="17"/>
  </r>
  <r>
    <x v="5"/>
    <x v="29"/>
    <x v="1"/>
    <x v="5"/>
    <x v="253"/>
    <x v="264"/>
    <x v="21"/>
    <x v="264"/>
    <x v="33"/>
  </r>
  <r>
    <x v="2"/>
    <x v="23"/>
    <x v="2"/>
    <x v="4"/>
    <x v="254"/>
    <x v="265"/>
    <x v="68"/>
    <x v="265"/>
    <x v="17"/>
  </r>
  <r>
    <x v="2"/>
    <x v="8"/>
    <x v="2"/>
    <x v="0"/>
    <x v="255"/>
    <x v="266"/>
    <x v="112"/>
    <x v="266"/>
    <x v="34"/>
  </r>
  <r>
    <x v="2"/>
    <x v="8"/>
    <x v="0"/>
    <x v="3"/>
    <x v="256"/>
    <x v="267"/>
    <x v="29"/>
    <x v="267"/>
    <x v="11"/>
  </r>
  <r>
    <x v="0"/>
    <x v="28"/>
    <x v="0"/>
    <x v="3"/>
    <x v="257"/>
    <x v="268"/>
    <x v="145"/>
    <x v="268"/>
    <x v="35"/>
  </r>
  <r>
    <x v="6"/>
    <x v="22"/>
    <x v="0"/>
    <x v="1"/>
    <x v="258"/>
    <x v="269"/>
    <x v="80"/>
    <x v="269"/>
    <x v="7"/>
  </r>
  <r>
    <x v="5"/>
    <x v="17"/>
    <x v="1"/>
    <x v="2"/>
    <x v="259"/>
    <x v="270"/>
    <x v="10"/>
    <x v="270"/>
    <x v="35"/>
  </r>
  <r>
    <x v="5"/>
    <x v="6"/>
    <x v="0"/>
    <x v="3"/>
    <x v="260"/>
    <x v="271"/>
    <x v="136"/>
    <x v="271"/>
    <x v="7"/>
  </r>
  <r>
    <x v="5"/>
    <x v="6"/>
    <x v="1"/>
    <x v="1"/>
    <x v="261"/>
    <x v="272"/>
    <x v="114"/>
    <x v="272"/>
    <x v="6"/>
  </r>
  <r>
    <x v="1"/>
    <x v="21"/>
    <x v="0"/>
    <x v="0"/>
    <x v="262"/>
    <x v="273"/>
    <x v="146"/>
    <x v="273"/>
    <x v="7"/>
  </r>
  <r>
    <x v="7"/>
    <x v="32"/>
    <x v="0"/>
    <x v="4"/>
    <x v="263"/>
    <x v="274"/>
    <x v="26"/>
    <x v="274"/>
    <x v="6"/>
  </r>
  <r>
    <x v="7"/>
    <x v="25"/>
    <x v="2"/>
    <x v="3"/>
    <x v="264"/>
    <x v="275"/>
    <x v="147"/>
    <x v="275"/>
    <x v="7"/>
  </r>
  <r>
    <x v="5"/>
    <x v="29"/>
    <x v="2"/>
    <x v="2"/>
    <x v="265"/>
    <x v="276"/>
    <x v="148"/>
    <x v="276"/>
    <x v="6"/>
  </r>
  <r>
    <x v="3"/>
    <x v="27"/>
    <x v="0"/>
    <x v="4"/>
    <x v="266"/>
    <x v="277"/>
    <x v="76"/>
    <x v="277"/>
    <x v="5"/>
  </r>
  <r>
    <x v="2"/>
    <x v="23"/>
    <x v="0"/>
    <x v="5"/>
    <x v="267"/>
    <x v="278"/>
    <x v="21"/>
    <x v="278"/>
    <x v="4"/>
  </r>
  <r>
    <x v="5"/>
    <x v="17"/>
    <x v="0"/>
    <x v="0"/>
    <x v="268"/>
    <x v="279"/>
    <x v="118"/>
    <x v="279"/>
    <x v="3"/>
  </r>
  <r>
    <x v="5"/>
    <x v="17"/>
    <x v="0"/>
    <x v="2"/>
    <x v="269"/>
    <x v="280"/>
    <x v="0"/>
    <x v="280"/>
    <x v="4"/>
  </r>
  <r>
    <x v="0"/>
    <x v="28"/>
    <x v="0"/>
    <x v="3"/>
    <x v="270"/>
    <x v="281"/>
    <x v="149"/>
    <x v="281"/>
    <x v="5"/>
  </r>
  <r>
    <x v="0"/>
    <x v="24"/>
    <x v="0"/>
    <x v="0"/>
    <x v="271"/>
    <x v="282"/>
    <x v="46"/>
    <x v="282"/>
    <x v="6"/>
  </r>
  <r>
    <x v="4"/>
    <x v="11"/>
    <x v="0"/>
    <x v="4"/>
    <x v="272"/>
    <x v="283"/>
    <x v="150"/>
    <x v="283"/>
    <x v="7"/>
  </r>
  <r>
    <x v="7"/>
    <x v="32"/>
    <x v="0"/>
    <x v="4"/>
    <x v="273"/>
    <x v="284"/>
    <x v="43"/>
    <x v="284"/>
    <x v="6"/>
  </r>
  <r>
    <x v="4"/>
    <x v="20"/>
    <x v="0"/>
    <x v="4"/>
    <x v="274"/>
    <x v="285"/>
    <x v="10"/>
    <x v="285"/>
    <x v="5"/>
  </r>
  <r>
    <x v="0"/>
    <x v="0"/>
    <x v="0"/>
    <x v="4"/>
    <x v="275"/>
    <x v="286"/>
    <x v="0"/>
    <x v="286"/>
    <x v="6"/>
  </r>
  <r>
    <x v="7"/>
    <x v="32"/>
    <x v="0"/>
    <x v="1"/>
    <x v="276"/>
    <x v="287"/>
    <x v="104"/>
    <x v="287"/>
    <x v="5"/>
  </r>
  <r>
    <x v="6"/>
    <x v="13"/>
    <x v="0"/>
    <x v="3"/>
    <x v="277"/>
    <x v="288"/>
    <x v="29"/>
    <x v="288"/>
    <x v="6"/>
  </r>
  <r>
    <x v="3"/>
    <x v="7"/>
    <x v="2"/>
    <x v="5"/>
    <x v="278"/>
    <x v="289"/>
    <x v="124"/>
    <x v="289"/>
    <x v="7"/>
  </r>
  <r>
    <x v="4"/>
    <x v="9"/>
    <x v="2"/>
    <x v="4"/>
    <x v="279"/>
    <x v="290"/>
    <x v="123"/>
    <x v="290"/>
    <x v="6"/>
  </r>
  <r>
    <x v="4"/>
    <x v="11"/>
    <x v="2"/>
    <x v="4"/>
    <x v="280"/>
    <x v="291"/>
    <x v="149"/>
    <x v="291"/>
    <x v="5"/>
  </r>
  <r>
    <x v="5"/>
    <x v="17"/>
    <x v="0"/>
    <x v="2"/>
    <x v="281"/>
    <x v="292"/>
    <x v="100"/>
    <x v="292"/>
    <x v="4"/>
  </r>
  <r>
    <x v="0"/>
    <x v="28"/>
    <x v="0"/>
    <x v="5"/>
    <x v="282"/>
    <x v="293"/>
    <x v="151"/>
    <x v="293"/>
    <x v="3"/>
  </r>
  <r>
    <x v="4"/>
    <x v="4"/>
    <x v="0"/>
    <x v="3"/>
    <x v="283"/>
    <x v="294"/>
    <x v="152"/>
    <x v="294"/>
    <x v="4"/>
  </r>
  <r>
    <x v="7"/>
    <x v="25"/>
    <x v="0"/>
    <x v="4"/>
    <x v="284"/>
    <x v="295"/>
    <x v="133"/>
    <x v="295"/>
    <x v="5"/>
  </r>
  <r>
    <x v="2"/>
    <x v="23"/>
    <x v="0"/>
    <x v="3"/>
    <x v="285"/>
    <x v="296"/>
    <x v="136"/>
    <x v="296"/>
    <x v="4"/>
  </r>
  <r>
    <x v="4"/>
    <x v="11"/>
    <x v="0"/>
    <x v="4"/>
    <x v="286"/>
    <x v="297"/>
    <x v="0"/>
    <x v="297"/>
    <x v="5"/>
  </r>
  <r>
    <x v="3"/>
    <x v="3"/>
    <x v="0"/>
    <x v="1"/>
    <x v="287"/>
    <x v="298"/>
    <x v="153"/>
    <x v="298"/>
    <x v="4"/>
  </r>
  <r>
    <x v="4"/>
    <x v="5"/>
    <x v="0"/>
    <x v="5"/>
    <x v="288"/>
    <x v="299"/>
    <x v="127"/>
    <x v="299"/>
    <x v="3"/>
  </r>
  <r>
    <x v="4"/>
    <x v="11"/>
    <x v="0"/>
    <x v="5"/>
    <x v="289"/>
    <x v="300"/>
    <x v="154"/>
    <x v="300"/>
    <x v="36"/>
  </r>
  <r>
    <x v="7"/>
    <x v="26"/>
    <x v="0"/>
    <x v="0"/>
    <x v="204"/>
    <x v="301"/>
    <x v="30"/>
    <x v="301"/>
    <x v="3"/>
  </r>
  <r>
    <x v="7"/>
    <x v="25"/>
    <x v="2"/>
    <x v="0"/>
    <x v="290"/>
    <x v="302"/>
    <x v="155"/>
    <x v="302"/>
    <x v="4"/>
  </r>
  <r>
    <x v="3"/>
    <x v="19"/>
    <x v="0"/>
    <x v="1"/>
    <x v="291"/>
    <x v="303"/>
    <x v="156"/>
    <x v="303"/>
    <x v="3"/>
  </r>
  <r>
    <x v="2"/>
    <x v="30"/>
    <x v="0"/>
    <x v="0"/>
    <x v="292"/>
    <x v="304"/>
    <x v="0"/>
    <x v="304"/>
    <x v="36"/>
  </r>
  <r>
    <x v="1"/>
    <x v="10"/>
    <x v="0"/>
    <x v="2"/>
    <x v="293"/>
    <x v="305"/>
    <x v="127"/>
    <x v="305"/>
    <x v="37"/>
  </r>
  <r>
    <x v="7"/>
    <x v="18"/>
    <x v="0"/>
    <x v="5"/>
    <x v="294"/>
    <x v="306"/>
    <x v="150"/>
    <x v="306"/>
    <x v="38"/>
  </r>
  <r>
    <x v="0"/>
    <x v="28"/>
    <x v="0"/>
    <x v="2"/>
    <x v="295"/>
    <x v="307"/>
    <x v="110"/>
    <x v="307"/>
    <x v="39"/>
  </r>
  <r>
    <x v="5"/>
    <x v="29"/>
    <x v="0"/>
    <x v="1"/>
    <x v="286"/>
    <x v="308"/>
    <x v="119"/>
    <x v="308"/>
    <x v="40"/>
  </r>
  <r>
    <x v="6"/>
    <x v="16"/>
    <x v="0"/>
    <x v="5"/>
    <x v="296"/>
    <x v="309"/>
    <x v="66"/>
    <x v="309"/>
    <x v="41"/>
  </r>
  <r>
    <x v="0"/>
    <x v="0"/>
    <x v="0"/>
    <x v="2"/>
    <x v="297"/>
    <x v="310"/>
    <x v="0"/>
    <x v="310"/>
    <x v="42"/>
  </r>
  <r>
    <x v="4"/>
    <x v="4"/>
    <x v="0"/>
    <x v="4"/>
    <x v="298"/>
    <x v="311"/>
    <x v="59"/>
    <x v="311"/>
    <x v="41"/>
  </r>
  <r>
    <x v="4"/>
    <x v="20"/>
    <x v="0"/>
    <x v="4"/>
    <x v="299"/>
    <x v="312"/>
    <x v="56"/>
    <x v="312"/>
    <x v="40"/>
  </r>
  <r>
    <x v="1"/>
    <x v="10"/>
    <x v="2"/>
    <x v="4"/>
    <x v="300"/>
    <x v="313"/>
    <x v="154"/>
    <x v="313"/>
    <x v="39"/>
  </r>
  <r>
    <x v="5"/>
    <x v="17"/>
    <x v="0"/>
    <x v="1"/>
    <x v="301"/>
    <x v="314"/>
    <x v="35"/>
    <x v="314"/>
    <x v="40"/>
  </r>
  <r>
    <x v="2"/>
    <x v="30"/>
    <x v="0"/>
    <x v="0"/>
    <x v="302"/>
    <x v="315"/>
    <x v="88"/>
    <x v="315"/>
    <x v="41"/>
  </r>
  <r>
    <x v="0"/>
    <x v="24"/>
    <x v="0"/>
    <x v="3"/>
    <x v="303"/>
    <x v="316"/>
    <x v="157"/>
    <x v="316"/>
    <x v="40"/>
  </r>
  <r>
    <x v="4"/>
    <x v="5"/>
    <x v="2"/>
    <x v="1"/>
    <x v="304"/>
    <x v="317"/>
    <x v="26"/>
    <x v="317"/>
    <x v="39"/>
  </r>
  <r>
    <x v="4"/>
    <x v="11"/>
    <x v="0"/>
    <x v="5"/>
    <x v="305"/>
    <x v="318"/>
    <x v="106"/>
    <x v="318"/>
    <x v="38"/>
  </r>
  <r>
    <x v="6"/>
    <x v="13"/>
    <x v="0"/>
    <x v="0"/>
    <x v="306"/>
    <x v="319"/>
    <x v="112"/>
    <x v="319"/>
    <x v="39"/>
  </r>
  <r>
    <x v="7"/>
    <x v="32"/>
    <x v="0"/>
    <x v="1"/>
    <x v="307"/>
    <x v="320"/>
    <x v="134"/>
    <x v="320"/>
    <x v="38"/>
  </r>
  <r>
    <x v="2"/>
    <x v="23"/>
    <x v="0"/>
    <x v="1"/>
    <x v="308"/>
    <x v="321"/>
    <x v="120"/>
    <x v="321"/>
    <x v="39"/>
  </r>
  <r>
    <x v="3"/>
    <x v="27"/>
    <x v="0"/>
    <x v="3"/>
    <x v="309"/>
    <x v="322"/>
    <x v="67"/>
    <x v="322"/>
    <x v="38"/>
  </r>
  <r>
    <x v="6"/>
    <x v="13"/>
    <x v="0"/>
    <x v="5"/>
    <x v="310"/>
    <x v="323"/>
    <x v="86"/>
    <x v="323"/>
    <x v="37"/>
  </r>
  <r>
    <x v="1"/>
    <x v="10"/>
    <x v="0"/>
    <x v="4"/>
    <x v="311"/>
    <x v="324"/>
    <x v="158"/>
    <x v="324"/>
    <x v="36"/>
  </r>
  <r>
    <x v="2"/>
    <x v="8"/>
    <x v="0"/>
    <x v="0"/>
    <x v="312"/>
    <x v="325"/>
    <x v="127"/>
    <x v="325"/>
    <x v="3"/>
  </r>
  <r>
    <x v="7"/>
    <x v="25"/>
    <x v="0"/>
    <x v="1"/>
    <x v="313"/>
    <x v="326"/>
    <x v="62"/>
    <x v="326"/>
    <x v="4"/>
  </r>
  <r>
    <x v="3"/>
    <x v="3"/>
    <x v="0"/>
    <x v="3"/>
    <x v="314"/>
    <x v="327"/>
    <x v="52"/>
    <x v="327"/>
    <x v="3"/>
  </r>
  <r>
    <x v="0"/>
    <x v="28"/>
    <x v="0"/>
    <x v="1"/>
    <x v="315"/>
    <x v="328"/>
    <x v="18"/>
    <x v="328"/>
    <x v="36"/>
  </r>
  <r>
    <x v="6"/>
    <x v="22"/>
    <x v="0"/>
    <x v="4"/>
    <x v="316"/>
    <x v="329"/>
    <x v="39"/>
    <x v="329"/>
    <x v="37"/>
  </r>
  <r>
    <x v="0"/>
    <x v="24"/>
    <x v="0"/>
    <x v="1"/>
    <x v="317"/>
    <x v="330"/>
    <x v="15"/>
    <x v="330"/>
    <x v="43"/>
  </r>
  <r>
    <x v="2"/>
    <x v="30"/>
    <x v="0"/>
    <x v="0"/>
    <x v="318"/>
    <x v="331"/>
    <x v="159"/>
    <x v="331"/>
    <x v="37"/>
  </r>
  <r>
    <x v="4"/>
    <x v="9"/>
    <x v="0"/>
    <x v="2"/>
    <x v="319"/>
    <x v="332"/>
    <x v="103"/>
    <x v="332"/>
    <x v="38"/>
  </r>
  <r>
    <x v="4"/>
    <x v="12"/>
    <x v="2"/>
    <x v="1"/>
    <x v="320"/>
    <x v="333"/>
    <x v="125"/>
    <x v="333"/>
    <x v="37"/>
  </r>
  <r>
    <x v="4"/>
    <x v="12"/>
    <x v="0"/>
    <x v="1"/>
    <x v="321"/>
    <x v="334"/>
    <x v="160"/>
    <x v="334"/>
    <x v="43"/>
  </r>
  <r>
    <x v="4"/>
    <x v="5"/>
    <x v="0"/>
    <x v="4"/>
    <x v="322"/>
    <x v="335"/>
    <x v="104"/>
    <x v="335"/>
    <x v="5"/>
  </r>
  <r>
    <x v="5"/>
    <x v="29"/>
    <x v="0"/>
    <x v="5"/>
    <x v="323"/>
    <x v="336"/>
    <x v="161"/>
    <x v="336"/>
    <x v="6"/>
  </r>
  <r>
    <x v="2"/>
    <x v="30"/>
    <x v="0"/>
    <x v="0"/>
    <x v="324"/>
    <x v="337"/>
    <x v="0"/>
    <x v="337"/>
    <x v="5"/>
  </r>
  <r>
    <x v="7"/>
    <x v="25"/>
    <x v="0"/>
    <x v="0"/>
    <x v="325"/>
    <x v="338"/>
    <x v="162"/>
    <x v="338"/>
    <x v="6"/>
  </r>
  <r>
    <x v="4"/>
    <x v="11"/>
    <x v="0"/>
    <x v="1"/>
    <x v="326"/>
    <x v="339"/>
    <x v="0"/>
    <x v="339"/>
    <x v="5"/>
  </r>
  <r>
    <x v="7"/>
    <x v="32"/>
    <x v="0"/>
    <x v="3"/>
    <x v="327"/>
    <x v="340"/>
    <x v="0"/>
    <x v="340"/>
    <x v="43"/>
  </r>
  <r>
    <x v="7"/>
    <x v="32"/>
    <x v="0"/>
    <x v="0"/>
    <x v="328"/>
    <x v="341"/>
    <x v="2"/>
    <x v="341"/>
    <x v="37"/>
  </r>
  <r>
    <x v="4"/>
    <x v="4"/>
    <x v="0"/>
    <x v="1"/>
    <x v="293"/>
    <x v="342"/>
    <x v="93"/>
    <x v="342"/>
    <x v="38"/>
  </r>
  <r>
    <x v="0"/>
    <x v="28"/>
    <x v="0"/>
    <x v="5"/>
    <x v="329"/>
    <x v="343"/>
    <x v="0"/>
    <x v="343"/>
    <x v="37"/>
  </r>
  <r>
    <x v="0"/>
    <x v="28"/>
    <x v="0"/>
    <x v="5"/>
    <x v="330"/>
    <x v="344"/>
    <x v="163"/>
    <x v="344"/>
    <x v="38"/>
  </r>
  <r>
    <x v="3"/>
    <x v="19"/>
    <x v="0"/>
    <x v="4"/>
    <x v="331"/>
    <x v="345"/>
    <x v="164"/>
    <x v="345"/>
    <x v="37"/>
  </r>
  <r>
    <x v="3"/>
    <x v="19"/>
    <x v="0"/>
    <x v="1"/>
    <x v="332"/>
    <x v="346"/>
    <x v="12"/>
    <x v="346"/>
    <x v="38"/>
  </r>
  <r>
    <x v="4"/>
    <x v="9"/>
    <x v="0"/>
    <x v="1"/>
    <x v="333"/>
    <x v="347"/>
    <x v="133"/>
    <x v="347"/>
    <x v="39"/>
  </r>
  <r>
    <x v="0"/>
    <x v="15"/>
    <x v="0"/>
    <x v="2"/>
    <x v="334"/>
    <x v="348"/>
    <x v="146"/>
    <x v="348"/>
    <x v="38"/>
  </r>
  <r>
    <x v="3"/>
    <x v="7"/>
    <x v="0"/>
    <x v="4"/>
    <x v="335"/>
    <x v="349"/>
    <x v="0"/>
    <x v="349"/>
    <x v="37"/>
  </r>
  <r>
    <x v="7"/>
    <x v="26"/>
    <x v="0"/>
    <x v="2"/>
    <x v="336"/>
    <x v="350"/>
    <x v="55"/>
    <x v="350"/>
    <x v="38"/>
  </r>
  <r>
    <x v="5"/>
    <x v="17"/>
    <x v="0"/>
    <x v="3"/>
    <x v="337"/>
    <x v="351"/>
    <x v="138"/>
    <x v="351"/>
    <x v="39"/>
  </r>
  <r>
    <x v="3"/>
    <x v="19"/>
    <x v="0"/>
    <x v="4"/>
    <x v="338"/>
    <x v="352"/>
    <x v="0"/>
    <x v="352"/>
    <x v="40"/>
  </r>
  <r>
    <x v="4"/>
    <x v="5"/>
    <x v="0"/>
    <x v="4"/>
    <x v="77"/>
    <x v="353"/>
    <x v="165"/>
    <x v="353"/>
    <x v="41"/>
  </r>
  <r>
    <x v="4"/>
    <x v="20"/>
    <x v="0"/>
    <x v="5"/>
    <x v="339"/>
    <x v="354"/>
    <x v="33"/>
    <x v="354"/>
    <x v="40"/>
  </r>
  <r>
    <x v="3"/>
    <x v="27"/>
    <x v="0"/>
    <x v="3"/>
    <x v="340"/>
    <x v="355"/>
    <x v="32"/>
    <x v="355"/>
    <x v="39"/>
  </r>
  <r>
    <x v="4"/>
    <x v="12"/>
    <x v="0"/>
    <x v="1"/>
    <x v="341"/>
    <x v="356"/>
    <x v="133"/>
    <x v="356"/>
    <x v="40"/>
  </r>
  <r>
    <x v="7"/>
    <x v="32"/>
    <x v="0"/>
    <x v="4"/>
    <x v="342"/>
    <x v="357"/>
    <x v="104"/>
    <x v="357"/>
    <x v="39"/>
  </r>
  <r>
    <x v="1"/>
    <x v="21"/>
    <x v="0"/>
    <x v="3"/>
    <x v="343"/>
    <x v="358"/>
    <x v="85"/>
    <x v="358"/>
    <x v="40"/>
  </r>
  <r>
    <x v="7"/>
    <x v="14"/>
    <x v="0"/>
    <x v="0"/>
    <x v="344"/>
    <x v="359"/>
    <x v="109"/>
    <x v="359"/>
    <x v="41"/>
  </r>
  <r>
    <x v="0"/>
    <x v="15"/>
    <x v="0"/>
    <x v="1"/>
    <x v="345"/>
    <x v="360"/>
    <x v="0"/>
    <x v="360"/>
    <x v="42"/>
  </r>
  <r>
    <x v="3"/>
    <x v="7"/>
    <x v="0"/>
    <x v="1"/>
    <x v="346"/>
    <x v="361"/>
    <x v="134"/>
    <x v="361"/>
    <x v="41"/>
  </r>
  <r>
    <x v="0"/>
    <x v="28"/>
    <x v="0"/>
    <x v="4"/>
    <x v="347"/>
    <x v="362"/>
    <x v="25"/>
    <x v="362"/>
    <x v="42"/>
  </r>
  <r>
    <x v="7"/>
    <x v="14"/>
    <x v="0"/>
    <x v="3"/>
    <x v="348"/>
    <x v="363"/>
    <x v="68"/>
    <x v="363"/>
    <x v="41"/>
  </r>
  <r>
    <x v="1"/>
    <x v="10"/>
    <x v="0"/>
    <x v="5"/>
    <x v="349"/>
    <x v="364"/>
    <x v="133"/>
    <x v="364"/>
    <x v="42"/>
  </r>
  <r>
    <x v="0"/>
    <x v="0"/>
    <x v="0"/>
    <x v="1"/>
    <x v="350"/>
    <x v="365"/>
    <x v="0"/>
    <x v="365"/>
    <x v="44"/>
  </r>
  <r>
    <x v="1"/>
    <x v="10"/>
    <x v="1"/>
    <x v="0"/>
    <x v="72"/>
    <x v="366"/>
    <x v="21"/>
    <x v="366"/>
    <x v="45"/>
  </r>
  <r>
    <x v="1"/>
    <x v="10"/>
    <x v="2"/>
    <x v="1"/>
    <x v="351"/>
    <x v="367"/>
    <x v="0"/>
    <x v="367"/>
    <x v="46"/>
  </r>
  <r>
    <x v="4"/>
    <x v="11"/>
    <x v="0"/>
    <x v="1"/>
    <x v="83"/>
    <x v="368"/>
    <x v="82"/>
    <x v="368"/>
    <x v="45"/>
  </r>
  <r>
    <x v="4"/>
    <x v="9"/>
    <x v="2"/>
    <x v="1"/>
    <x v="352"/>
    <x v="369"/>
    <x v="26"/>
    <x v="369"/>
    <x v="44"/>
  </r>
  <r>
    <x v="4"/>
    <x v="12"/>
    <x v="0"/>
    <x v="2"/>
    <x v="353"/>
    <x v="370"/>
    <x v="166"/>
    <x v="370"/>
    <x v="42"/>
  </r>
  <r>
    <x v="4"/>
    <x v="11"/>
    <x v="0"/>
    <x v="1"/>
    <x v="354"/>
    <x v="371"/>
    <x v="10"/>
    <x v="371"/>
    <x v="41"/>
  </r>
  <r>
    <x v="4"/>
    <x v="4"/>
    <x v="0"/>
    <x v="2"/>
    <x v="355"/>
    <x v="372"/>
    <x v="167"/>
    <x v="372"/>
    <x v="42"/>
  </r>
  <r>
    <x v="2"/>
    <x v="8"/>
    <x v="0"/>
    <x v="3"/>
    <x v="356"/>
    <x v="373"/>
    <x v="156"/>
    <x v="373"/>
    <x v="41"/>
  </r>
  <r>
    <x v="4"/>
    <x v="9"/>
    <x v="1"/>
    <x v="4"/>
    <x v="113"/>
    <x v="374"/>
    <x v="0"/>
    <x v="374"/>
    <x v="42"/>
  </r>
  <r>
    <x v="6"/>
    <x v="16"/>
    <x v="0"/>
    <x v="3"/>
    <x v="357"/>
    <x v="375"/>
    <x v="148"/>
    <x v="375"/>
    <x v="41"/>
  </r>
  <r>
    <x v="5"/>
    <x v="17"/>
    <x v="0"/>
    <x v="3"/>
    <x v="120"/>
    <x v="376"/>
    <x v="64"/>
    <x v="376"/>
    <x v="40"/>
  </r>
  <r>
    <x v="4"/>
    <x v="20"/>
    <x v="1"/>
    <x v="1"/>
    <x v="358"/>
    <x v="377"/>
    <x v="168"/>
    <x v="377"/>
    <x v="39"/>
  </r>
  <r>
    <x v="5"/>
    <x v="17"/>
    <x v="0"/>
    <x v="0"/>
    <x v="359"/>
    <x v="378"/>
    <x v="78"/>
    <x v="378"/>
    <x v="38"/>
  </r>
  <r>
    <x v="6"/>
    <x v="31"/>
    <x v="2"/>
    <x v="1"/>
    <x v="360"/>
    <x v="379"/>
    <x v="169"/>
    <x v="379"/>
    <x v="39"/>
  </r>
  <r>
    <x v="4"/>
    <x v="11"/>
    <x v="2"/>
    <x v="5"/>
    <x v="361"/>
    <x v="380"/>
    <x v="170"/>
    <x v="380"/>
    <x v="38"/>
  </r>
  <r>
    <x v="2"/>
    <x v="8"/>
    <x v="0"/>
    <x v="4"/>
    <x v="362"/>
    <x v="381"/>
    <x v="108"/>
    <x v="381"/>
    <x v="39"/>
  </r>
  <r>
    <x v="3"/>
    <x v="27"/>
    <x v="0"/>
    <x v="1"/>
    <x v="363"/>
    <x v="382"/>
    <x v="171"/>
    <x v="382"/>
    <x v="38"/>
  </r>
  <r>
    <x v="5"/>
    <x v="29"/>
    <x v="0"/>
    <x v="0"/>
    <x v="364"/>
    <x v="383"/>
    <x v="77"/>
    <x v="383"/>
    <x v="39"/>
  </r>
  <r>
    <x v="2"/>
    <x v="30"/>
    <x v="0"/>
    <x v="1"/>
    <x v="365"/>
    <x v="384"/>
    <x v="160"/>
    <x v="384"/>
    <x v="40"/>
  </r>
  <r>
    <x v="5"/>
    <x v="29"/>
    <x v="0"/>
    <x v="0"/>
    <x v="366"/>
    <x v="385"/>
    <x v="172"/>
    <x v="385"/>
    <x v="41"/>
  </r>
  <r>
    <x v="6"/>
    <x v="31"/>
    <x v="0"/>
    <x v="4"/>
    <x v="40"/>
    <x v="386"/>
    <x v="173"/>
    <x v="386"/>
    <x v="42"/>
  </r>
  <r>
    <x v="4"/>
    <x v="11"/>
    <x v="0"/>
    <x v="5"/>
    <x v="367"/>
    <x v="387"/>
    <x v="94"/>
    <x v="387"/>
    <x v="41"/>
  </r>
  <r>
    <x v="2"/>
    <x v="2"/>
    <x v="0"/>
    <x v="4"/>
    <x v="368"/>
    <x v="388"/>
    <x v="174"/>
    <x v="388"/>
    <x v="40"/>
  </r>
  <r>
    <x v="5"/>
    <x v="17"/>
    <x v="0"/>
    <x v="4"/>
    <x v="369"/>
    <x v="389"/>
    <x v="0"/>
    <x v="389"/>
    <x v="41"/>
  </r>
  <r>
    <x v="1"/>
    <x v="21"/>
    <x v="0"/>
    <x v="0"/>
    <x v="370"/>
    <x v="390"/>
    <x v="114"/>
    <x v="390"/>
    <x v="42"/>
  </r>
  <r>
    <x v="0"/>
    <x v="0"/>
    <x v="0"/>
    <x v="3"/>
    <x v="371"/>
    <x v="391"/>
    <x v="153"/>
    <x v="391"/>
    <x v="44"/>
  </r>
  <r>
    <x v="0"/>
    <x v="0"/>
    <x v="0"/>
    <x v="0"/>
    <x v="372"/>
    <x v="392"/>
    <x v="101"/>
    <x v="392"/>
    <x v="45"/>
  </r>
  <r>
    <x v="5"/>
    <x v="17"/>
    <x v="0"/>
    <x v="1"/>
    <x v="373"/>
    <x v="393"/>
    <x v="130"/>
    <x v="393"/>
    <x v="46"/>
  </r>
  <r>
    <x v="0"/>
    <x v="24"/>
    <x v="0"/>
    <x v="1"/>
    <x v="374"/>
    <x v="394"/>
    <x v="175"/>
    <x v="394"/>
    <x v="45"/>
  </r>
  <r>
    <x v="1"/>
    <x v="10"/>
    <x v="0"/>
    <x v="2"/>
    <x v="375"/>
    <x v="395"/>
    <x v="176"/>
    <x v="395"/>
    <x v="44"/>
  </r>
  <r>
    <x v="5"/>
    <x v="17"/>
    <x v="0"/>
    <x v="1"/>
    <x v="376"/>
    <x v="396"/>
    <x v="12"/>
    <x v="396"/>
    <x v="45"/>
  </r>
  <r>
    <x v="0"/>
    <x v="0"/>
    <x v="0"/>
    <x v="1"/>
    <x v="377"/>
    <x v="397"/>
    <x v="177"/>
    <x v="397"/>
    <x v="44"/>
  </r>
  <r>
    <x v="2"/>
    <x v="30"/>
    <x v="2"/>
    <x v="3"/>
    <x v="378"/>
    <x v="398"/>
    <x v="45"/>
    <x v="398"/>
    <x v="45"/>
  </r>
  <r>
    <x v="2"/>
    <x v="30"/>
    <x v="0"/>
    <x v="5"/>
    <x v="379"/>
    <x v="399"/>
    <x v="178"/>
    <x v="399"/>
    <x v="44"/>
  </r>
  <r>
    <x v="4"/>
    <x v="11"/>
    <x v="0"/>
    <x v="1"/>
    <x v="380"/>
    <x v="400"/>
    <x v="71"/>
    <x v="400"/>
    <x v="45"/>
  </r>
  <r>
    <x v="1"/>
    <x v="21"/>
    <x v="0"/>
    <x v="1"/>
    <x v="381"/>
    <x v="401"/>
    <x v="129"/>
    <x v="401"/>
    <x v="44"/>
  </r>
  <r>
    <x v="7"/>
    <x v="25"/>
    <x v="2"/>
    <x v="4"/>
    <x v="382"/>
    <x v="402"/>
    <x v="15"/>
    <x v="402"/>
    <x v="45"/>
  </r>
  <r>
    <x v="5"/>
    <x v="6"/>
    <x v="0"/>
    <x v="5"/>
    <x v="383"/>
    <x v="403"/>
    <x v="87"/>
    <x v="403"/>
    <x v="46"/>
  </r>
  <r>
    <x v="0"/>
    <x v="28"/>
    <x v="0"/>
    <x v="1"/>
    <x v="252"/>
    <x v="404"/>
    <x v="18"/>
    <x v="404"/>
    <x v="45"/>
  </r>
  <r>
    <x v="5"/>
    <x v="17"/>
    <x v="0"/>
    <x v="3"/>
    <x v="384"/>
    <x v="405"/>
    <x v="18"/>
    <x v="405"/>
    <x v="44"/>
  </r>
  <r>
    <x v="0"/>
    <x v="15"/>
    <x v="0"/>
    <x v="0"/>
    <x v="385"/>
    <x v="406"/>
    <x v="58"/>
    <x v="406"/>
    <x v="45"/>
  </r>
  <r>
    <x v="4"/>
    <x v="4"/>
    <x v="0"/>
    <x v="4"/>
    <x v="386"/>
    <x v="407"/>
    <x v="46"/>
    <x v="407"/>
    <x v="44"/>
  </r>
  <r>
    <x v="1"/>
    <x v="1"/>
    <x v="2"/>
    <x v="1"/>
    <x v="387"/>
    <x v="408"/>
    <x v="1"/>
    <x v="408"/>
    <x v="45"/>
  </r>
  <r>
    <x v="4"/>
    <x v="4"/>
    <x v="0"/>
    <x v="4"/>
    <x v="388"/>
    <x v="409"/>
    <x v="157"/>
    <x v="409"/>
    <x v="46"/>
  </r>
  <r>
    <x v="6"/>
    <x v="13"/>
    <x v="0"/>
    <x v="1"/>
    <x v="27"/>
    <x v="410"/>
    <x v="56"/>
    <x v="410"/>
    <x v="45"/>
  </r>
  <r>
    <x v="1"/>
    <x v="21"/>
    <x v="0"/>
    <x v="3"/>
    <x v="389"/>
    <x v="411"/>
    <x v="152"/>
    <x v="411"/>
    <x v="44"/>
  </r>
  <r>
    <x v="1"/>
    <x v="21"/>
    <x v="0"/>
    <x v="0"/>
    <x v="390"/>
    <x v="412"/>
    <x v="179"/>
    <x v="412"/>
    <x v="45"/>
  </r>
  <r>
    <x v="7"/>
    <x v="25"/>
    <x v="0"/>
    <x v="5"/>
    <x v="391"/>
    <x v="413"/>
    <x v="180"/>
    <x v="413"/>
    <x v="46"/>
  </r>
  <r>
    <x v="3"/>
    <x v="19"/>
    <x v="0"/>
    <x v="1"/>
    <x v="392"/>
    <x v="414"/>
    <x v="60"/>
    <x v="414"/>
    <x v="47"/>
  </r>
  <r>
    <x v="0"/>
    <x v="15"/>
    <x v="0"/>
    <x v="2"/>
    <x v="393"/>
    <x v="415"/>
    <x v="158"/>
    <x v="415"/>
    <x v="48"/>
  </r>
  <r>
    <x v="6"/>
    <x v="13"/>
    <x v="0"/>
    <x v="4"/>
    <x v="394"/>
    <x v="416"/>
    <x v="179"/>
    <x v="416"/>
    <x v="49"/>
  </r>
  <r>
    <x v="0"/>
    <x v="0"/>
    <x v="0"/>
    <x v="4"/>
    <x v="395"/>
    <x v="417"/>
    <x v="181"/>
    <x v="417"/>
    <x v="48"/>
  </r>
  <r>
    <x v="2"/>
    <x v="8"/>
    <x v="0"/>
    <x v="3"/>
    <x v="396"/>
    <x v="418"/>
    <x v="39"/>
    <x v="418"/>
    <x v="49"/>
  </r>
  <r>
    <x v="2"/>
    <x v="2"/>
    <x v="0"/>
    <x v="4"/>
    <x v="397"/>
    <x v="419"/>
    <x v="147"/>
    <x v="419"/>
    <x v="48"/>
  </r>
  <r>
    <x v="5"/>
    <x v="29"/>
    <x v="2"/>
    <x v="3"/>
    <x v="398"/>
    <x v="420"/>
    <x v="49"/>
    <x v="420"/>
    <x v="47"/>
  </r>
  <r>
    <x v="5"/>
    <x v="17"/>
    <x v="0"/>
    <x v="3"/>
    <x v="399"/>
    <x v="421"/>
    <x v="120"/>
    <x v="421"/>
    <x v="48"/>
  </r>
  <r>
    <x v="4"/>
    <x v="11"/>
    <x v="0"/>
    <x v="2"/>
    <x v="400"/>
    <x v="422"/>
    <x v="156"/>
    <x v="422"/>
    <x v="47"/>
  </r>
  <r>
    <x v="7"/>
    <x v="25"/>
    <x v="0"/>
    <x v="0"/>
    <x v="401"/>
    <x v="423"/>
    <x v="182"/>
    <x v="423"/>
    <x v="46"/>
  </r>
  <r>
    <x v="4"/>
    <x v="12"/>
    <x v="0"/>
    <x v="1"/>
    <x v="402"/>
    <x v="424"/>
    <x v="127"/>
    <x v="424"/>
    <x v="47"/>
  </r>
  <r>
    <x v="7"/>
    <x v="26"/>
    <x v="0"/>
    <x v="1"/>
    <x v="403"/>
    <x v="425"/>
    <x v="37"/>
    <x v="425"/>
    <x v="46"/>
  </r>
  <r>
    <x v="0"/>
    <x v="0"/>
    <x v="0"/>
    <x v="2"/>
    <x v="404"/>
    <x v="426"/>
    <x v="183"/>
    <x v="426"/>
    <x v="47"/>
  </r>
  <r>
    <x v="5"/>
    <x v="6"/>
    <x v="0"/>
    <x v="2"/>
    <x v="405"/>
    <x v="427"/>
    <x v="47"/>
    <x v="427"/>
    <x v="48"/>
  </r>
  <r>
    <x v="0"/>
    <x v="28"/>
    <x v="0"/>
    <x v="5"/>
    <x v="406"/>
    <x v="428"/>
    <x v="56"/>
    <x v="428"/>
    <x v="47"/>
  </r>
  <r>
    <x v="4"/>
    <x v="4"/>
    <x v="0"/>
    <x v="3"/>
    <x v="185"/>
    <x v="429"/>
    <x v="172"/>
    <x v="429"/>
    <x v="46"/>
  </r>
  <r>
    <x v="4"/>
    <x v="20"/>
    <x v="0"/>
    <x v="2"/>
    <x v="407"/>
    <x v="430"/>
    <x v="99"/>
    <x v="430"/>
    <x v="45"/>
  </r>
  <r>
    <x v="2"/>
    <x v="8"/>
    <x v="0"/>
    <x v="1"/>
    <x v="408"/>
    <x v="431"/>
    <x v="0"/>
    <x v="431"/>
    <x v="46"/>
  </r>
  <r>
    <x v="3"/>
    <x v="19"/>
    <x v="0"/>
    <x v="5"/>
    <x v="409"/>
    <x v="432"/>
    <x v="117"/>
    <x v="432"/>
    <x v="47"/>
  </r>
  <r>
    <x v="4"/>
    <x v="5"/>
    <x v="0"/>
    <x v="0"/>
    <x v="81"/>
    <x v="433"/>
    <x v="184"/>
    <x v="433"/>
    <x v="48"/>
  </r>
  <r>
    <x v="4"/>
    <x v="11"/>
    <x v="0"/>
    <x v="3"/>
    <x v="410"/>
    <x v="434"/>
    <x v="174"/>
    <x v="434"/>
    <x v="49"/>
  </r>
  <r>
    <x v="2"/>
    <x v="23"/>
    <x v="0"/>
    <x v="3"/>
    <x v="411"/>
    <x v="435"/>
    <x v="58"/>
    <x v="435"/>
    <x v="50"/>
  </r>
  <r>
    <x v="4"/>
    <x v="9"/>
    <x v="2"/>
    <x v="1"/>
    <x v="412"/>
    <x v="436"/>
    <x v="185"/>
    <x v="436"/>
    <x v="49"/>
  </r>
  <r>
    <x v="5"/>
    <x v="17"/>
    <x v="2"/>
    <x v="4"/>
    <x v="157"/>
    <x v="437"/>
    <x v="168"/>
    <x v="437"/>
    <x v="48"/>
  </r>
  <r>
    <x v="2"/>
    <x v="23"/>
    <x v="2"/>
    <x v="4"/>
    <x v="413"/>
    <x v="438"/>
    <x v="186"/>
    <x v="438"/>
    <x v="49"/>
  </r>
  <r>
    <x v="4"/>
    <x v="5"/>
    <x v="0"/>
    <x v="1"/>
    <x v="414"/>
    <x v="439"/>
    <x v="43"/>
    <x v="439"/>
    <x v="48"/>
  </r>
  <r>
    <x v="4"/>
    <x v="12"/>
    <x v="0"/>
    <x v="3"/>
    <x v="415"/>
    <x v="440"/>
    <x v="158"/>
    <x v="440"/>
    <x v="47"/>
  </r>
  <r>
    <x v="1"/>
    <x v="21"/>
    <x v="0"/>
    <x v="4"/>
    <x v="416"/>
    <x v="441"/>
    <x v="12"/>
    <x v="441"/>
    <x v="46"/>
  </r>
  <r>
    <x v="0"/>
    <x v="28"/>
    <x v="1"/>
    <x v="2"/>
    <x v="417"/>
    <x v="442"/>
    <x v="147"/>
    <x v="442"/>
    <x v="47"/>
  </r>
  <r>
    <x v="0"/>
    <x v="24"/>
    <x v="2"/>
    <x v="0"/>
    <x v="84"/>
    <x v="443"/>
    <x v="156"/>
    <x v="443"/>
    <x v="48"/>
  </r>
  <r>
    <x v="5"/>
    <x v="6"/>
    <x v="0"/>
    <x v="5"/>
    <x v="418"/>
    <x v="444"/>
    <x v="166"/>
    <x v="444"/>
    <x v="47"/>
  </r>
  <r>
    <x v="1"/>
    <x v="21"/>
    <x v="0"/>
    <x v="1"/>
    <x v="419"/>
    <x v="445"/>
    <x v="0"/>
    <x v="445"/>
    <x v="46"/>
  </r>
  <r>
    <x v="1"/>
    <x v="1"/>
    <x v="0"/>
    <x v="3"/>
    <x v="420"/>
    <x v="446"/>
    <x v="187"/>
    <x v="446"/>
    <x v="47"/>
  </r>
  <r>
    <x v="2"/>
    <x v="2"/>
    <x v="0"/>
    <x v="5"/>
    <x v="421"/>
    <x v="447"/>
    <x v="188"/>
    <x v="447"/>
    <x v="48"/>
  </r>
  <r>
    <x v="0"/>
    <x v="15"/>
    <x v="0"/>
    <x v="5"/>
    <x v="422"/>
    <x v="448"/>
    <x v="34"/>
    <x v="448"/>
    <x v="47"/>
  </r>
  <r>
    <x v="4"/>
    <x v="5"/>
    <x v="0"/>
    <x v="2"/>
    <x v="32"/>
    <x v="449"/>
    <x v="83"/>
    <x v="449"/>
    <x v="46"/>
  </r>
  <r>
    <x v="5"/>
    <x v="17"/>
    <x v="0"/>
    <x v="3"/>
    <x v="423"/>
    <x v="450"/>
    <x v="30"/>
    <x v="450"/>
    <x v="45"/>
  </r>
  <r>
    <x v="7"/>
    <x v="14"/>
    <x v="0"/>
    <x v="1"/>
    <x v="163"/>
    <x v="451"/>
    <x v="0"/>
    <x v="451"/>
    <x v="46"/>
  </r>
  <r>
    <x v="0"/>
    <x v="15"/>
    <x v="2"/>
    <x v="3"/>
    <x v="424"/>
    <x v="452"/>
    <x v="14"/>
    <x v="452"/>
    <x v="47"/>
  </r>
  <r>
    <x v="1"/>
    <x v="1"/>
    <x v="0"/>
    <x v="1"/>
    <x v="425"/>
    <x v="453"/>
    <x v="102"/>
    <x v="453"/>
    <x v="46"/>
  </r>
  <r>
    <x v="4"/>
    <x v="11"/>
    <x v="0"/>
    <x v="3"/>
    <x v="426"/>
    <x v="454"/>
    <x v="95"/>
    <x v="454"/>
    <x v="47"/>
  </r>
  <r>
    <x v="7"/>
    <x v="26"/>
    <x v="0"/>
    <x v="3"/>
    <x v="427"/>
    <x v="455"/>
    <x v="137"/>
    <x v="455"/>
    <x v="48"/>
  </r>
  <r>
    <x v="4"/>
    <x v="5"/>
    <x v="2"/>
    <x v="4"/>
    <x v="428"/>
    <x v="456"/>
    <x v="108"/>
    <x v="456"/>
    <x v="47"/>
  </r>
  <r>
    <x v="0"/>
    <x v="28"/>
    <x v="0"/>
    <x v="4"/>
    <x v="429"/>
    <x v="457"/>
    <x v="126"/>
    <x v="457"/>
    <x v="46"/>
  </r>
  <r>
    <x v="4"/>
    <x v="11"/>
    <x v="1"/>
    <x v="0"/>
    <x v="430"/>
    <x v="458"/>
    <x v="0"/>
    <x v="458"/>
    <x v="47"/>
  </r>
  <r>
    <x v="4"/>
    <x v="5"/>
    <x v="0"/>
    <x v="0"/>
    <x v="431"/>
    <x v="459"/>
    <x v="0"/>
    <x v="459"/>
    <x v="46"/>
  </r>
  <r>
    <x v="4"/>
    <x v="9"/>
    <x v="0"/>
    <x v="0"/>
    <x v="432"/>
    <x v="460"/>
    <x v="71"/>
    <x v="460"/>
    <x v="45"/>
  </r>
  <r>
    <x v="3"/>
    <x v="3"/>
    <x v="0"/>
    <x v="4"/>
    <x v="433"/>
    <x v="461"/>
    <x v="178"/>
    <x v="461"/>
    <x v="44"/>
  </r>
  <r>
    <x v="2"/>
    <x v="23"/>
    <x v="0"/>
    <x v="4"/>
    <x v="434"/>
    <x v="462"/>
    <x v="189"/>
    <x v="462"/>
    <x v="45"/>
  </r>
  <r>
    <x v="7"/>
    <x v="14"/>
    <x v="0"/>
    <x v="4"/>
    <x v="435"/>
    <x v="463"/>
    <x v="70"/>
    <x v="463"/>
    <x v="44"/>
  </r>
  <r>
    <x v="1"/>
    <x v="10"/>
    <x v="2"/>
    <x v="3"/>
    <x v="436"/>
    <x v="464"/>
    <x v="184"/>
    <x v="464"/>
    <x v="42"/>
  </r>
  <r>
    <x v="0"/>
    <x v="0"/>
    <x v="2"/>
    <x v="5"/>
    <x v="437"/>
    <x v="465"/>
    <x v="165"/>
    <x v="465"/>
    <x v="41"/>
  </r>
  <r>
    <x v="6"/>
    <x v="16"/>
    <x v="0"/>
    <x v="1"/>
    <x v="438"/>
    <x v="466"/>
    <x v="190"/>
    <x v="466"/>
    <x v="42"/>
  </r>
  <r>
    <x v="5"/>
    <x v="17"/>
    <x v="0"/>
    <x v="3"/>
    <x v="439"/>
    <x v="467"/>
    <x v="0"/>
    <x v="467"/>
    <x v="41"/>
  </r>
  <r>
    <x v="6"/>
    <x v="16"/>
    <x v="0"/>
    <x v="2"/>
    <x v="440"/>
    <x v="468"/>
    <x v="136"/>
    <x v="468"/>
    <x v="42"/>
  </r>
  <r>
    <x v="1"/>
    <x v="10"/>
    <x v="0"/>
    <x v="2"/>
    <x v="441"/>
    <x v="469"/>
    <x v="191"/>
    <x v="469"/>
    <x v="41"/>
  </r>
  <r>
    <x v="4"/>
    <x v="20"/>
    <x v="0"/>
    <x v="4"/>
    <x v="442"/>
    <x v="470"/>
    <x v="156"/>
    <x v="470"/>
    <x v="40"/>
  </r>
  <r>
    <x v="1"/>
    <x v="10"/>
    <x v="0"/>
    <x v="5"/>
    <x v="443"/>
    <x v="471"/>
    <x v="100"/>
    <x v="471"/>
    <x v="39"/>
  </r>
  <r>
    <x v="4"/>
    <x v="4"/>
    <x v="2"/>
    <x v="5"/>
    <x v="444"/>
    <x v="472"/>
    <x v="47"/>
    <x v="472"/>
    <x v="40"/>
  </r>
  <r>
    <x v="5"/>
    <x v="17"/>
    <x v="0"/>
    <x v="4"/>
    <x v="445"/>
    <x v="473"/>
    <x v="192"/>
    <x v="473"/>
    <x v="39"/>
  </r>
  <r>
    <x v="7"/>
    <x v="32"/>
    <x v="0"/>
    <x v="3"/>
    <x v="446"/>
    <x v="474"/>
    <x v="79"/>
    <x v="474"/>
    <x v="40"/>
  </r>
  <r>
    <x v="1"/>
    <x v="1"/>
    <x v="0"/>
    <x v="4"/>
    <x v="447"/>
    <x v="475"/>
    <x v="48"/>
    <x v="475"/>
    <x v="41"/>
  </r>
  <r>
    <x v="4"/>
    <x v="4"/>
    <x v="0"/>
    <x v="4"/>
    <x v="448"/>
    <x v="476"/>
    <x v="154"/>
    <x v="476"/>
    <x v="42"/>
  </r>
  <r>
    <x v="7"/>
    <x v="18"/>
    <x v="0"/>
    <x v="3"/>
    <x v="449"/>
    <x v="477"/>
    <x v="122"/>
    <x v="477"/>
    <x v="41"/>
  </r>
  <r>
    <x v="1"/>
    <x v="10"/>
    <x v="2"/>
    <x v="1"/>
    <x v="450"/>
    <x v="478"/>
    <x v="34"/>
    <x v="478"/>
    <x v="42"/>
  </r>
  <r>
    <x v="7"/>
    <x v="32"/>
    <x v="0"/>
    <x v="4"/>
    <x v="347"/>
    <x v="479"/>
    <x v="193"/>
    <x v="479"/>
    <x v="44"/>
  </r>
  <r>
    <x v="3"/>
    <x v="27"/>
    <x v="2"/>
    <x v="2"/>
    <x v="451"/>
    <x v="480"/>
    <x v="160"/>
    <x v="480"/>
    <x v="45"/>
  </r>
  <r>
    <x v="2"/>
    <x v="23"/>
    <x v="0"/>
    <x v="2"/>
    <x v="452"/>
    <x v="481"/>
    <x v="191"/>
    <x v="481"/>
    <x v="44"/>
  </r>
  <r>
    <x v="0"/>
    <x v="24"/>
    <x v="2"/>
    <x v="5"/>
    <x v="453"/>
    <x v="482"/>
    <x v="102"/>
    <x v="482"/>
    <x v="42"/>
  </r>
  <r>
    <x v="3"/>
    <x v="7"/>
    <x v="1"/>
    <x v="3"/>
    <x v="454"/>
    <x v="483"/>
    <x v="163"/>
    <x v="483"/>
    <x v="44"/>
  </r>
  <r>
    <x v="7"/>
    <x v="32"/>
    <x v="0"/>
    <x v="5"/>
    <x v="455"/>
    <x v="484"/>
    <x v="153"/>
    <x v="484"/>
    <x v="45"/>
  </r>
  <r>
    <x v="1"/>
    <x v="1"/>
    <x v="1"/>
    <x v="4"/>
    <x v="456"/>
    <x v="485"/>
    <x v="109"/>
    <x v="485"/>
    <x v="46"/>
  </r>
  <r>
    <x v="4"/>
    <x v="9"/>
    <x v="0"/>
    <x v="1"/>
    <x v="457"/>
    <x v="486"/>
    <x v="129"/>
    <x v="486"/>
    <x v="47"/>
  </r>
  <r>
    <x v="6"/>
    <x v="31"/>
    <x v="0"/>
    <x v="2"/>
    <x v="458"/>
    <x v="487"/>
    <x v="120"/>
    <x v="487"/>
    <x v="48"/>
  </r>
  <r>
    <x v="1"/>
    <x v="1"/>
    <x v="0"/>
    <x v="2"/>
    <x v="459"/>
    <x v="488"/>
    <x v="194"/>
    <x v="488"/>
    <x v="47"/>
  </r>
  <r>
    <x v="5"/>
    <x v="17"/>
    <x v="0"/>
    <x v="4"/>
    <x v="460"/>
    <x v="489"/>
    <x v="195"/>
    <x v="489"/>
    <x v="48"/>
  </r>
  <r>
    <x v="0"/>
    <x v="0"/>
    <x v="2"/>
    <x v="2"/>
    <x v="461"/>
    <x v="490"/>
    <x v="196"/>
    <x v="490"/>
    <x v="49"/>
  </r>
  <r>
    <x v="3"/>
    <x v="19"/>
    <x v="0"/>
    <x v="4"/>
    <x v="462"/>
    <x v="491"/>
    <x v="38"/>
    <x v="491"/>
    <x v="50"/>
  </r>
  <r>
    <x v="6"/>
    <x v="13"/>
    <x v="0"/>
    <x v="4"/>
    <x v="66"/>
    <x v="492"/>
    <x v="140"/>
    <x v="492"/>
    <x v="51"/>
  </r>
  <r>
    <x v="4"/>
    <x v="11"/>
    <x v="0"/>
    <x v="3"/>
    <x v="463"/>
    <x v="493"/>
    <x v="143"/>
    <x v="493"/>
    <x v="50"/>
  </r>
  <r>
    <x v="0"/>
    <x v="28"/>
    <x v="0"/>
    <x v="0"/>
    <x v="464"/>
    <x v="494"/>
    <x v="145"/>
    <x v="494"/>
    <x v="49"/>
  </r>
  <r>
    <x v="0"/>
    <x v="28"/>
    <x v="0"/>
    <x v="0"/>
    <x v="465"/>
    <x v="495"/>
    <x v="51"/>
    <x v="495"/>
    <x v="48"/>
  </r>
  <r>
    <x v="7"/>
    <x v="14"/>
    <x v="0"/>
    <x v="3"/>
    <x v="466"/>
    <x v="496"/>
    <x v="163"/>
    <x v="496"/>
    <x v="47"/>
  </r>
  <r>
    <x v="4"/>
    <x v="20"/>
    <x v="0"/>
    <x v="2"/>
    <x v="109"/>
    <x v="497"/>
    <x v="120"/>
    <x v="497"/>
    <x v="48"/>
  </r>
  <r>
    <x v="1"/>
    <x v="1"/>
    <x v="0"/>
    <x v="5"/>
    <x v="170"/>
    <x v="498"/>
    <x v="90"/>
    <x v="498"/>
    <x v="49"/>
  </r>
  <r>
    <x v="1"/>
    <x v="10"/>
    <x v="0"/>
    <x v="1"/>
    <x v="467"/>
    <x v="499"/>
    <x v="178"/>
    <x v="499"/>
    <x v="50"/>
  </r>
  <r>
    <x v="2"/>
    <x v="8"/>
    <x v="1"/>
    <x v="5"/>
    <x v="468"/>
    <x v="500"/>
    <x v="197"/>
    <x v="500"/>
    <x v="51"/>
  </r>
  <r>
    <x v="7"/>
    <x v="32"/>
    <x v="0"/>
    <x v="5"/>
    <x v="469"/>
    <x v="501"/>
    <x v="182"/>
    <x v="501"/>
    <x v="52"/>
  </r>
  <r>
    <x v="6"/>
    <x v="13"/>
    <x v="2"/>
    <x v="1"/>
    <x v="470"/>
    <x v="502"/>
    <x v="80"/>
    <x v="502"/>
    <x v="53"/>
  </r>
  <r>
    <x v="5"/>
    <x v="29"/>
    <x v="2"/>
    <x v="0"/>
    <x v="471"/>
    <x v="503"/>
    <x v="61"/>
    <x v="503"/>
    <x v="54"/>
  </r>
  <r>
    <x v="2"/>
    <x v="8"/>
    <x v="0"/>
    <x v="2"/>
    <x v="472"/>
    <x v="504"/>
    <x v="109"/>
    <x v="504"/>
    <x v="55"/>
  </r>
  <r>
    <x v="4"/>
    <x v="9"/>
    <x v="0"/>
    <x v="5"/>
    <x v="473"/>
    <x v="505"/>
    <x v="41"/>
    <x v="505"/>
    <x v="56"/>
  </r>
  <r>
    <x v="1"/>
    <x v="1"/>
    <x v="0"/>
    <x v="1"/>
    <x v="474"/>
    <x v="506"/>
    <x v="176"/>
    <x v="506"/>
    <x v="55"/>
  </r>
  <r>
    <x v="5"/>
    <x v="17"/>
    <x v="0"/>
    <x v="2"/>
    <x v="188"/>
    <x v="507"/>
    <x v="194"/>
    <x v="507"/>
    <x v="56"/>
  </r>
  <r>
    <x v="1"/>
    <x v="1"/>
    <x v="0"/>
    <x v="1"/>
    <x v="475"/>
    <x v="508"/>
    <x v="149"/>
    <x v="508"/>
    <x v="57"/>
  </r>
  <r>
    <x v="2"/>
    <x v="30"/>
    <x v="0"/>
    <x v="2"/>
    <x v="476"/>
    <x v="509"/>
    <x v="198"/>
    <x v="509"/>
    <x v="58"/>
  </r>
  <r>
    <x v="3"/>
    <x v="27"/>
    <x v="2"/>
    <x v="3"/>
    <x v="477"/>
    <x v="510"/>
    <x v="0"/>
    <x v="510"/>
    <x v="57"/>
  </r>
  <r>
    <x v="0"/>
    <x v="28"/>
    <x v="0"/>
    <x v="1"/>
    <x v="478"/>
    <x v="511"/>
    <x v="188"/>
    <x v="511"/>
    <x v="58"/>
  </r>
  <r>
    <x v="1"/>
    <x v="10"/>
    <x v="0"/>
    <x v="0"/>
    <x v="479"/>
    <x v="512"/>
    <x v="39"/>
    <x v="512"/>
    <x v="57"/>
  </r>
  <r>
    <x v="5"/>
    <x v="29"/>
    <x v="0"/>
    <x v="5"/>
    <x v="480"/>
    <x v="513"/>
    <x v="39"/>
    <x v="513"/>
    <x v="58"/>
  </r>
  <r>
    <x v="4"/>
    <x v="11"/>
    <x v="0"/>
    <x v="1"/>
    <x v="481"/>
    <x v="514"/>
    <x v="199"/>
    <x v="514"/>
    <x v="59"/>
  </r>
  <r>
    <x v="4"/>
    <x v="11"/>
    <x v="0"/>
    <x v="0"/>
    <x v="482"/>
    <x v="515"/>
    <x v="14"/>
    <x v="515"/>
    <x v="58"/>
  </r>
  <r>
    <x v="0"/>
    <x v="28"/>
    <x v="2"/>
    <x v="0"/>
    <x v="350"/>
    <x v="516"/>
    <x v="42"/>
    <x v="516"/>
    <x v="60"/>
  </r>
  <r>
    <x v="5"/>
    <x v="6"/>
    <x v="0"/>
    <x v="5"/>
    <x v="483"/>
    <x v="517"/>
    <x v="200"/>
    <x v="517"/>
    <x v="56"/>
  </r>
  <r>
    <x v="1"/>
    <x v="21"/>
    <x v="0"/>
    <x v="3"/>
    <x v="484"/>
    <x v="518"/>
    <x v="19"/>
    <x v="518"/>
    <x v="60"/>
  </r>
  <r>
    <x v="4"/>
    <x v="12"/>
    <x v="0"/>
    <x v="0"/>
    <x v="485"/>
    <x v="519"/>
    <x v="181"/>
    <x v="519"/>
    <x v="61"/>
  </r>
  <r>
    <x v="3"/>
    <x v="7"/>
    <x v="0"/>
    <x v="4"/>
    <x v="486"/>
    <x v="520"/>
    <x v="182"/>
    <x v="520"/>
    <x v="60"/>
  </r>
  <r>
    <x v="0"/>
    <x v="15"/>
    <x v="2"/>
    <x v="1"/>
    <x v="487"/>
    <x v="521"/>
    <x v="201"/>
    <x v="521"/>
    <x v="61"/>
  </r>
  <r>
    <x v="1"/>
    <x v="21"/>
    <x v="1"/>
    <x v="1"/>
    <x v="488"/>
    <x v="522"/>
    <x v="190"/>
    <x v="522"/>
    <x v="62"/>
  </r>
  <r>
    <x v="5"/>
    <x v="29"/>
    <x v="0"/>
    <x v="0"/>
    <x v="489"/>
    <x v="523"/>
    <x v="153"/>
    <x v="523"/>
    <x v="63"/>
  </r>
  <r>
    <x v="5"/>
    <x v="17"/>
    <x v="0"/>
    <x v="3"/>
    <x v="249"/>
    <x v="524"/>
    <x v="194"/>
    <x v="524"/>
    <x v="64"/>
  </r>
  <r>
    <x v="0"/>
    <x v="0"/>
    <x v="0"/>
    <x v="2"/>
    <x v="490"/>
    <x v="525"/>
    <x v="101"/>
    <x v="525"/>
    <x v="65"/>
  </r>
  <r>
    <x v="0"/>
    <x v="0"/>
    <x v="0"/>
    <x v="1"/>
    <x v="491"/>
    <x v="526"/>
    <x v="202"/>
    <x v="526"/>
    <x v="66"/>
  </r>
  <r>
    <x v="6"/>
    <x v="22"/>
    <x v="0"/>
    <x v="2"/>
    <x v="492"/>
    <x v="527"/>
    <x v="0"/>
    <x v="527"/>
    <x v="67"/>
  </r>
  <r>
    <x v="4"/>
    <x v="4"/>
    <x v="0"/>
    <x v="1"/>
    <x v="92"/>
    <x v="528"/>
    <x v="155"/>
    <x v="528"/>
    <x v="66"/>
  </r>
  <r>
    <x v="5"/>
    <x v="17"/>
    <x v="0"/>
    <x v="5"/>
    <x v="493"/>
    <x v="529"/>
    <x v="190"/>
    <x v="529"/>
    <x v="65"/>
  </r>
  <r>
    <x v="5"/>
    <x v="29"/>
    <x v="2"/>
    <x v="1"/>
    <x v="38"/>
    <x v="530"/>
    <x v="95"/>
    <x v="530"/>
    <x v="64"/>
  </r>
  <r>
    <x v="1"/>
    <x v="1"/>
    <x v="0"/>
    <x v="4"/>
    <x v="36"/>
    <x v="531"/>
    <x v="0"/>
    <x v="531"/>
    <x v="65"/>
  </r>
  <r>
    <x v="1"/>
    <x v="10"/>
    <x v="0"/>
    <x v="1"/>
    <x v="494"/>
    <x v="532"/>
    <x v="155"/>
    <x v="532"/>
    <x v="66"/>
  </r>
  <r>
    <x v="7"/>
    <x v="32"/>
    <x v="0"/>
    <x v="1"/>
    <x v="171"/>
    <x v="533"/>
    <x v="99"/>
    <x v="533"/>
    <x v="65"/>
  </r>
  <r>
    <x v="2"/>
    <x v="8"/>
    <x v="0"/>
    <x v="3"/>
    <x v="220"/>
    <x v="534"/>
    <x v="75"/>
    <x v="534"/>
    <x v="64"/>
  </r>
  <r>
    <x v="1"/>
    <x v="21"/>
    <x v="2"/>
    <x v="2"/>
    <x v="495"/>
    <x v="535"/>
    <x v="203"/>
    <x v="535"/>
    <x v="65"/>
  </r>
  <r>
    <x v="5"/>
    <x v="29"/>
    <x v="2"/>
    <x v="2"/>
    <x v="163"/>
    <x v="536"/>
    <x v="107"/>
    <x v="536"/>
    <x v="66"/>
  </r>
  <r>
    <x v="6"/>
    <x v="31"/>
    <x v="0"/>
    <x v="4"/>
    <x v="496"/>
    <x v="537"/>
    <x v="101"/>
    <x v="537"/>
    <x v="67"/>
  </r>
  <r>
    <x v="0"/>
    <x v="0"/>
    <x v="0"/>
    <x v="4"/>
    <x v="497"/>
    <x v="538"/>
    <x v="204"/>
    <x v="538"/>
    <x v="66"/>
  </r>
  <r>
    <x v="4"/>
    <x v="20"/>
    <x v="0"/>
    <x v="2"/>
    <x v="498"/>
    <x v="539"/>
    <x v="103"/>
    <x v="539"/>
    <x v="67"/>
  </r>
  <r>
    <x v="1"/>
    <x v="1"/>
    <x v="2"/>
    <x v="1"/>
    <x v="444"/>
    <x v="540"/>
    <x v="98"/>
    <x v="540"/>
    <x v="66"/>
  </r>
  <r>
    <x v="3"/>
    <x v="7"/>
    <x v="0"/>
    <x v="0"/>
    <x v="499"/>
    <x v="541"/>
    <x v="171"/>
    <x v="541"/>
    <x v="67"/>
  </r>
  <r>
    <x v="6"/>
    <x v="22"/>
    <x v="0"/>
    <x v="5"/>
    <x v="500"/>
    <x v="542"/>
    <x v="163"/>
    <x v="542"/>
    <x v="68"/>
  </r>
  <r>
    <x v="2"/>
    <x v="23"/>
    <x v="0"/>
    <x v="5"/>
    <x v="501"/>
    <x v="543"/>
    <x v="205"/>
    <x v="543"/>
    <x v="67"/>
  </r>
  <r>
    <x v="3"/>
    <x v="27"/>
    <x v="0"/>
    <x v="2"/>
    <x v="77"/>
    <x v="544"/>
    <x v="78"/>
    <x v="544"/>
    <x v="66"/>
  </r>
  <r>
    <x v="0"/>
    <x v="24"/>
    <x v="0"/>
    <x v="2"/>
    <x v="502"/>
    <x v="545"/>
    <x v="30"/>
    <x v="545"/>
    <x v="67"/>
  </r>
  <r>
    <x v="4"/>
    <x v="4"/>
    <x v="0"/>
    <x v="3"/>
    <x v="503"/>
    <x v="546"/>
    <x v="199"/>
    <x v="546"/>
    <x v="68"/>
  </r>
  <r>
    <x v="2"/>
    <x v="8"/>
    <x v="0"/>
    <x v="5"/>
    <x v="222"/>
    <x v="547"/>
    <x v="51"/>
    <x v="547"/>
    <x v="67"/>
  </r>
  <r>
    <x v="7"/>
    <x v="25"/>
    <x v="0"/>
    <x v="0"/>
    <x v="218"/>
    <x v="548"/>
    <x v="129"/>
    <x v="548"/>
    <x v="66"/>
  </r>
  <r>
    <x v="5"/>
    <x v="17"/>
    <x v="0"/>
    <x v="1"/>
    <x v="504"/>
    <x v="549"/>
    <x v="106"/>
    <x v="549"/>
    <x v="65"/>
  </r>
  <r>
    <x v="7"/>
    <x v="26"/>
    <x v="0"/>
    <x v="1"/>
    <x v="505"/>
    <x v="550"/>
    <x v="0"/>
    <x v="550"/>
    <x v="64"/>
  </r>
  <r>
    <x v="5"/>
    <x v="17"/>
    <x v="0"/>
    <x v="5"/>
    <x v="506"/>
    <x v="551"/>
    <x v="206"/>
    <x v="551"/>
    <x v="63"/>
  </r>
  <r>
    <x v="7"/>
    <x v="18"/>
    <x v="0"/>
    <x v="3"/>
    <x v="507"/>
    <x v="552"/>
    <x v="61"/>
    <x v="552"/>
    <x v="64"/>
  </r>
  <r>
    <x v="7"/>
    <x v="26"/>
    <x v="0"/>
    <x v="4"/>
    <x v="508"/>
    <x v="553"/>
    <x v="161"/>
    <x v="553"/>
    <x v="63"/>
  </r>
  <r>
    <x v="5"/>
    <x v="29"/>
    <x v="0"/>
    <x v="5"/>
    <x v="509"/>
    <x v="554"/>
    <x v="66"/>
    <x v="554"/>
    <x v="64"/>
  </r>
  <r>
    <x v="0"/>
    <x v="0"/>
    <x v="0"/>
    <x v="2"/>
    <x v="510"/>
    <x v="555"/>
    <x v="207"/>
    <x v="555"/>
    <x v="65"/>
  </r>
  <r>
    <x v="4"/>
    <x v="20"/>
    <x v="1"/>
    <x v="2"/>
    <x v="511"/>
    <x v="556"/>
    <x v="0"/>
    <x v="556"/>
    <x v="66"/>
  </r>
  <r>
    <x v="4"/>
    <x v="9"/>
    <x v="0"/>
    <x v="2"/>
    <x v="512"/>
    <x v="557"/>
    <x v="140"/>
    <x v="557"/>
    <x v="65"/>
  </r>
  <r>
    <x v="2"/>
    <x v="2"/>
    <x v="0"/>
    <x v="2"/>
    <x v="513"/>
    <x v="558"/>
    <x v="110"/>
    <x v="558"/>
    <x v="64"/>
  </r>
  <r>
    <x v="3"/>
    <x v="27"/>
    <x v="0"/>
    <x v="5"/>
    <x v="514"/>
    <x v="559"/>
    <x v="141"/>
    <x v="559"/>
    <x v="63"/>
  </r>
  <r>
    <x v="2"/>
    <x v="8"/>
    <x v="0"/>
    <x v="3"/>
    <x v="515"/>
    <x v="560"/>
    <x v="99"/>
    <x v="560"/>
    <x v="62"/>
  </r>
  <r>
    <x v="4"/>
    <x v="9"/>
    <x v="2"/>
    <x v="4"/>
    <x v="516"/>
    <x v="561"/>
    <x v="207"/>
    <x v="561"/>
    <x v="61"/>
  </r>
  <r>
    <x v="4"/>
    <x v="4"/>
    <x v="0"/>
    <x v="3"/>
    <x v="517"/>
    <x v="562"/>
    <x v="0"/>
    <x v="562"/>
    <x v="62"/>
  </r>
  <r>
    <x v="4"/>
    <x v="9"/>
    <x v="0"/>
    <x v="5"/>
    <x v="518"/>
    <x v="563"/>
    <x v="43"/>
    <x v="563"/>
    <x v="61"/>
  </r>
  <r>
    <x v="0"/>
    <x v="15"/>
    <x v="0"/>
    <x v="0"/>
    <x v="519"/>
    <x v="564"/>
    <x v="78"/>
    <x v="564"/>
    <x v="60"/>
  </r>
  <r>
    <x v="7"/>
    <x v="32"/>
    <x v="0"/>
    <x v="3"/>
    <x v="520"/>
    <x v="565"/>
    <x v="158"/>
    <x v="565"/>
    <x v="56"/>
  </r>
  <r>
    <x v="0"/>
    <x v="28"/>
    <x v="0"/>
    <x v="1"/>
    <x v="521"/>
    <x v="566"/>
    <x v="137"/>
    <x v="566"/>
    <x v="55"/>
  </r>
  <r>
    <x v="0"/>
    <x v="0"/>
    <x v="0"/>
    <x v="4"/>
    <x v="497"/>
    <x v="567"/>
    <x v="0"/>
    <x v="567"/>
    <x v="54"/>
  </r>
  <r>
    <x v="1"/>
    <x v="1"/>
    <x v="0"/>
    <x v="4"/>
    <x v="410"/>
    <x v="568"/>
    <x v="0"/>
    <x v="568"/>
    <x v="69"/>
  </r>
  <r>
    <x v="0"/>
    <x v="24"/>
    <x v="0"/>
    <x v="0"/>
    <x v="259"/>
    <x v="569"/>
    <x v="34"/>
    <x v="569"/>
    <x v="54"/>
  </r>
  <r>
    <x v="7"/>
    <x v="14"/>
    <x v="0"/>
    <x v="1"/>
    <x v="522"/>
    <x v="570"/>
    <x v="0"/>
    <x v="570"/>
    <x v="55"/>
  </r>
  <r>
    <x v="5"/>
    <x v="29"/>
    <x v="0"/>
    <x v="1"/>
    <x v="506"/>
    <x v="571"/>
    <x v="64"/>
    <x v="571"/>
    <x v="56"/>
  </r>
  <r>
    <x v="0"/>
    <x v="28"/>
    <x v="0"/>
    <x v="3"/>
    <x v="335"/>
    <x v="572"/>
    <x v="147"/>
    <x v="572"/>
    <x v="60"/>
  </r>
  <r>
    <x v="3"/>
    <x v="27"/>
    <x v="1"/>
    <x v="0"/>
    <x v="523"/>
    <x v="573"/>
    <x v="208"/>
    <x v="573"/>
    <x v="56"/>
  </r>
  <r>
    <x v="5"/>
    <x v="29"/>
    <x v="0"/>
    <x v="4"/>
    <x v="119"/>
    <x v="574"/>
    <x v="154"/>
    <x v="574"/>
    <x v="60"/>
  </r>
  <r>
    <x v="1"/>
    <x v="21"/>
    <x v="0"/>
    <x v="4"/>
    <x v="524"/>
    <x v="575"/>
    <x v="209"/>
    <x v="575"/>
    <x v="61"/>
  </r>
  <r>
    <x v="4"/>
    <x v="11"/>
    <x v="2"/>
    <x v="2"/>
    <x v="525"/>
    <x v="576"/>
    <x v="22"/>
    <x v="576"/>
    <x v="62"/>
  </r>
  <r>
    <x v="1"/>
    <x v="1"/>
    <x v="0"/>
    <x v="0"/>
    <x v="526"/>
    <x v="577"/>
    <x v="77"/>
    <x v="577"/>
    <x v="63"/>
  </r>
  <r>
    <x v="7"/>
    <x v="14"/>
    <x v="2"/>
    <x v="3"/>
    <x v="527"/>
    <x v="578"/>
    <x v="176"/>
    <x v="578"/>
    <x v="64"/>
  </r>
  <r>
    <x v="6"/>
    <x v="22"/>
    <x v="0"/>
    <x v="1"/>
    <x v="528"/>
    <x v="579"/>
    <x v="37"/>
    <x v="579"/>
    <x v="65"/>
  </r>
  <r>
    <x v="0"/>
    <x v="0"/>
    <x v="0"/>
    <x v="3"/>
    <x v="529"/>
    <x v="580"/>
    <x v="18"/>
    <x v="580"/>
    <x v="64"/>
  </r>
  <r>
    <x v="1"/>
    <x v="1"/>
    <x v="0"/>
    <x v="1"/>
    <x v="530"/>
    <x v="581"/>
    <x v="133"/>
    <x v="581"/>
    <x v="65"/>
  </r>
  <r>
    <x v="7"/>
    <x v="14"/>
    <x v="0"/>
    <x v="2"/>
    <x v="391"/>
    <x v="582"/>
    <x v="20"/>
    <x v="582"/>
    <x v="66"/>
  </r>
  <r>
    <x v="0"/>
    <x v="24"/>
    <x v="0"/>
    <x v="0"/>
    <x v="531"/>
    <x v="583"/>
    <x v="115"/>
    <x v="583"/>
    <x v="65"/>
  </r>
  <r>
    <x v="3"/>
    <x v="27"/>
    <x v="0"/>
    <x v="4"/>
    <x v="532"/>
    <x v="584"/>
    <x v="195"/>
    <x v="584"/>
    <x v="64"/>
  </r>
  <r>
    <x v="6"/>
    <x v="13"/>
    <x v="0"/>
    <x v="2"/>
    <x v="177"/>
    <x v="585"/>
    <x v="19"/>
    <x v="585"/>
    <x v="63"/>
  </r>
  <r>
    <x v="4"/>
    <x v="5"/>
    <x v="0"/>
    <x v="5"/>
    <x v="533"/>
    <x v="586"/>
    <x v="51"/>
    <x v="586"/>
    <x v="62"/>
  </r>
  <r>
    <x v="4"/>
    <x v="9"/>
    <x v="0"/>
    <x v="4"/>
    <x v="534"/>
    <x v="587"/>
    <x v="133"/>
    <x v="587"/>
    <x v="61"/>
  </r>
  <r>
    <x v="4"/>
    <x v="9"/>
    <x v="0"/>
    <x v="4"/>
    <x v="172"/>
    <x v="588"/>
    <x v="127"/>
    <x v="588"/>
    <x v="60"/>
  </r>
  <r>
    <x v="4"/>
    <x v="5"/>
    <x v="0"/>
    <x v="0"/>
    <x v="535"/>
    <x v="589"/>
    <x v="105"/>
    <x v="589"/>
    <x v="56"/>
  </r>
  <r>
    <x v="4"/>
    <x v="5"/>
    <x v="2"/>
    <x v="0"/>
    <x v="536"/>
    <x v="590"/>
    <x v="210"/>
    <x v="590"/>
    <x v="60"/>
  </r>
  <r>
    <x v="3"/>
    <x v="27"/>
    <x v="0"/>
    <x v="0"/>
    <x v="537"/>
    <x v="591"/>
    <x v="71"/>
    <x v="591"/>
    <x v="61"/>
  </r>
  <r>
    <x v="4"/>
    <x v="11"/>
    <x v="0"/>
    <x v="1"/>
    <x v="538"/>
    <x v="592"/>
    <x v="187"/>
    <x v="592"/>
    <x v="60"/>
  </r>
  <r>
    <x v="0"/>
    <x v="0"/>
    <x v="0"/>
    <x v="0"/>
    <x v="539"/>
    <x v="593"/>
    <x v="192"/>
    <x v="593"/>
    <x v="56"/>
  </r>
  <r>
    <x v="5"/>
    <x v="6"/>
    <x v="0"/>
    <x v="5"/>
    <x v="540"/>
    <x v="594"/>
    <x v="0"/>
    <x v="594"/>
    <x v="55"/>
  </r>
  <r>
    <x v="7"/>
    <x v="14"/>
    <x v="2"/>
    <x v="3"/>
    <x v="541"/>
    <x v="595"/>
    <x v="26"/>
    <x v="595"/>
    <x v="54"/>
  </r>
  <r>
    <x v="3"/>
    <x v="7"/>
    <x v="2"/>
    <x v="4"/>
    <x v="542"/>
    <x v="596"/>
    <x v="137"/>
    <x v="596"/>
    <x v="55"/>
  </r>
  <r>
    <x v="4"/>
    <x v="11"/>
    <x v="0"/>
    <x v="5"/>
    <x v="543"/>
    <x v="597"/>
    <x v="60"/>
    <x v="597"/>
    <x v="56"/>
  </r>
  <r>
    <x v="4"/>
    <x v="11"/>
    <x v="0"/>
    <x v="3"/>
    <x v="544"/>
    <x v="598"/>
    <x v="35"/>
    <x v="598"/>
    <x v="55"/>
  </r>
  <r>
    <x v="4"/>
    <x v="4"/>
    <x v="0"/>
    <x v="1"/>
    <x v="387"/>
    <x v="599"/>
    <x v="200"/>
    <x v="599"/>
    <x v="54"/>
  </r>
  <r>
    <x v="4"/>
    <x v="11"/>
    <x v="2"/>
    <x v="1"/>
    <x v="545"/>
    <x v="600"/>
    <x v="77"/>
    <x v="600"/>
    <x v="69"/>
  </r>
  <r>
    <x v="6"/>
    <x v="22"/>
    <x v="2"/>
    <x v="3"/>
    <x v="546"/>
    <x v="601"/>
    <x v="0"/>
    <x v="601"/>
    <x v="48"/>
  </r>
  <r>
    <x v="4"/>
    <x v="9"/>
    <x v="0"/>
    <x v="4"/>
    <x v="547"/>
    <x v="602"/>
    <x v="123"/>
    <x v="602"/>
    <x v="70"/>
  </r>
  <r>
    <x v="4"/>
    <x v="9"/>
    <x v="0"/>
    <x v="0"/>
    <x v="548"/>
    <x v="603"/>
    <x v="160"/>
    <x v="603"/>
    <x v="44"/>
  </r>
  <r>
    <x v="4"/>
    <x v="11"/>
    <x v="2"/>
    <x v="1"/>
    <x v="549"/>
    <x v="604"/>
    <x v="155"/>
    <x v="604"/>
    <x v="42"/>
  </r>
  <r>
    <x v="0"/>
    <x v="24"/>
    <x v="0"/>
    <x v="4"/>
    <x v="550"/>
    <x v="605"/>
    <x v="211"/>
    <x v="605"/>
    <x v="41"/>
  </r>
  <r>
    <x v="4"/>
    <x v="11"/>
    <x v="1"/>
    <x v="2"/>
    <x v="551"/>
    <x v="606"/>
    <x v="157"/>
    <x v="606"/>
    <x v="42"/>
  </r>
  <r>
    <x v="0"/>
    <x v="28"/>
    <x v="0"/>
    <x v="1"/>
    <x v="520"/>
    <x v="607"/>
    <x v="137"/>
    <x v="607"/>
    <x v="41"/>
  </r>
  <r>
    <x v="7"/>
    <x v="25"/>
    <x v="0"/>
    <x v="0"/>
    <x v="359"/>
    <x v="608"/>
    <x v="79"/>
    <x v="608"/>
    <x v="40"/>
  </r>
  <r>
    <x v="2"/>
    <x v="8"/>
    <x v="0"/>
    <x v="4"/>
    <x v="552"/>
    <x v="609"/>
    <x v="86"/>
    <x v="609"/>
    <x v="39"/>
  </r>
  <r>
    <x v="4"/>
    <x v="4"/>
    <x v="0"/>
    <x v="0"/>
    <x v="469"/>
    <x v="610"/>
    <x v="50"/>
    <x v="610"/>
    <x v="40"/>
  </r>
  <r>
    <x v="5"/>
    <x v="17"/>
    <x v="0"/>
    <x v="5"/>
    <x v="553"/>
    <x v="611"/>
    <x v="116"/>
    <x v="611"/>
    <x v="39"/>
  </r>
  <r>
    <x v="3"/>
    <x v="19"/>
    <x v="0"/>
    <x v="5"/>
    <x v="554"/>
    <x v="612"/>
    <x v="53"/>
    <x v="612"/>
    <x v="71"/>
  </r>
  <r>
    <x v="4"/>
    <x v="9"/>
    <x v="0"/>
    <x v="3"/>
    <x v="409"/>
    <x v="613"/>
    <x v="0"/>
    <x v="613"/>
    <x v="39"/>
  </r>
  <r>
    <x v="5"/>
    <x v="29"/>
    <x v="2"/>
    <x v="3"/>
    <x v="555"/>
    <x v="614"/>
    <x v="164"/>
    <x v="614"/>
    <x v="40"/>
  </r>
  <r>
    <x v="1"/>
    <x v="1"/>
    <x v="0"/>
    <x v="2"/>
    <x v="556"/>
    <x v="615"/>
    <x v="173"/>
    <x v="615"/>
    <x v="41"/>
  </r>
  <r>
    <x v="4"/>
    <x v="12"/>
    <x v="2"/>
    <x v="5"/>
    <x v="557"/>
    <x v="616"/>
    <x v="0"/>
    <x v="616"/>
    <x v="42"/>
  </r>
  <r>
    <x v="6"/>
    <x v="31"/>
    <x v="0"/>
    <x v="4"/>
    <x v="558"/>
    <x v="617"/>
    <x v="40"/>
    <x v="617"/>
    <x v="44"/>
  </r>
  <r>
    <x v="5"/>
    <x v="17"/>
    <x v="0"/>
    <x v="1"/>
    <x v="559"/>
    <x v="618"/>
    <x v="42"/>
    <x v="618"/>
    <x v="42"/>
  </r>
  <r>
    <x v="2"/>
    <x v="30"/>
    <x v="0"/>
    <x v="5"/>
    <x v="560"/>
    <x v="619"/>
    <x v="126"/>
    <x v="619"/>
    <x v="44"/>
  </r>
  <r>
    <x v="4"/>
    <x v="20"/>
    <x v="1"/>
    <x v="2"/>
    <x v="561"/>
    <x v="620"/>
    <x v="212"/>
    <x v="620"/>
    <x v="42"/>
  </r>
  <r>
    <x v="4"/>
    <x v="11"/>
    <x v="0"/>
    <x v="3"/>
    <x v="562"/>
    <x v="621"/>
    <x v="213"/>
    <x v="621"/>
    <x v="41"/>
  </r>
  <r>
    <x v="0"/>
    <x v="24"/>
    <x v="0"/>
    <x v="1"/>
    <x v="563"/>
    <x v="622"/>
    <x v="82"/>
    <x v="622"/>
    <x v="42"/>
  </r>
  <r>
    <x v="7"/>
    <x v="26"/>
    <x v="1"/>
    <x v="0"/>
    <x v="564"/>
    <x v="623"/>
    <x v="17"/>
    <x v="623"/>
    <x v="44"/>
  </r>
  <r>
    <x v="3"/>
    <x v="7"/>
    <x v="0"/>
    <x v="0"/>
    <x v="565"/>
    <x v="624"/>
    <x v="214"/>
    <x v="624"/>
    <x v="42"/>
  </r>
  <r>
    <x v="0"/>
    <x v="28"/>
    <x v="0"/>
    <x v="4"/>
    <x v="566"/>
    <x v="625"/>
    <x v="38"/>
    <x v="625"/>
    <x v="44"/>
  </r>
  <r>
    <x v="0"/>
    <x v="0"/>
    <x v="2"/>
    <x v="2"/>
    <x v="567"/>
    <x v="626"/>
    <x v="58"/>
    <x v="626"/>
    <x v="42"/>
  </r>
  <r>
    <x v="2"/>
    <x v="8"/>
    <x v="0"/>
    <x v="3"/>
    <x v="568"/>
    <x v="627"/>
    <x v="167"/>
    <x v="627"/>
    <x v="44"/>
  </r>
  <r>
    <x v="4"/>
    <x v="11"/>
    <x v="0"/>
    <x v="5"/>
    <x v="569"/>
    <x v="628"/>
    <x v="0"/>
    <x v="628"/>
    <x v="42"/>
  </r>
  <r>
    <x v="6"/>
    <x v="22"/>
    <x v="2"/>
    <x v="1"/>
    <x v="570"/>
    <x v="629"/>
    <x v="154"/>
    <x v="629"/>
    <x v="41"/>
  </r>
  <r>
    <x v="2"/>
    <x v="30"/>
    <x v="0"/>
    <x v="1"/>
    <x v="571"/>
    <x v="630"/>
    <x v="215"/>
    <x v="630"/>
    <x v="40"/>
  </r>
  <r>
    <x v="5"/>
    <x v="29"/>
    <x v="0"/>
    <x v="5"/>
    <x v="572"/>
    <x v="631"/>
    <x v="0"/>
    <x v="631"/>
    <x v="39"/>
  </r>
  <r>
    <x v="7"/>
    <x v="14"/>
    <x v="0"/>
    <x v="0"/>
    <x v="573"/>
    <x v="632"/>
    <x v="52"/>
    <x v="632"/>
    <x v="40"/>
  </r>
  <r>
    <x v="7"/>
    <x v="18"/>
    <x v="0"/>
    <x v="4"/>
    <x v="574"/>
    <x v="633"/>
    <x v="8"/>
    <x v="633"/>
    <x v="41"/>
  </r>
  <r>
    <x v="4"/>
    <x v="12"/>
    <x v="1"/>
    <x v="2"/>
    <x v="575"/>
    <x v="634"/>
    <x v="145"/>
    <x v="634"/>
    <x v="40"/>
  </r>
  <r>
    <x v="0"/>
    <x v="0"/>
    <x v="0"/>
    <x v="3"/>
    <x v="576"/>
    <x v="635"/>
    <x v="166"/>
    <x v="635"/>
    <x v="39"/>
  </r>
  <r>
    <x v="7"/>
    <x v="32"/>
    <x v="0"/>
    <x v="0"/>
    <x v="577"/>
    <x v="636"/>
    <x v="182"/>
    <x v="636"/>
    <x v="40"/>
  </r>
  <r>
    <x v="6"/>
    <x v="13"/>
    <x v="2"/>
    <x v="0"/>
    <x v="578"/>
    <x v="637"/>
    <x v="11"/>
    <x v="637"/>
    <x v="41"/>
  </r>
  <r>
    <x v="6"/>
    <x v="16"/>
    <x v="0"/>
    <x v="3"/>
    <x v="579"/>
    <x v="638"/>
    <x v="104"/>
    <x v="638"/>
    <x v="40"/>
  </r>
  <r>
    <x v="0"/>
    <x v="15"/>
    <x v="0"/>
    <x v="1"/>
    <x v="541"/>
    <x v="639"/>
    <x v="88"/>
    <x v="639"/>
    <x v="39"/>
  </r>
  <r>
    <x v="4"/>
    <x v="20"/>
    <x v="0"/>
    <x v="5"/>
    <x v="580"/>
    <x v="640"/>
    <x v="206"/>
    <x v="640"/>
    <x v="40"/>
  </r>
  <r>
    <x v="0"/>
    <x v="15"/>
    <x v="0"/>
    <x v="5"/>
    <x v="581"/>
    <x v="641"/>
    <x v="0"/>
    <x v="641"/>
    <x v="39"/>
  </r>
  <r>
    <x v="4"/>
    <x v="20"/>
    <x v="0"/>
    <x v="3"/>
    <x v="582"/>
    <x v="642"/>
    <x v="132"/>
    <x v="642"/>
    <x v="72"/>
  </r>
  <r>
    <x v="0"/>
    <x v="28"/>
    <x v="0"/>
    <x v="4"/>
    <x v="583"/>
    <x v="643"/>
    <x v="149"/>
    <x v="643"/>
    <x v="23"/>
  </r>
  <r>
    <x v="4"/>
    <x v="11"/>
    <x v="0"/>
    <x v="0"/>
    <x v="584"/>
    <x v="644"/>
    <x v="37"/>
    <x v="644"/>
    <x v="72"/>
  </r>
  <r>
    <x v="5"/>
    <x v="6"/>
    <x v="0"/>
    <x v="4"/>
    <x v="78"/>
    <x v="645"/>
    <x v="79"/>
    <x v="645"/>
    <x v="39"/>
  </r>
  <r>
    <x v="3"/>
    <x v="7"/>
    <x v="0"/>
    <x v="1"/>
    <x v="585"/>
    <x v="646"/>
    <x v="37"/>
    <x v="646"/>
    <x v="72"/>
  </r>
  <r>
    <x v="2"/>
    <x v="2"/>
    <x v="0"/>
    <x v="5"/>
    <x v="586"/>
    <x v="647"/>
    <x v="16"/>
    <x v="647"/>
    <x v="39"/>
  </r>
  <r>
    <x v="5"/>
    <x v="6"/>
    <x v="0"/>
    <x v="2"/>
    <x v="587"/>
    <x v="648"/>
    <x v="128"/>
    <x v="648"/>
    <x v="72"/>
  </r>
  <r>
    <x v="7"/>
    <x v="18"/>
    <x v="0"/>
    <x v="2"/>
    <x v="14"/>
    <x v="649"/>
    <x v="175"/>
    <x v="649"/>
    <x v="23"/>
  </r>
  <r>
    <x v="4"/>
    <x v="11"/>
    <x v="0"/>
    <x v="2"/>
    <x v="588"/>
    <x v="650"/>
    <x v="216"/>
    <x v="650"/>
    <x v="72"/>
  </r>
  <r>
    <x v="7"/>
    <x v="32"/>
    <x v="0"/>
    <x v="4"/>
    <x v="563"/>
    <x v="651"/>
    <x v="10"/>
    <x v="651"/>
    <x v="23"/>
  </r>
  <r>
    <x v="7"/>
    <x v="32"/>
    <x v="0"/>
    <x v="2"/>
    <x v="589"/>
    <x v="652"/>
    <x v="217"/>
    <x v="652"/>
    <x v="24"/>
  </r>
  <r>
    <x v="2"/>
    <x v="8"/>
    <x v="0"/>
    <x v="0"/>
    <x v="361"/>
    <x v="653"/>
    <x v="20"/>
    <x v="653"/>
    <x v="25"/>
  </r>
  <r>
    <x v="0"/>
    <x v="0"/>
    <x v="0"/>
    <x v="0"/>
    <x v="590"/>
    <x v="654"/>
    <x v="2"/>
    <x v="654"/>
    <x v="24"/>
  </r>
  <r>
    <x v="4"/>
    <x v="12"/>
    <x v="0"/>
    <x v="2"/>
    <x v="591"/>
    <x v="655"/>
    <x v="163"/>
    <x v="655"/>
    <x v="23"/>
  </r>
  <r>
    <x v="6"/>
    <x v="22"/>
    <x v="0"/>
    <x v="3"/>
    <x v="592"/>
    <x v="656"/>
    <x v="73"/>
    <x v="656"/>
    <x v="24"/>
  </r>
  <r>
    <x v="0"/>
    <x v="24"/>
    <x v="0"/>
    <x v="5"/>
    <x v="593"/>
    <x v="657"/>
    <x v="0"/>
    <x v="657"/>
    <x v="25"/>
  </r>
  <r>
    <x v="3"/>
    <x v="19"/>
    <x v="0"/>
    <x v="5"/>
    <x v="594"/>
    <x v="658"/>
    <x v="195"/>
    <x v="658"/>
    <x v="73"/>
  </r>
  <r>
    <x v="7"/>
    <x v="32"/>
    <x v="0"/>
    <x v="1"/>
    <x v="595"/>
    <x v="659"/>
    <x v="177"/>
    <x v="659"/>
    <x v="25"/>
  </r>
  <r>
    <x v="0"/>
    <x v="28"/>
    <x v="0"/>
    <x v="2"/>
    <x v="596"/>
    <x v="660"/>
    <x v="24"/>
    <x v="660"/>
    <x v="24"/>
  </r>
  <r>
    <x v="1"/>
    <x v="1"/>
    <x v="0"/>
    <x v="5"/>
    <x v="597"/>
    <x v="661"/>
    <x v="0"/>
    <x v="661"/>
    <x v="25"/>
  </r>
  <r>
    <x v="3"/>
    <x v="27"/>
    <x v="0"/>
    <x v="5"/>
    <x v="256"/>
    <x v="662"/>
    <x v="218"/>
    <x v="662"/>
    <x v="24"/>
  </r>
  <r>
    <x v="6"/>
    <x v="22"/>
    <x v="0"/>
    <x v="4"/>
    <x v="598"/>
    <x v="663"/>
    <x v="0"/>
    <x v="663"/>
    <x v="25"/>
  </r>
  <r>
    <x v="4"/>
    <x v="12"/>
    <x v="0"/>
    <x v="3"/>
    <x v="599"/>
    <x v="664"/>
    <x v="0"/>
    <x v="664"/>
    <x v="73"/>
  </r>
  <r>
    <x v="4"/>
    <x v="4"/>
    <x v="0"/>
    <x v="3"/>
    <x v="600"/>
    <x v="665"/>
    <x v="71"/>
    <x v="665"/>
    <x v="25"/>
  </r>
  <r>
    <x v="6"/>
    <x v="13"/>
    <x v="0"/>
    <x v="1"/>
    <x v="601"/>
    <x v="666"/>
    <x v="189"/>
    <x v="666"/>
    <x v="73"/>
  </r>
  <r>
    <x v="4"/>
    <x v="12"/>
    <x v="0"/>
    <x v="5"/>
    <x v="602"/>
    <x v="667"/>
    <x v="203"/>
    <x v="667"/>
    <x v="31"/>
  </r>
  <r>
    <x v="4"/>
    <x v="11"/>
    <x v="0"/>
    <x v="1"/>
    <x v="603"/>
    <x v="668"/>
    <x v="66"/>
    <x v="668"/>
    <x v="32"/>
  </r>
  <r>
    <x v="6"/>
    <x v="16"/>
    <x v="0"/>
    <x v="4"/>
    <x v="604"/>
    <x v="669"/>
    <x v="145"/>
    <x v="669"/>
    <x v="31"/>
  </r>
  <r>
    <x v="4"/>
    <x v="9"/>
    <x v="2"/>
    <x v="0"/>
    <x v="605"/>
    <x v="670"/>
    <x v="219"/>
    <x v="670"/>
    <x v="32"/>
  </r>
  <r>
    <x v="5"/>
    <x v="6"/>
    <x v="2"/>
    <x v="1"/>
    <x v="606"/>
    <x v="671"/>
    <x v="86"/>
    <x v="671"/>
    <x v="74"/>
  </r>
  <r>
    <x v="4"/>
    <x v="4"/>
    <x v="1"/>
    <x v="4"/>
    <x v="607"/>
    <x v="672"/>
    <x v="67"/>
    <x v="672"/>
    <x v="75"/>
  </r>
  <r>
    <x v="7"/>
    <x v="18"/>
    <x v="0"/>
    <x v="3"/>
    <x v="608"/>
    <x v="673"/>
    <x v="11"/>
    <x v="673"/>
    <x v="76"/>
  </r>
  <r>
    <x v="0"/>
    <x v="28"/>
    <x v="0"/>
    <x v="0"/>
    <x v="510"/>
    <x v="674"/>
    <x v="91"/>
    <x v="674"/>
    <x v="75"/>
  </r>
  <r>
    <x v="1"/>
    <x v="21"/>
    <x v="0"/>
    <x v="1"/>
    <x v="609"/>
    <x v="675"/>
    <x v="175"/>
    <x v="675"/>
    <x v="76"/>
  </r>
  <r>
    <x v="4"/>
    <x v="11"/>
    <x v="0"/>
    <x v="0"/>
    <x v="413"/>
    <x v="676"/>
    <x v="215"/>
    <x v="676"/>
    <x v="75"/>
  </r>
  <r>
    <x v="0"/>
    <x v="24"/>
    <x v="0"/>
    <x v="0"/>
    <x v="30"/>
    <x v="677"/>
    <x v="137"/>
    <x v="677"/>
    <x v="74"/>
  </r>
  <r>
    <x v="1"/>
    <x v="21"/>
    <x v="0"/>
    <x v="5"/>
    <x v="610"/>
    <x v="678"/>
    <x v="12"/>
    <x v="678"/>
    <x v="32"/>
  </r>
  <r>
    <x v="5"/>
    <x v="17"/>
    <x v="0"/>
    <x v="5"/>
    <x v="611"/>
    <x v="679"/>
    <x v="220"/>
    <x v="679"/>
    <x v="31"/>
  </r>
  <r>
    <x v="5"/>
    <x v="29"/>
    <x v="0"/>
    <x v="0"/>
    <x v="612"/>
    <x v="680"/>
    <x v="146"/>
    <x v="680"/>
    <x v="73"/>
  </r>
  <r>
    <x v="6"/>
    <x v="16"/>
    <x v="0"/>
    <x v="0"/>
    <x v="613"/>
    <x v="681"/>
    <x v="25"/>
    <x v="681"/>
    <x v="25"/>
  </r>
  <r>
    <x v="4"/>
    <x v="5"/>
    <x v="0"/>
    <x v="5"/>
    <x v="614"/>
    <x v="682"/>
    <x v="107"/>
    <x v="682"/>
    <x v="73"/>
  </r>
  <r>
    <x v="3"/>
    <x v="27"/>
    <x v="0"/>
    <x v="1"/>
    <x v="615"/>
    <x v="683"/>
    <x v="192"/>
    <x v="683"/>
    <x v="31"/>
  </r>
  <r>
    <x v="1"/>
    <x v="21"/>
    <x v="0"/>
    <x v="4"/>
    <x v="551"/>
    <x v="684"/>
    <x v="101"/>
    <x v="684"/>
    <x v="73"/>
  </r>
  <r>
    <x v="7"/>
    <x v="26"/>
    <x v="0"/>
    <x v="2"/>
    <x v="616"/>
    <x v="685"/>
    <x v="221"/>
    <x v="685"/>
    <x v="25"/>
  </r>
  <r>
    <x v="7"/>
    <x v="26"/>
    <x v="0"/>
    <x v="2"/>
    <x v="617"/>
    <x v="686"/>
    <x v="8"/>
    <x v="686"/>
    <x v="73"/>
  </r>
  <r>
    <x v="6"/>
    <x v="22"/>
    <x v="0"/>
    <x v="3"/>
    <x v="618"/>
    <x v="687"/>
    <x v="112"/>
    <x v="687"/>
    <x v="31"/>
  </r>
  <r>
    <x v="2"/>
    <x v="30"/>
    <x v="0"/>
    <x v="0"/>
    <x v="619"/>
    <x v="688"/>
    <x v="171"/>
    <x v="688"/>
    <x v="32"/>
  </r>
  <r>
    <x v="4"/>
    <x v="5"/>
    <x v="0"/>
    <x v="5"/>
    <x v="620"/>
    <x v="689"/>
    <x v="2"/>
    <x v="689"/>
    <x v="74"/>
  </r>
  <r>
    <x v="0"/>
    <x v="0"/>
    <x v="0"/>
    <x v="4"/>
    <x v="370"/>
    <x v="690"/>
    <x v="184"/>
    <x v="690"/>
    <x v="32"/>
  </r>
  <r>
    <x v="0"/>
    <x v="24"/>
    <x v="2"/>
    <x v="0"/>
    <x v="621"/>
    <x v="691"/>
    <x v="48"/>
    <x v="691"/>
    <x v="31"/>
  </r>
  <r>
    <x v="7"/>
    <x v="32"/>
    <x v="0"/>
    <x v="4"/>
    <x v="520"/>
    <x v="692"/>
    <x v="222"/>
    <x v="692"/>
    <x v="73"/>
  </r>
  <r>
    <x v="6"/>
    <x v="13"/>
    <x v="0"/>
    <x v="5"/>
    <x v="622"/>
    <x v="693"/>
    <x v="110"/>
    <x v="693"/>
    <x v="31"/>
  </r>
  <r>
    <x v="4"/>
    <x v="9"/>
    <x v="0"/>
    <x v="0"/>
    <x v="623"/>
    <x v="694"/>
    <x v="130"/>
    <x v="694"/>
    <x v="73"/>
  </r>
  <r>
    <x v="3"/>
    <x v="7"/>
    <x v="0"/>
    <x v="1"/>
    <x v="86"/>
    <x v="695"/>
    <x v="97"/>
    <x v="695"/>
    <x v="31"/>
  </r>
  <r>
    <x v="6"/>
    <x v="13"/>
    <x v="0"/>
    <x v="0"/>
    <x v="624"/>
    <x v="696"/>
    <x v="223"/>
    <x v="696"/>
    <x v="73"/>
  </r>
  <r>
    <x v="7"/>
    <x v="25"/>
    <x v="0"/>
    <x v="5"/>
    <x v="625"/>
    <x v="697"/>
    <x v="69"/>
    <x v="697"/>
    <x v="25"/>
  </r>
  <r>
    <x v="4"/>
    <x v="12"/>
    <x v="2"/>
    <x v="1"/>
    <x v="626"/>
    <x v="698"/>
    <x v="142"/>
    <x v="698"/>
    <x v="24"/>
  </r>
  <r>
    <x v="7"/>
    <x v="14"/>
    <x v="1"/>
    <x v="1"/>
    <x v="627"/>
    <x v="699"/>
    <x v="35"/>
    <x v="699"/>
    <x v="25"/>
  </r>
  <r>
    <x v="7"/>
    <x v="26"/>
    <x v="0"/>
    <x v="1"/>
    <x v="360"/>
    <x v="700"/>
    <x v="21"/>
    <x v="700"/>
    <x v="24"/>
  </r>
  <r>
    <x v="4"/>
    <x v="9"/>
    <x v="0"/>
    <x v="4"/>
    <x v="628"/>
    <x v="701"/>
    <x v="86"/>
    <x v="701"/>
    <x v="25"/>
  </r>
  <r>
    <x v="0"/>
    <x v="24"/>
    <x v="2"/>
    <x v="3"/>
    <x v="629"/>
    <x v="702"/>
    <x v="63"/>
    <x v="702"/>
    <x v="24"/>
  </r>
  <r>
    <x v="4"/>
    <x v="20"/>
    <x v="0"/>
    <x v="3"/>
    <x v="630"/>
    <x v="703"/>
    <x v="85"/>
    <x v="703"/>
    <x v="25"/>
  </r>
  <r>
    <x v="4"/>
    <x v="9"/>
    <x v="0"/>
    <x v="4"/>
    <x v="631"/>
    <x v="704"/>
    <x v="157"/>
    <x v="704"/>
    <x v="73"/>
  </r>
  <r>
    <x v="1"/>
    <x v="21"/>
    <x v="1"/>
    <x v="0"/>
    <x v="632"/>
    <x v="705"/>
    <x v="131"/>
    <x v="705"/>
    <x v="31"/>
  </r>
  <r>
    <x v="0"/>
    <x v="28"/>
    <x v="1"/>
    <x v="0"/>
    <x v="633"/>
    <x v="706"/>
    <x v="176"/>
    <x v="706"/>
    <x v="73"/>
  </r>
  <r>
    <x v="5"/>
    <x v="29"/>
    <x v="0"/>
    <x v="4"/>
    <x v="239"/>
    <x v="707"/>
    <x v="113"/>
    <x v="707"/>
    <x v="25"/>
  </r>
  <r>
    <x v="6"/>
    <x v="31"/>
    <x v="0"/>
    <x v="0"/>
    <x v="634"/>
    <x v="708"/>
    <x v="63"/>
    <x v="708"/>
    <x v="24"/>
  </r>
  <r>
    <x v="2"/>
    <x v="30"/>
    <x v="0"/>
    <x v="2"/>
    <x v="635"/>
    <x v="709"/>
    <x v="49"/>
    <x v="709"/>
    <x v="25"/>
  </r>
  <r>
    <x v="2"/>
    <x v="23"/>
    <x v="0"/>
    <x v="3"/>
    <x v="636"/>
    <x v="710"/>
    <x v="54"/>
    <x v="710"/>
    <x v="73"/>
  </r>
  <r>
    <x v="3"/>
    <x v="7"/>
    <x v="0"/>
    <x v="2"/>
    <x v="637"/>
    <x v="711"/>
    <x v="137"/>
    <x v="711"/>
    <x v="25"/>
  </r>
  <r>
    <x v="7"/>
    <x v="18"/>
    <x v="0"/>
    <x v="0"/>
    <x v="638"/>
    <x v="712"/>
    <x v="79"/>
    <x v="712"/>
    <x v="24"/>
  </r>
  <r>
    <x v="0"/>
    <x v="24"/>
    <x v="0"/>
    <x v="4"/>
    <x v="272"/>
    <x v="713"/>
    <x v="35"/>
    <x v="713"/>
    <x v="23"/>
  </r>
  <r>
    <x v="0"/>
    <x v="0"/>
    <x v="0"/>
    <x v="0"/>
    <x v="639"/>
    <x v="714"/>
    <x v="166"/>
    <x v="714"/>
    <x v="24"/>
  </r>
  <r>
    <x v="1"/>
    <x v="10"/>
    <x v="0"/>
    <x v="4"/>
    <x v="640"/>
    <x v="715"/>
    <x v="200"/>
    <x v="715"/>
    <x v="23"/>
  </r>
  <r>
    <x v="5"/>
    <x v="29"/>
    <x v="0"/>
    <x v="4"/>
    <x v="641"/>
    <x v="716"/>
    <x v="85"/>
    <x v="716"/>
    <x v="24"/>
  </r>
  <r>
    <x v="1"/>
    <x v="1"/>
    <x v="0"/>
    <x v="4"/>
    <x v="642"/>
    <x v="717"/>
    <x v="156"/>
    <x v="717"/>
    <x v="23"/>
  </r>
  <r>
    <x v="4"/>
    <x v="12"/>
    <x v="0"/>
    <x v="1"/>
    <x v="643"/>
    <x v="718"/>
    <x v="159"/>
    <x v="718"/>
    <x v="72"/>
  </r>
  <r>
    <x v="2"/>
    <x v="23"/>
    <x v="0"/>
    <x v="2"/>
    <x v="644"/>
    <x v="719"/>
    <x v="0"/>
    <x v="719"/>
    <x v="39"/>
  </r>
  <r>
    <x v="1"/>
    <x v="21"/>
    <x v="0"/>
    <x v="1"/>
    <x v="645"/>
    <x v="720"/>
    <x v="212"/>
    <x v="720"/>
    <x v="40"/>
  </r>
  <r>
    <x v="4"/>
    <x v="11"/>
    <x v="2"/>
    <x v="5"/>
    <x v="646"/>
    <x v="721"/>
    <x v="204"/>
    <x v="721"/>
    <x v="41"/>
  </r>
  <r>
    <x v="4"/>
    <x v="9"/>
    <x v="0"/>
    <x v="1"/>
    <x v="647"/>
    <x v="722"/>
    <x v="39"/>
    <x v="722"/>
    <x v="42"/>
  </r>
  <r>
    <x v="2"/>
    <x v="23"/>
    <x v="0"/>
    <x v="3"/>
    <x v="648"/>
    <x v="723"/>
    <x v="77"/>
    <x v="723"/>
    <x v="41"/>
  </r>
  <r>
    <x v="7"/>
    <x v="18"/>
    <x v="0"/>
    <x v="1"/>
    <x v="649"/>
    <x v="724"/>
    <x v="109"/>
    <x v="724"/>
    <x v="42"/>
  </r>
  <r>
    <x v="5"/>
    <x v="29"/>
    <x v="0"/>
    <x v="5"/>
    <x v="650"/>
    <x v="725"/>
    <x v="2"/>
    <x v="725"/>
    <x v="41"/>
  </r>
  <r>
    <x v="4"/>
    <x v="20"/>
    <x v="0"/>
    <x v="1"/>
    <x v="323"/>
    <x v="726"/>
    <x v="0"/>
    <x v="726"/>
    <x v="42"/>
  </r>
  <r>
    <x v="5"/>
    <x v="6"/>
    <x v="0"/>
    <x v="2"/>
    <x v="651"/>
    <x v="727"/>
    <x v="154"/>
    <x v="727"/>
    <x v="41"/>
  </r>
  <r>
    <x v="4"/>
    <x v="4"/>
    <x v="0"/>
    <x v="4"/>
    <x v="652"/>
    <x v="728"/>
    <x v="0"/>
    <x v="728"/>
    <x v="42"/>
  </r>
  <r>
    <x v="4"/>
    <x v="20"/>
    <x v="0"/>
    <x v="3"/>
    <x v="653"/>
    <x v="729"/>
    <x v="65"/>
    <x v="729"/>
    <x v="41"/>
  </r>
  <r>
    <x v="4"/>
    <x v="9"/>
    <x v="0"/>
    <x v="1"/>
    <x v="654"/>
    <x v="730"/>
    <x v="207"/>
    <x v="730"/>
    <x v="40"/>
  </r>
  <r>
    <x v="5"/>
    <x v="17"/>
    <x v="0"/>
    <x v="3"/>
    <x v="655"/>
    <x v="731"/>
    <x v="42"/>
    <x v="731"/>
    <x v="39"/>
  </r>
  <r>
    <x v="3"/>
    <x v="19"/>
    <x v="0"/>
    <x v="4"/>
    <x v="656"/>
    <x v="732"/>
    <x v="216"/>
    <x v="732"/>
    <x v="72"/>
  </r>
  <r>
    <x v="7"/>
    <x v="32"/>
    <x v="0"/>
    <x v="2"/>
    <x v="657"/>
    <x v="733"/>
    <x v="183"/>
    <x v="733"/>
    <x v="39"/>
  </r>
  <r>
    <x v="0"/>
    <x v="0"/>
    <x v="0"/>
    <x v="5"/>
    <x v="658"/>
    <x v="734"/>
    <x v="224"/>
    <x v="734"/>
    <x v="72"/>
  </r>
  <r>
    <x v="5"/>
    <x v="6"/>
    <x v="0"/>
    <x v="1"/>
    <x v="659"/>
    <x v="735"/>
    <x v="225"/>
    <x v="735"/>
    <x v="39"/>
  </r>
  <r>
    <x v="0"/>
    <x v="24"/>
    <x v="0"/>
    <x v="2"/>
    <x v="660"/>
    <x v="736"/>
    <x v="0"/>
    <x v="736"/>
    <x v="72"/>
  </r>
  <r>
    <x v="5"/>
    <x v="29"/>
    <x v="1"/>
    <x v="4"/>
    <x v="661"/>
    <x v="737"/>
    <x v="32"/>
    <x v="737"/>
    <x v="23"/>
  </r>
  <r>
    <x v="0"/>
    <x v="24"/>
    <x v="0"/>
    <x v="0"/>
    <x v="662"/>
    <x v="738"/>
    <x v="149"/>
    <x v="738"/>
    <x v="72"/>
  </r>
  <r>
    <x v="0"/>
    <x v="24"/>
    <x v="0"/>
    <x v="0"/>
    <x v="663"/>
    <x v="739"/>
    <x v="178"/>
    <x v="739"/>
    <x v="23"/>
  </r>
  <r>
    <x v="0"/>
    <x v="15"/>
    <x v="0"/>
    <x v="2"/>
    <x v="70"/>
    <x v="740"/>
    <x v="216"/>
    <x v="740"/>
    <x v="72"/>
  </r>
  <r>
    <x v="6"/>
    <x v="31"/>
    <x v="2"/>
    <x v="5"/>
    <x v="664"/>
    <x v="741"/>
    <x v="58"/>
    <x v="741"/>
    <x v="23"/>
  </r>
  <r>
    <x v="2"/>
    <x v="30"/>
    <x v="0"/>
    <x v="4"/>
    <x v="185"/>
    <x v="742"/>
    <x v="0"/>
    <x v="742"/>
    <x v="24"/>
  </r>
  <r>
    <x v="7"/>
    <x v="25"/>
    <x v="0"/>
    <x v="5"/>
    <x v="665"/>
    <x v="743"/>
    <x v="52"/>
    <x v="743"/>
    <x v="23"/>
  </r>
  <r>
    <x v="6"/>
    <x v="22"/>
    <x v="0"/>
    <x v="3"/>
    <x v="517"/>
    <x v="744"/>
    <x v="11"/>
    <x v="744"/>
    <x v="72"/>
  </r>
  <r>
    <x v="5"/>
    <x v="17"/>
    <x v="0"/>
    <x v="4"/>
    <x v="666"/>
    <x v="745"/>
    <x v="40"/>
    <x v="745"/>
    <x v="23"/>
  </r>
  <r>
    <x v="0"/>
    <x v="0"/>
    <x v="2"/>
    <x v="0"/>
    <x v="667"/>
    <x v="746"/>
    <x v="120"/>
    <x v="746"/>
    <x v="72"/>
  </r>
  <r>
    <x v="7"/>
    <x v="32"/>
    <x v="0"/>
    <x v="4"/>
    <x v="668"/>
    <x v="747"/>
    <x v="105"/>
    <x v="747"/>
    <x v="23"/>
  </r>
  <r>
    <x v="1"/>
    <x v="10"/>
    <x v="0"/>
    <x v="0"/>
    <x v="669"/>
    <x v="748"/>
    <x v="83"/>
    <x v="748"/>
    <x v="72"/>
  </r>
  <r>
    <x v="3"/>
    <x v="7"/>
    <x v="0"/>
    <x v="2"/>
    <x v="534"/>
    <x v="749"/>
    <x v="226"/>
    <x v="749"/>
    <x v="39"/>
  </r>
  <r>
    <x v="4"/>
    <x v="20"/>
    <x v="0"/>
    <x v="0"/>
    <x v="670"/>
    <x v="750"/>
    <x v="0"/>
    <x v="750"/>
    <x v="40"/>
  </r>
  <r>
    <x v="1"/>
    <x v="21"/>
    <x v="0"/>
    <x v="3"/>
    <x v="671"/>
    <x v="751"/>
    <x v="8"/>
    <x v="751"/>
    <x v="39"/>
  </r>
  <r>
    <x v="3"/>
    <x v="7"/>
    <x v="0"/>
    <x v="5"/>
    <x v="672"/>
    <x v="752"/>
    <x v="156"/>
    <x v="752"/>
    <x v="40"/>
  </r>
  <r>
    <x v="0"/>
    <x v="0"/>
    <x v="0"/>
    <x v="5"/>
    <x v="673"/>
    <x v="753"/>
    <x v="0"/>
    <x v="753"/>
    <x v="41"/>
  </r>
  <r>
    <x v="4"/>
    <x v="12"/>
    <x v="0"/>
    <x v="2"/>
    <x v="674"/>
    <x v="754"/>
    <x v="227"/>
    <x v="754"/>
    <x v="40"/>
  </r>
  <r>
    <x v="5"/>
    <x v="6"/>
    <x v="1"/>
    <x v="1"/>
    <x v="675"/>
    <x v="755"/>
    <x v="66"/>
    <x v="755"/>
    <x v="39"/>
  </r>
  <r>
    <x v="3"/>
    <x v="27"/>
    <x v="0"/>
    <x v="2"/>
    <x v="676"/>
    <x v="756"/>
    <x v="200"/>
    <x v="756"/>
    <x v="40"/>
  </r>
  <r>
    <x v="7"/>
    <x v="32"/>
    <x v="0"/>
    <x v="3"/>
    <x v="59"/>
    <x v="757"/>
    <x v="77"/>
    <x v="757"/>
    <x v="41"/>
  </r>
  <r>
    <x v="5"/>
    <x v="29"/>
    <x v="0"/>
    <x v="4"/>
    <x v="677"/>
    <x v="758"/>
    <x v="212"/>
    <x v="758"/>
    <x v="77"/>
  </r>
  <r>
    <x v="5"/>
    <x v="17"/>
    <x v="1"/>
    <x v="2"/>
    <x v="678"/>
    <x v="759"/>
    <x v="78"/>
    <x v="759"/>
    <x v="54"/>
  </r>
  <r>
    <x v="4"/>
    <x v="20"/>
    <x v="0"/>
    <x v="3"/>
    <x v="679"/>
    <x v="760"/>
    <x v="34"/>
    <x v="760"/>
    <x v="78"/>
  </r>
  <r>
    <x v="6"/>
    <x v="16"/>
    <x v="0"/>
    <x v="4"/>
    <x v="680"/>
    <x v="761"/>
    <x v="2"/>
    <x v="761"/>
    <x v="54"/>
  </r>
  <r>
    <x v="6"/>
    <x v="13"/>
    <x v="0"/>
    <x v="0"/>
    <x v="681"/>
    <x v="762"/>
    <x v="46"/>
    <x v="762"/>
    <x v="78"/>
  </r>
  <r>
    <x v="2"/>
    <x v="8"/>
    <x v="0"/>
    <x v="4"/>
    <x v="682"/>
    <x v="763"/>
    <x v="157"/>
    <x v="763"/>
    <x v="54"/>
  </r>
  <r>
    <x v="4"/>
    <x v="11"/>
    <x v="0"/>
    <x v="0"/>
    <x v="183"/>
    <x v="764"/>
    <x v="106"/>
    <x v="764"/>
    <x v="77"/>
  </r>
  <r>
    <x v="7"/>
    <x v="32"/>
    <x v="0"/>
    <x v="5"/>
    <x v="683"/>
    <x v="765"/>
    <x v="0"/>
    <x v="765"/>
    <x v="41"/>
  </r>
  <r>
    <x v="2"/>
    <x v="30"/>
    <x v="0"/>
    <x v="4"/>
    <x v="684"/>
    <x v="766"/>
    <x v="226"/>
    <x v="766"/>
    <x v="77"/>
  </r>
  <r>
    <x v="5"/>
    <x v="17"/>
    <x v="0"/>
    <x v="0"/>
    <x v="685"/>
    <x v="767"/>
    <x v="2"/>
    <x v="767"/>
    <x v="41"/>
  </r>
  <r>
    <x v="0"/>
    <x v="24"/>
    <x v="0"/>
    <x v="2"/>
    <x v="686"/>
    <x v="768"/>
    <x v="135"/>
    <x v="768"/>
    <x v="77"/>
  </r>
  <r>
    <x v="5"/>
    <x v="17"/>
    <x v="0"/>
    <x v="3"/>
    <x v="687"/>
    <x v="769"/>
    <x v="217"/>
    <x v="769"/>
    <x v="41"/>
  </r>
  <r>
    <x v="4"/>
    <x v="20"/>
    <x v="0"/>
    <x v="2"/>
    <x v="688"/>
    <x v="770"/>
    <x v="78"/>
    <x v="770"/>
    <x v="40"/>
  </r>
  <r>
    <x v="5"/>
    <x v="6"/>
    <x v="0"/>
    <x v="5"/>
    <x v="689"/>
    <x v="771"/>
    <x v="38"/>
    <x v="771"/>
    <x v="39"/>
  </r>
  <r>
    <x v="4"/>
    <x v="4"/>
    <x v="0"/>
    <x v="4"/>
    <x v="690"/>
    <x v="772"/>
    <x v="228"/>
    <x v="772"/>
    <x v="40"/>
  </r>
  <r>
    <x v="0"/>
    <x v="15"/>
    <x v="0"/>
    <x v="0"/>
    <x v="691"/>
    <x v="773"/>
    <x v="201"/>
    <x v="773"/>
    <x v="39"/>
  </r>
  <r>
    <x v="5"/>
    <x v="6"/>
    <x v="0"/>
    <x v="4"/>
    <x v="692"/>
    <x v="774"/>
    <x v="119"/>
    <x v="774"/>
    <x v="40"/>
  </r>
  <r>
    <x v="4"/>
    <x v="9"/>
    <x v="0"/>
    <x v="4"/>
    <x v="693"/>
    <x v="775"/>
    <x v="174"/>
    <x v="775"/>
    <x v="39"/>
  </r>
  <r>
    <x v="6"/>
    <x v="31"/>
    <x v="1"/>
    <x v="0"/>
    <x v="209"/>
    <x v="776"/>
    <x v="74"/>
    <x v="776"/>
    <x v="40"/>
  </r>
  <r>
    <x v="2"/>
    <x v="8"/>
    <x v="0"/>
    <x v="5"/>
    <x v="694"/>
    <x v="777"/>
    <x v="96"/>
    <x v="777"/>
    <x v="39"/>
  </r>
  <r>
    <x v="2"/>
    <x v="23"/>
    <x v="2"/>
    <x v="2"/>
    <x v="695"/>
    <x v="778"/>
    <x v="31"/>
    <x v="778"/>
    <x v="40"/>
  </r>
  <r>
    <x v="3"/>
    <x v="27"/>
    <x v="0"/>
    <x v="1"/>
    <x v="353"/>
    <x v="779"/>
    <x v="0"/>
    <x v="779"/>
    <x v="39"/>
  </r>
  <r>
    <x v="2"/>
    <x v="23"/>
    <x v="0"/>
    <x v="1"/>
    <x v="696"/>
    <x v="780"/>
    <x v="145"/>
    <x v="780"/>
    <x v="72"/>
  </r>
  <r>
    <x v="7"/>
    <x v="26"/>
    <x v="0"/>
    <x v="2"/>
    <x v="697"/>
    <x v="781"/>
    <x v="169"/>
    <x v="781"/>
    <x v="23"/>
  </r>
  <r>
    <x v="6"/>
    <x v="22"/>
    <x v="0"/>
    <x v="1"/>
    <x v="698"/>
    <x v="782"/>
    <x v="110"/>
    <x v="782"/>
    <x v="24"/>
  </r>
  <r>
    <x v="0"/>
    <x v="28"/>
    <x v="0"/>
    <x v="2"/>
    <x v="699"/>
    <x v="783"/>
    <x v="42"/>
    <x v="783"/>
    <x v="25"/>
  </r>
  <r>
    <x v="4"/>
    <x v="5"/>
    <x v="0"/>
    <x v="4"/>
    <x v="700"/>
    <x v="784"/>
    <x v="210"/>
    <x v="784"/>
    <x v="73"/>
  </r>
  <r>
    <x v="1"/>
    <x v="10"/>
    <x v="0"/>
    <x v="1"/>
    <x v="701"/>
    <x v="785"/>
    <x v="99"/>
    <x v="785"/>
    <x v="31"/>
  </r>
  <r>
    <x v="7"/>
    <x v="14"/>
    <x v="0"/>
    <x v="1"/>
    <x v="702"/>
    <x v="786"/>
    <x v="0"/>
    <x v="786"/>
    <x v="73"/>
  </r>
  <r>
    <x v="0"/>
    <x v="28"/>
    <x v="0"/>
    <x v="2"/>
    <x v="703"/>
    <x v="787"/>
    <x v="145"/>
    <x v="787"/>
    <x v="25"/>
  </r>
  <r>
    <x v="0"/>
    <x v="0"/>
    <x v="0"/>
    <x v="4"/>
    <x v="704"/>
    <x v="788"/>
    <x v="220"/>
    <x v="788"/>
    <x v="73"/>
  </r>
  <r>
    <x v="1"/>
    <x v="1"/>
    <x v="0"/>
    <x v="0"/>
    <x v="705"/>
    <x v="789"/>
    <x v="92"/>
    <x v="789"/>
    <x v="25"/>
  </r>
  <r>
    <x v="4"/>
    <x v="11"/>
    <x v="0"/>
    <x v="3"/>
    <x v="360"/>
    <x v="790"/>
    <x v="0"/>
    <x v="790"/>
    <x v="24"/>
  </r>
  <r>
    <x v="7"/>
    <x v="18"/>
    <x v="2"/>
    <x v="0"/>
    <x v="706"/>
    <x v="791"/>
    <x v="72"/>
    <x v="791"/>
    <x v="25"/>
  </r>
  <r>
    <x v="7"/>
    <x v="14"/>
    <x v="0"/>
    <x v="5"/>
    <x v="707"/>
    <x v="792"/>
    <x v="154"/>
    <x v="792"/>
    <x v="73"/>
  </r>
  <r>
    <x v="3"/>
    <x v="3"/>
    <x v="0"/>
    <x v="4"/>
    <x v="708"/>
    <x v="793"/>
    <x v="24"/>
    <x v="793"/>
    <x v="31"/>
  </r>
  <r>
    <x v="4"/>
    <x v="11"/>
    <x v="0"/>
    <x v="2"/>
    <x v="709"/>
    <x v="794"/>
    <x v="0"/>
    <x v="794"/>
    <x v="73"/>
  </r>
  <r>
    <x v="5"/>
    <x v="29"/>
    <x v="1"/>
    <x v="5"/>
    <x v="710"/>
    <x v="795"/>
    <x v="17"/>
    <x v="795"/>
    <x v="25"/>
  </r>
  <r>
    <x v="1"/>
    <x v="10"/>
    <x v="0"/>
    <x v="3"/>
    <x v="711"/>
    <x v="796"/>
    <x v="93"/>
    <x v="796"/>
    <x v="24"/>
  </r>
  <r>
    <x v="7"/>
    <x v="25"/>
    <x v="0"/>
    <x v="1"/>
    <x v="564"/>
    <x v="797"/>
    <x v="124"/>
    <x v="797"/>
    <x v="23"/>
  </r>
  <r>
    <x v="2"/>
    <x v="23"/>
    <x v="0"/>
    <x v="4"/>
    <x v="712"/>
    <x v="798"/>
    <x v="40"/>
    <x v="798"/>
    <x v="72"/>
  </r>
  <r>
    <x v="1"/>
    <x v="21"/>
    <x v="0"/>
    <x v="5"/>
    <x v="713"/>
    <x v="799"/>
    <x v="142"/>
    <x v="799"/>
    <x v="23"/>
  </r>
  <r>
    <x v="2"/>
    <x v="2"/>
    <x v="2"/>
    <x v="3"/>
    <x v="350"/>
    <x v="800"/>
    <x v="0"/>
    <x v="800"/>
    <x v="72"/>
  </r>
  <r>
    <x v="4"/>
    <x v="5"/>
    <x v="0"/>
    <x v="1"/>
    <x v="714"/>
    <x v="801"/>
    <x v="62"/>
    <x v="801"/>
    <x v="39"/>
  </r>
  <r>
    <x v="7"/>
    <x v="32"/>
    <x v="0"/>
    <x v="5"/>
    <x v="715"/>
    <x v="802"/>
    <x v="183"/>
    <x v="802"/>
    <x v="79"/>
  </r>
  <r>
    <x v="3"/>
    <x v="19"/>
    <x v="0"/>
    <x v="5"/>
    <x v="716"/>
    <x v="803"/>
    <x v="89"/>
    <x v="803"/>
    <x v="39"/>
  </r>
  <r>
    <x v="0"/>
    <x v="24"/>
    <x v="0"/>
    <x v="3"/>
    <x v="717"/>
    <x v="804"/>
    <x v="25"/>
    <x v="804"/>
    <x v="80"/>
  </r>
  <r>
    <x v="2"/>
    <x v="30"/>
    <x v="0"/>
    <x v="0"/>
    <x v="718"/>
    <x v="805"/>
    <x v="202"/>
    <x v="805"/>
    <x v="61"/>
  </r>
  <r>
    <x v="1"/>
    <x v="1"/>
    <x v="0"/>
    <x v="2"/>
    <x v="719"/>
    <x v="806"/>
    <x v="124"/>
    <x v="806"/>
    <x v="80"/>
  </r>
  <r>
    <x v="1"/>
    <x v="21"/>
    <x v="0"/>
    <x v="2"/>
    <x v="720"/>
    <x v="807"/>
    <x v="211"/>
    <x v="807"/>
    <x v="61"/>
  </r>
  <r>
    <x v="0"/>
    <x v="0"/>
    <x v="0"/>
    <x v="5"/>
    <x v="721"/>
    <x v="808"/>
    <x v="29"/>
    <x v="808"/>
    <x v="62"/>
  </r>
  <r>
    <x v="4"/>
    <x v="11"/>
    <x v="0"/>
    <x v="2"/>
    <x v="722"/>
    <x v="809"/>
    <x v="170"/>
    <x v="809"/>
    <x v="61"/>
  </r>
  <r>
    <x v="1"/>
    <x v="1"/>
    <x v="0"/>
    <x v="3"/>
    <x v="723"/>
    <x v="810"/>
    <x v="86"/>
    <x v="810"/>
    <x v="62"/>
  </r>
  <r>
    <x v="5"/>
    <x v="6"/>
    <x v="0"/>
    <x v="0"/>
    <x v="724"/>
    <x v="811"/>
    <x v="229"/>
    <x v="811"/>
    <x v="63"/>
  </r>
  <r>
    <x v="4"/>
    <x v="9"/>
    <x v="0"/>
    <x v="5"/>
    <x v="676"/>
    <x v="812"/>
    <x v="151"/>
    <x v="812"/>
    <x v="62"/>
  </r>
  <r>
    <x v="1"/>
    <x v="21"/>
    <x v="0"/>
    <x v="4"/>
    <x v="320"/>
    <x v="813"/>
    <x v="230"/>
    <x v="813"/>
    <x v="63"/>
  </r>
  <r>
    <x v="5"/>
    <x v="29"/>
    <x v="0"/>
    <x v="5"/>
    <x v="725"/>
    <x v="814"/>
    <x v="0"/>
    <x v="814"/>
    <x v="64"/>
  </r>
  <r>
    <x v="7"/>
    <x v="26"/>
    <x v="0"/>
    <x v="5"/>
    <x v="632"/>
    <x v="815"/>
    <x v="152"/>
    <x v="815"/>
    <x v="65"/>
  </r>
  <r>
    <x v="3"/>
    <x v="19"/>
    <x v="0"/>
    <x v="4"/>
    <x v="726"/>
    <x v="816"/>
    <x v="219"/>
    <x v="816"/>
    <x v="81"/>
  </r>
  <r>
    <x v="0"/>
    <x v="28"/>
    <x v="2"/>
    <x v="5"/>
    <x v="727"/>
    <x v="817"/>
    <x v="67"/>
    <x v="817"/>
    <x v="67"/>
  </r>
  <r>
    <x v="4"/>
    <x v="5"/>
    <x v="0"/>
    <x v="3"/>
    <x v="219"/>
    <x v="818"/>
    <x v="157"/>
    <x v="818"/>
    <x v="81"/>
  </r>
  <r>
    <x v="0"/>
    <x v="24"/>
    <x v="0"/>
    <x v="0"/>
    <x v="728"/>
    <x v="819"/>
    <x v="231"/>
    <x v="819"/>
    <x v="63"/>
  </r>
  <r>
    <x v="5"/>
    <x v="29"/>
    <x v="0"/>
    <x v="3"/>
    <x v="729"/>
    <x v="820"/>
    <x v="228"/>
    <x v="820"/>
    <x v="81"/>
  </r>
  <r>
    <x v="4"/>
    <x v="11"/>
    <x v="0"/>
    <x v="0"/>
    <x v="730"/>
    <x v="821"/>
    <x v="149"/>
    <x v="821"/>
    <x v="67"/>
  </r>
  <r>
    <x v="0"/>
    <x v="28"/>
    <x v="2"/>
    <x v="3"/>
    <x v="731"/>
    <x v="822"/>
    <x v="230"/>
    <x v="822"/>
    <x v="81"/>
  </r>
  <r>
    <x v="0"/>
    <x v="28"/>
    <x v="0"/>
    <x v="3"/>
    <x v="732"/>
    <x v="823"/>
    <x v="44"/>
    <x v="823"/>
    <x v="63"/>
  </r>
  <r>
    <x v="7"/>
    <x v="14"/>
    <x v="0"/>
    <x v="3"/>
    <x v="733"/>
    <x v="824"/>
    <x v="188"/>
    <x v="824"/>
    <x v="62"/>
  </r>
  <r>
    <x v="1"/>
    <x v="1"/>
    <x v="0"/>
    <x v="4"/>
    <x v="396"/>
    <x v="825"/>
    <x v="35"/>
    <x v="825"/>
    <x v="63"/>
  </r>
  <r>
    <x v="0"/>
    <x v="0"/>
    <x v="0"/>
    <x v="4"/>
    <x v="470"/>
    <x v="826"/>
    <x v="182"/>
    <x v="826"/>
    <x v="81"/>
  </r>
  <r>
    <x v="0"/>
    <x v="15"/>
    <x v="0"/>
    <x v="4"/>
    <x v="140"/>
    <x v="827"/>
    <x v="221"/>
    <x v="827"/>
    <x v="63"/>
  </r>
  <r>
    <x v="2"/>
    <x v="30"/>
    <x v="0"/>
    <x v="5"/>
    <x v="734"/>
    <x v="828"/>
    <x v="77"/>
    <x v="828"/>
    <x v="62"/>
  </r>
  <r>
    <x v="0"/>
    <x v="24"/>
    <x v="2"/>
    <x v="4"/>
    <x v="735"/>
    <x v="829"/>
    <x v="165"/>
    <x v="829"/>
    <x v="61"/>
  </r>
  <r>
    <x v="6"/>
    <x v="16"/>
    <x v="0"/>
    <x v="0"/>
    <x v="736"/>
    <x v="830"/>
    <x v="84"/>
    <x v="830"/>
    <x v="62"/>
  </r>
  <r>
    <x v="0"/>
    <x v="28"/>
    <x v="0"/>
    <x v="4"/>
    <x v="296"/>
    <x v="831"/>
    <x v="86"/>
    <x v="831"/>
    <x v="61"/>
  </r>
  <r>
    <x v="4"/>
    <x v="20"/>
    <x v="0"/>
    <x v="3"/>
    <x v="2"/>
    <x v="832"/>
    <x v="141"/>
    <x v="832"/>
    <x v="2"/>
  </r>
  <r>
    <x v="4"/>
    <x v="5"/>
    <x v="0"/>
    <x v="2"/>
    <x v="737"/>
    <x v="833"/>
    <x v="65"/>
    <x v="833"/>
    <x v="23"/>
  </r>
  <r>
    <x v="7"/>
    <x v="18"/>
    <x v="0"/>
    <x v="4"/>
    <x v="738"/>
    <x v="834"/>
    <x v="34"/>
    <x v="834"/>
    <x v="2"/>
  </r>
  <r>
    <x v="0"/>
    <x v="28"/>
    <x v="0"/>
    <x v="1"/>
    <x v="739"/>
    <x v="835"/>
    <x v="180"/>
    <x v="835"/>
    <x v="23"/>
  </r>
  <r>
    <x v="1"/>
    <x v="21"/>
    <x v="0"/>
    <x v="4"/>
    <x v="565"/>
    <x v="836"/>
    <x v="101"/>
    <x v="836"/>
    <x v="24"/>
  </r>
  <r>
    <x v="0"/>
    <x v="24"/>
    <x v="0"/>
    <x v="3"/>
    <x v="740"/>
    <x v="837"/>
    <x v="202"/>
    <x v="837"/>
    <x v="23"/>
  </r>
  <r>
    <x v="7"/>
    <x v="26"/>
    <x v="0"/>
    <x v="0"/>
    <x v="86"/>
    <x v="838"/>
    <x v="195"/>
    <x v="838"/>
    <x v="2"/>
  </r>
  <r>
    <x v="3"/>
    <x v="7"/>
    <x v="0"/>
    <x v="1"/>
    <x v="741"/>
    <x v="839"/>
    <x v="193"/>
    <x v="839"/>
    <x v="23"/>
  </r>
  <r>
    <x v="4"/>
    <x v="9"/>
    <x v="0"/>
    <x v="1"/>
    <x v="742"/>
    <x v="840"/>
    <x v="134"/>
    <x v="840"/>
    <x v="2"/>
  </r>
  <r>
    <x v="3"/>
    <x v="19"/>
    <x v="0"/>
    <x v="0"/>
    <x v="298"/>
    <x v="841"/>
    <x v="66"/>
    <x v="841"/>
    <x v="23"/>
  </r>
  <r>
    <x v="4"/>
    <x v="9"/>
    <x v="0"/>
    <x v="3"/>
    <x v="373"/>
    <x v="842"/>
    <x v="140"/>
    <x v="842"/>
    <x v="2"/>
  </r>
  <r>
    <x v="1"/>
    <x v="1"/>
    <x v="0"/>
    <x v="3"/>
    <x v="743"/>
    <x v="843"/>
    <x v="0"/>
    <x v="843"/>
    <x v="23"/>
  </r>
  <r>
    <x v="4"/>
    <x v="12"/>
    <x v="0"/>
    <x v="5"/>
    <x v="744"/>
    <x v="844"/>
    <x v="104"/>
    <x v="844"/>
    <x v="2"/>
  </r>
  <r>
    <x v="0"/>
    <x v="0"/>
    <x v="0"/>
    <x v="0"/>
    <x v="745"/>
    <x v="845"/>
    <x v="126"/>
    <x v="845"/>
    <x v="23"/>
  </r>
  <r>
    <x v="4"/>
    <x v="11"/>
    <x v="0"/>
    <x v="3"/>
    <x v="746"/>
    <x v="846"/>
    <x v="200"/>
    <x v="846"/>
    <x v="2"/>
  </r>
  <r>
    <x v="1"/>
    <x v="21"/>
    <x v="0"/>
    <x v="4"/>
    <x v="747"/>
    <x v="168"/>
    <x v="44"/>
    <x v="847"/>
    <x v="23"/>
  </r>
  <r>
    <x v="7"/>
    <x v="26"/>
    <x v="0"/>
    <x v="4"/>
    <x v="574"/>
    <x v="847"/>
    <x v="0"/>
    <x v="848"/>
    <x v="2"/>
  </r>
  <r>
    <x v="3"/>
    <x v="3"/>
    <x v="1"/>
    <x v="1"/>
    <x v="748"/>
    <x v="848"/>
    <x v="0"/>
    <x v="849"/>
    <x v="61"/>
  </r>
  <r>
    <x v="4"/>
    <x v="9"/>
    <x v="0"/>
    <x v="4"/>
    <x v="294"/>
    <x v="849"/>
    <x v="14"/>
    <x v="850"/>
    <x v="62"/>
  </r>
  <r>
    <x v="2"/>
    <x v="2"/>
    <x v="0"/>
    <x v="2"/>
    <x v="53"/>
    <x v="850"/>
    <x v="7"/>
    <x v="851"/>
    <x v="61"/>
  </r>
  <r>
    <x v="4"/>
    <x v="4"/>
    <x v="0"/>
    <x v="3"/>
    <x v="749"/>
    <x v="851"/>
    <x v="72"/>
    <x v="852"/>
    <x v="2"/>
  </r>
  <r>
    <x v="5"/>
    <x v="6"/>
    <x v="0"/>
    <x v="4"/>
    <x v="750"/>
    <x v="852"/>
    <x v="121"/>
    <x v="853"/>
    <x v="23"/>
  </r>
  <r>
    <x v="4"/>
    <x v="12"/>
    <x v="0"/>
    <x v="3"/>
    <x v="751"/>
    <x v="853"/>
    <x v="178"/>
    <x v="854"/>
    <x v="24"/>
  </r>
  <r>
    <x v="4"/>
    <x v="9"/>
    <x v="0"/>
    <x v="4"/>
    <x v="475"/>
    <x v="854"/>
    <x v="53"/>
    <x v="855"/>
    <x v="25"/>
  </r>
  <r>
    <x v="4"/>
    <x v="5"/>
    <x v="0"/>
    <x v="0"/>
    <x v="752"/>
    <x v="855"/>
    <x v="88"/>
    <x v="856"/>
    <x v="24"/>
  </r>
  <r>
    <x v="7"/>
    <x v="32"/>
    <x v="0"/>
    <x v="4"/>
    <x v="753"/>
    <x v="856"/>
    <x v="217"/>
    <x v="857"/>
    <x v="25"/>
  </r>
  <r>
    <x v="7"/>
    <x v="18"/>
    <x v="0"/>
    <x v="0"/>
    <x v="754"/>
    <x v="857"/>
    <x v="101"/>
    <x v="858"/>
    <x v="24"/>
  </r>
  <r>
    <x v="4"/>
    <x v="5"/>
    <x v="0"/>
    <x v="3"/>
    <x v="755"/>
    <x v="858"/>
    <x v="31"/>
    <x v="859"/>
    <x v="23"/>
  </r>
  <r>
    <x v="5"/>
    <x v="6"/>
    <x v="1"/>
    <x v="0"/>
    <x v="756"/>
    <x v="859"/>
    <x v="50"/>
    <x v="860"/>
    <x v="24"/>
  </r>
  <r>
    <x v="0"/>
    <x v="28"/>
    <x v="0"/>
    <x v="3"/>
    <x v="757"/>
    <x v="860"/>
    <x v="23"/>
    <x v="861"/>
    <x v="23"/>
  </r>
  <r>
    <x v="7"/>
    <x v="25"/>
    <x v="0"/>
    <x v="1"/>
    <x v="758"/>
    <x v="861"/>
    <x v="138"/>
    <x v="862"/>
    <x v="24"/>
  </r>
  <r>
    <x v="0"/>
    <x v="24"/>
    <x v="0"/>
    <x v="5"/>
    <x v="315"/>
    <x v="862"/>
    <x v="128"/>
    <x v="863"/>
    <x v="23"/>
  </r>
  <r>
    <x v="0"/>
    <x v="15"/>
    <x v="0"/>
    <x v="4"/>
    <x v="759"/>
    <x v="863"/>
    <x v="39"/>
    <x v="864"/>
    <x v="24"/>
  </r>
  <r>
    <x v="7"/>
    <x v="26"/>
    <x v="2"/>
    <x v="2"/>
    <x v="760"/>
    <x v="864"/>
    <x v="176"/>
    <x v="865"/>
    <x v="23"/>
  </r>
  <r>
    <x v="4"/>
    <x v="11"/>
    <x v="0"/>
    <x v="2"/>
    <x v="652"/>
    <x v="865"/>
    <x v="52"/>
    <x v="866"/>
    <x v="24"/>
  </r>
  <r>
    <x v="4"/>
    <x v="11"/>
    <x v="0"/>
    <x v="5"/>
    <x v="761"/>
    <x v="866"/>
    <x v="0"/>
    <x v="867"/>
    <x v="25"/>
  </r>
  <r>
    <x v="5"/>
    <x v="29"/>
    <x v="0"/>
    <x v="1"/>
    <x v="762"/>
    <x v="867"/>
    <x v="154"/>
    <x v="868"/>
    <x v="24"/>
  </r>
  <r>
    <x v="1"/>
    <x v="10"/>
    <x v="0"/>
    <x v="3"/>
    <x v="18"/>
    <x v="868"/>
    <x v="183"/>
    <x v="869"/>
    <x v="23"/>
  </r>
  <r>
    <x v="0"/>
    <x v="15"/>
    <x v="0"/>
    <x v="0"/>
    <x v="607"/>
    <x v="869"/>
    <x v="51"/>
    <x v="870"/>
    <x v="24"/>
  </r>
  <r>
    <x v="6"/>
    <x v="13"/>
    <x v="0"/>
    <x v="4"/>
    <x v="763"/>
    <x v="870"/>
    <x v="201"/>
    <x v="871"/>
    <x v="23"/>
  </r>
  <r>
    <x v="3"/>
    <x v="19"/>
    <x v="0"/>
    <x v="2"/>
    <x v="764"/>
    <x v="871"/>
    <x v="29"/>
    <x v="872"/>
    <x v="24"/>
  </r>
  <r>
    <x v="0"/>
    <x v="15"/>
    <x v="0"/>
    <x v="1"/>
    <x v="765"/>
    <x v="872"/>
    <x v="85"/>
    <x v="873"/>
    <x v="23"/>
  </r>
  <r>
    <x v="4"/>
    <x v="5"/>
    <x v="0"/>
    <x v="4"/>
    <x v="766"/>
    <x v="873"/>
    <x v="38"/>
    <x v="874"/>
    <x v="24"/>
  </r>
  <r>
    <x v="4"/>
    <x v="20"/>
    <x v="0"/>
    <x v="2"/>
    <x v="767"/>
    <x v="874"/>
    <x v="29"/>
    <x v="875"/>
    <x v="23"/>
  </r>
  <r>
    <x v="2"/>
    <x v="30"/>
    <x v="0"/>
    <x v="1"/>
    <x v="768"/>
    <x v="875"/>
    <x v="0"/>
    <x v="876"/>
    <x v="24"/>
  </r>
  <r>
    <x v="3"/>
    <x v="19"/>
    <x v="0"/>
    <x v="0"/>
    <x v="769"/>
    <x v="876"/>
    <x v="130"/>
    <x v="877"/>
    <x v="25"/>
  </r>
  <r>
    <x v="4"/>
    <x v="9"/>
    <x v="0"/>
    <x v="5"/>
    <x v="565"/>
    <x v="877"/>
    <x v="18"/>
    <x v="878"/>
    <x v="24"/>
  </r>
  <r>
    <x v="6"/>
    <x v="22"/>
    <x v="0"/>
    <x v="0"/>
    <x v="770"/>
    <x v="878"/>
    <x v="0"/>
    <x v="879"/>
    <x v="23"/>
  </r>
  <r>
    <x v="6"/>
    <x v="31"/>
    <x v="0"/>
    <x v="3"/>
    <x v="771"/>
    <x v="879"/>
    <x v="180"/>
    <x v="880"/>
    <x v="24"/>
  </r>
  <r>
    <x v="2"/>
    <x v="2"/>
    <x v="2"/>
    <x v="0"/>
    <x v="772"/>
    <x v="880"/>
    <x v="216"/>
    <x v="881"/>
    <x v="25"/>
  </r>
  <r>
    <x v="4"/>
    <x v="5"/>
    <x v="0"/>
    <x v="3"/>
    <x v="93"/>
    <x v="881"/>
    <x v="138"/>
    <x v="882"/>
    <x v="82"/>
  </r>
  <r>
    <x v="4"/>
    <x v="5"/>
    <x v="2"/>
    <x v="1"/>
    <x v="773"/>
    <x v="882"/>
    <x v="202"/>
    <x v="883"/>
    <x v="25"/>
  </r>
  <r>
    <x v="5"/>
    <x v="29"/>
    <x v="0"/>
    <x v="3"/>
    <x v="774"/>
    <x v="883"/>
    <x v="33"/>
    <x v="884"/>
    <x v="82"/>
  </r>
  <r>
    <x v="4"/>
    <x v="20"/>
    <x v="0"/>
    <x v="2"/>
    <x v="775"/>
    <x v="884"/>
    <x v="227"/>
    <x v="885"/>
    <x v="25"/>
  </r>
  <r>
    <x v="3"/>
    <x v="7"/>
    <x v="0"/>
    <x v="5"/>
    <x v="274"/>
    <x v="885"/>
    <x v="3"/>
    <x v="886"/>
    <x v="24"/>
  </r>
  <r>
    <x v="6"/>
    <x v="13"/>
    <x v="1"/>
    <x v="0"/>
    <x v="776"/>
    <x v="886"/>
    <x v="0"/>
    <x v="887"/>
    <x v="23"/>
  </r>
  <r>
    <x v="4"/>
    <x v="5"/>
    <x v="0"/>
    <x v="0"/>
    <x v="777"/>
    <x v="887"/>
    <x v="96"/>
    <x v="888"/>
    <x v="24"/>
  </r>
  <r>
    <x v="6"/>
    <x v="16"/>
    <x v="2"/>
    <x v="4"/>
    <x v="778"/>
    <x v="888"/>
    <x v="98"/>
    <x v="889"/>
    <x v="23"/>
  </r>
  <r>
    <x v="2"/>
    <x v="23"/>
    <x v="0"/>
    <x v="2"/>
    <x v="779"/>
    <x v="889"/>
    <x v="141"/>
    <x v="890"/>
    <x v="83"/>
  </r>
  <r>
    <x v="5"/>
    <x v="17"/>
    <x v="0"/>
    <x v="2"/>
    <x v="780"/>
    <x v="890"/>
    <x v="147"/>
    <x v="891"/>
    <x v="25"/>
  </r>
  <r>
    <x v="5"/>
    <x v="6"/>
    <x v="1"/>
    <x v="3"/>
    <x v="781"/>
    <x v="891"/>
    <x v="151"/>
    <x v="892"/>
    <x v="83"/>
  </r>
  <r>
    <x v="0"/>
    <x v="0"/>
    <x v="0"/>
    <x v="0"/>
    <x v="782"/>
    <x v="892"/>
    <x v="14"/>
    <x v="893"/>
    <x v="25"/>
  </r>
  <r>
    <x v="3"/>
    <x v="19"/>
    <x v="0"/>
    <x v="1"/>
    <x v="783"/>
    <x v="893"/>
    <x v="8"/>
    <x v="894"/>
    <x v="82"/>
  </r>
  <r>
    <x v="4"/>
    <x v="5"/>
    <x v="0"/>
    <x v="1"/>
    <x v="784"/>
    <x v="894"/>
    <x v="23"/>
    <x v="895"/>
    <x v="25"/>
  </r>
  <r>
    <x v="6"/>
    <x v="31"/>
    <x v="0"/>
    <x v="3"/>
    <x v="785"/>
    <x v="895"/>
    <x v="173"/>
    <x v="896"/>
    <x v="83"/>
  </r>
  <r>
    <x v="5"/>
    <x v="29"/>
    <x v="1"/>
    <x v="1"/>
    <x v="786"/>
    <x v="896"/>
    <x v="46"/>
    <x v="897"/>
    <x v="25"/>
  </r>
  <r>
    <x v="4"/>
    <x v="9"/>
    <x v="0"/>
    <x v="3"/>
    <x v="787"/>
    <x v="897"/>
    <x v="123"/>
    <x v="898"/>
    <x v="84"/>
  </r>
  <r>
    <x v="4"/>
    <x v="4"/>
    <x v="0"/>
    <x v="2"/>
    <x v="788"/>
    <x v="898"/>
    <x v="4"/>
    <x v="899"/>
    <x v="67"/>
  </r>
  <r>
    <x v="4"/>
    <x v="20"/>
    <x v="0"/>
    <x v="3"/>
    <x v="431"/>
    <x v="899"/>
    <x v="22"/>
    <x v="900"/>
    <x v="68"/>
  </r>
  <r>
    <x v="4"/>
    <x v="11"/>
    <x v="0"/>
    <x v="4"/>
    <x v="789"/>
    <x v="900"/>
    <x v="232"/>
    <x v="901"/>
    <x v="67"/>
  </r>
  <r>
    <x v="4"/>
    <x v="5"/>
    <x v="0"/>
    <x v="4"/>
    <x v="790"/>
    <x v="901"/>
    <x v="123"/>
    <x v="902"/>
    <x v="84"/>
  </r>
  <r>
    <x v="7"/>
    <x v="25"/>
    <x v="0"/>
    <x v="0"/>
    <x v="425"/>
    <x v="902"/>
    <x v="38"/>
    <x v="903"/>
    <x v="67"/>
  </r>
  <r>
    <x v="0"/>
    <x v="28"/>
    <x v="0"/>
    <x v="0"/>
    <x v="791"/>
    <x v="903"/>
    <x v="80"/>
    <x v="904"/>
    <x v="68"/>
  </r>
  <r>
    <x v="5"/>
    <x v="29"/>
    <x v="0"/>
    <x v="0"/>
    <x v="792"/>
    <x v="904"/>
    <x v="9"/>
    <x v="905"/>
    <x v="67"/>
  </r>
  <r>
    <x v="5"/>
    <x v="6"/>
    <x v="0"/>
    <x v="5"/>
    <x v="756"/>
    <x v="905"/>
    <x v="148"/>
    <x v="906"/>
    <x v="68"/>
  </r>
  <r>
    <x v="0"/>
    <x v="24"/>
    <x v="0"/>
    <x v="5"/>
    <x v="581"/>
    <x v="906"/>
    <x v="84"/>
    <x v="907"/>
    <x v="67"/>
  </r>
  <r>
    <x v="6"/>
    <x v="22"/>
    <x v="0"/>
    <x v="1"/>
    <x v="414"/>
    <x v="907"/>
    <x v="154"/>
    <x v="908"/>
    <x v="68"/>
  </r>
  <r>
    <x v="0"/>
    <x v="0"/>
    <x v="0"/>
    <x v="0"/>
    <x v="793"/>
    <x v="908"/>
    <x v="0"/>
    <x v="909"/>
    <x v="67"/>
  </r>
  <r>
    <x v="3"/>
    <x v="19"/>
    <x v="0"/>
    <x v="2"/>
    <x v="510"/>
    <x v="909"/>
    <x v="70"/>
    <x v="910"/>
    <x v="84"/>
  </r>
  <r>
    <x v="6"/>
    <x v="16"/>
    <x v="0"/>
    <x v="5"/>
    <x v="794"/>
    <x v="910"/>
    <x v="220"/>
    <x v="911"/>
    <x v="67"/>
  </r>
  <r>
    <x v="3"/>
    <x v="27"/>
    <x v="0"/>
    <x v="0"/>
    <x v="795"/>
    <x v="911"/>
    <x v="103"/>
    <x v="912"/>
    <x v="84"/>
  </r>
  <r>
    <x v="0"/>
    <x v="24"/>
    <x v="0"/>
    <x v="3"/>
    <x v="7"/>
    <x v="912"/>
    <x v="23"/>
    <x v="913"/>
    <x v="25"/>
  </r>
  <r>
    <x v="7"/>
    <x v="32"/>
    <x v="0"/>
    <x v="5"/>
    <x v="796"/>
    <x v="913"/>
    <x v="210"/>
    <x v="914"/>
    <x v="84"/>
  </r>
  <r>
    <x v="0"/>
    <x v="28"/>
    <x v="0"/>
    <x v="4"/>
    <x v="797"/>
    <x v="914"/>
    <x v="231"/>
    <x v="915"/>
    <x v="67"/>
  </r>
  <r>
    <x v="6"/>
    <x v="16"/>
    <x v="0"/>
    <x v="2"/>
    <x v="197"/>
    <x v="915"/>
    <x v="48"/>
    <x v="916"/>
    <x v="68"/>
  </r>
  <r>
    <x v="1"/>
    <x v="1"/>
    <x v="2"/>
    <x v="0"/>
    <x v="798"/>
    <x v="916"/>
    <x v="147"/>
    <x v="917"/>
    <x v="67"/>
  </r>
  <r>
    <x v="2"/>
    <x v="8"/>
    <x v="1"/>
    <x v="2"/>
    <x v="799"/>
    <x v="917"/>
    <x v="149"/>
    <x v="918"/>
    <x v="68"/>
  </r>
  <r>
    <x v="4"/>
    <x v="9"/>
    <x v="0"/>
    <x v="1"/>
    <x v="800"/>
    <x v="918"/>
    <x v="222"/>
    <x v="919"/>
    <x v="85"/>
  </r>
  <r>
    <x v="5"/>
    <x v="17"/>
    <x v="0"/>
    <x v="5"/>
    <x v="801"/>
    <x v="919"/>
    <x v="108"/>
    <x v="920"/>
    <x v="68"/>
  </r>
  <r>
    <x v="7"/>
    <x v="25"/>
    <x v="1"/>
    <x v="1"/>
    <x v="802"/>
    <x v="920"/>
    <x v="0"/>
    <x v="921"/>
    <x v="85"/>
  </r>
  <r>
    <x v="5"/>
    <x v="17"/>
    <x v="0"/>
    <x v="3"/>
    <x v="803"/>
    <x v="921"/>
    <x v="186"/>
    <x v="922"/>
    <x v="86"/>
  </r>
  <r>
    <x v="5"/>
    <x v="17"/>
    <x v="2"/>
    <x v="5"/>
    <x v="804"/>
    <x v="922"/>
    <x v="59"/>
    <x v="923"/>
    <x v="87"/>
  </r>
  <r>
    <x v="0"/>
    <x v="28"/>
    <x v="1"/>
    <x v="3"/>
    <x v="805"/>
    <x v="923"/>
    <x v="179"/>
    <x v="924"/>
    <x v="88"/>
  </r>
  <r>
    <x v="4"/>
    <x v="11"/>
    <x v="2"/>
    <x v="1"/>
    <x v="169"/>
    <x v="924"/>
    <x v="196"/>
    <x v="925"/>
    <x v="87"/>
  </r>
  <r>
    <x v="6"/>
    <x v="31"/>
    <x v="0"/>
    <x v="1"/>
    <x v="806"/>
    <x v="925"/>
    <x v="167"/>
    <x v="926"/>
    <x v="88"/>
  </r>
  <r>
    <x v="7"/>
    <x v="32"/>
    <x v="2"/>
    <x v="1"/>
    <x v="807"/>
    <x v="926"/>
    <x v="163"/>
    <x v="927"/>
    <x v="87"/>
  </r>
  <r>
    <x v="3"/>
    <x v="3"/>
    <x v="0"/>
    <x v="3"/>
    <x v="808"/>
    <x v="927"/>
    <x v="59"/>
    <x v="928"/>
    <x v="88"/>
  </r>
  <r>
    <x v="6"/>
    <x v="13"/>
    <x v="0"/>
    <x v="2"/>
    <x v="809"/>
    <x v="928"/>
    <x v="107"/>
    <x v="929"/>
    <x v="89"/>
  </r>
  <r>
    <x v="4"/>
    <x v="20"/>
    <x v="2"/>
    <x v="4"/>
    <x v="810"/>
    <x v="929"/>
    <x v="219"/>
    <x v="930"/>
    <x v="88"/>
  </r>
  <r>
    <x v="5"/>
    <x v="17"/>
    <x v="0"/>
    <x v="1"/>
    <x v="811"/>
    <x v="930"/>
    <x v="233"/>
    <x v="931"/>
    <x v="89"/>
  </r>
  <r>
    <x v="1"/>
    <x v="1"/>
    <x v="0"/>
    <x v="3"/>
    <x v="812"/>
    <x v="931"/>
    <x v="140"/>
    <x v="932"/>
    <x v="90"/>
  </r>
  <r>
    <x v="7"/>
    <x v="14"/>
    <x v="0"/>
    <x v="4"/>
    <x v="813"/>
    <x v="932"/>
    <x v="109"/>
    <x v="933"/>
    <x v="91"/>
  </r>
  <r>
    <x v="4"/>
    <x v="5"/>
    <x v="0"/>
    <x v="5"/>
    <x v="814"/>
    <x v="933"/>
    <x v="34"/>
    <x v="934"/>
    <x v="92"/>
  </r>
  <r>
    <x v="6"/>
    <x v="31"/>
    <x v="0"/>
    <x v="2"/>
    <x v="815"/>
    <x v="934"/>
    <x v="27"/>
    <x v="935"/>
    <x v="93"/>
  </r>
  <r>
    <x v="4"/>
    <x v="9"/>
    <x v="0"/>
    <x v="4"/>
    <x v="816"/>
    <x v="935"/>
    <x v="7"/>
    <x v="936"/>
    <x v="94"/>
  </r>
  <r>
    <x v="1"/>
    <x v="10"/>
    <x v="0"/>
    <x v="2"/>
    <x v="817"/>
    <x v="936"/>
    <x v="21"/>
    <x v="937"/>
    <x v="95"/>
  </r>
  <r>
    <x v="4"/>
    <x v="20"/>
    <x v="0"/>
    <x v="0"/>
    <x v="818"/>
    <x v="937"/>
    <x v="0"/>
    <x v="938"/>
    <x v="94"/>
  </r>
  <r>
    <x v="7"/>
    <x v="25"/>
    <x v="2"/>
    <x v="2"/>
    <x v="819"/>
    <x v="938"/>
    <x v="23"/>
    <x v="939"/>
    <x v="93"/>
  </r>
  <r>
    <x v="6"/>
    <x v="13"/>
    <x v="0"/>
    <x v="1"/>
    <x v="129"/>
    <x v="939"/>
    <x v="110"/>
    <x v="940"/>
    <x v="94"/>
  </r>
  <r>
    <x v="7"/>
    <x v="32"/>
    <x v="0"/>
    <x v="2"/>
    <x v="407"/>
    <x v="940"/>
    <x v="4"/>
    <x v="941"/>
    <x v="93"/>
  </r>
  <r>
    <x v="3"/>
    <x v="3"/>
    <x v="0"/>
    <x v="3"/>
    <x v="81"/>
    <x v="941"/>
    <x v="63"/>
    <x v="942"/>
    <x v="94"/>
  </r>
  <r>
    <x v="5"/>
    <x v="17"/>
    <x v="2"/>
    <x v="2"/>
    <x v="820"/>
    <x v="942"/>
    <x v="23"/>
    <x v="943"/>
    <x v="95"/>
  </r>
  <r>
    <x v="4"/>
    <x v="4"/>
    <x v="0"/>
    <x v="5"/>
    <x v="821"/>
    <x v="943"/>
    <x v="15"/>
    <x v="944"/>
    <x v="96"/>
  </r>
  <r>
    <x v="4"/>
    <x v="20"/>
    <x v="2"/>
    <x v="3"/>
    <x v="822"/>
    <x v="944"/>
    <x v="165"/>
    <x v="945"/>
    <x v="97"/>
  </r>
  <r>
    <x v="4"/>
    <x v="20"/>
    <x v="0"/>
    <x v="2"/>
    <x v="823"/>
    <x v="945"/>
    <x v="0"/>
    <x v="946"/>
    <x v="96"/>
  </r>
  <r>
    <x v="1"/>
    <x v="21"/>
    <x v="0"/>
    <x v="5"/>
    <x v="824"/>
    <x v="946"/>
    <x v="8"/>
    <x v="947"/>
    <x v="97"/>
  </r>
  <r>
    <x v="5"/>
    <x v="29"/>
    <x v="0"/>
    <x v="3"/>
    <x v="825"/>
    <x v="947"/>
    <x v="154"/>
    <x v="948"/>
    <x v="98"/>
  </r>
  <r>
    <x v="3"/>
    <x v="19"/>
    <x v="0"/>
    <x v="3"/>
    <x v="826"/>
    <x v="948"/>
    <x v="155"/>
    <x v="949"/>
    <x v="99"/>
  </r>
  <r>
    <x v="3"/>
    <x v="7"/>
    <x v="0"/>
    <x v="5"/>
    <x v="827"/>
    <x v="949"/>
    <x v="107"/>
    <x v="950"/>
    <x v="100"/>
  </r>
  <r>
    <x v="3"/>
    <x v="7"/>
    <x v="0"/>
    <x v="5"/>
    <x v="828"/>
    <x v="950"/>
    <x v="0"/>
    <x v="951"/>
    <x v="101"/>
  </r>
  <r>
    <x v="4"/>
    <x v="20"/>
    <x v="0"/>
    <x v="4"/>
    <x v="829"/>
    <x v="951"/>
    <x v="209"/>
    <x v="952"/>
    <x v="102"/>
  </r>
  <r>
    <x v="1"/>
    <x v="10"/>
    <x v="0"/>
    <x v="5"/>
    <x v="326"/>
    <x v="952"/>
    <x v="134"/>
    <x v="953"/>
    <x v="101"/>
  </r>
  <r>
    <x v="0"/>
    <x v="15"/>
    <x v="0"/>
    <x v="4"/>
    <x v="830"/>
    <x v="953"/>
    <x v="101"/>
    <x v="954"/>
    <x v="100"/>
  </r>
  <r>
    <x v="0"/>
    <x v="15"/>
    <x v="0"/>
    <x v="0"/>
    <x v="831"/>
    <x v="954"/>
    <x v="42"/>
    <x v="955"/>
    <x v="99"/>
  </r>
  <r>
    <x v="7"/>
    <x v="14"/>
    <x v="0"/>
    <x v="1"/>
    <x v="832"/>
    <x v="955"/>
    <x v="144"/>
    <x v="956"/>
    <x v="98"/>
  </r>
  <r>
    <x v="4"/>
    <x v="9"/>
    <x v="0"/>
    <x v="2"/>
    <x v="833"/>
    <x v="956"/>
    <x v="76"/>
    <x v="957"/>
    <x v="97"/>
  </r>
  <r>
    <x v="4"/>
    <x v="5"/>
    <x v="0"/>
    <x v="3"/>
    <x v="834"/>
    <x v="957"/>
    <x v="218"/>
    <x v="958"/>
    <x v="96"/>
  </r>
  <r>
    <x v="2"/>
    <x v="30"/>
    <x v="0"/>
    <x v="4"/>
    <x v="835"/>
    <x v="958"/>
    <x v="127"/>
    <x v="959"/>
    <x v="97"/>
  </r>
  <r>
    <x v="4"/>
    <x v="11"/>
    <x v="2"/>
    <x v="2"/>
    <x v="836"/>
    <x v="959"/>
    <x v="7"/>
    <x v="960"/>
    <x v="98"/>
  </r>
  <r>
    <x v="3"/>
    <x v="19"/>
    <x v="0"/>
    <x v="5"/>
    <x v="837"/>
    <x v="960"/>
    <x v="161"/>
    <x v="961"/>
    <x v="99"/>
  </r>
  <r>
    <x v="6"/>
    <x v="16"/>
    <x v="0"/>
    <x v="5"/>
    <x v="326"/>
    <x v="961"/>
    <x v="10"/>
    <x v="962"/>
    <x v="100"/>
  </r>
  <r>
    <x v="0"/>
    <x v="24"/>
    <x v="0"/>
    <x v="2"/>
    <x v="838"/>
    <x v="962"/>
    <x v="174"/>
    <x v="963"/>
    <x v="101"/>
  </r>
  <r>
    <x v="6"/>
    <x v="31"/>
    <x v="0"/>
    <x v="5"/>
    <x v="839"/>
    <x v="963"/>
    <x v="74"/>
    <x v="964"/>
    <x v="103"/>
  </r>
  <r>
    <x v="0"/>
    <x v="28"/>
    <x v="0"/>
    <x v="0"/>
    <x v="64"/>
    <x v="964"/>
    <x v="149"/>
    <x v="965"/>
    <x v="101"/>
  </r>
  <r>
    <x v="2"/>
    <x v="23"/>
    <x v="0"/>
    <x v="3"/>
    <x v="840"/>
    <x v="965"/>
    <x v="186"/>
    <x v="966"/>
    <x v="103"/>
  </r>
  <r>
    <x v="6"/>
    <x v="22"/>
    <x v="0"/>
    <x v="0"/>
    <x v="841"/>
    <x v="966"/>
    <x v="19"/>
    <x v="967"/>
    <x v="101"/>
  </r>
  <r>
    <x v="7"/>
    <x v="32"/>
    <x v="0"/>
    <x v="4"/>
    <x v="842"/>
    <x v="967"/>
    <x v="30"/>
    <x v="968"/>
    <x v="100"/>
  </r>
  <r>
    <x v="7"/>
    <x v="25"/>
    <x v="0"/>
    <x v="2"/>
    <x v="190"/>
    <x v="968"/>
    <x v="191"/>
    <x v="969"/>
    <x v="99"/>
  </r>
  <r>
    <x v="3"/>
    <x v="7"/>
    <x v="0"/>
    <x v="0"/>
    <x v="843"/>
    <x v="969"/>
    <x v="234"/>
    <x v="970"/>
    <x v="100"/>
  </r>
  <r>
    <x v="1"/>
    <x v="10"/>
    <x v="0"/>
    <x v="1"/>
    <x v="844"/>
    <x v="970"/>
    <x v="222"/>
    <x v="971"/>
    <x v="101"/>
  </r>
  <r>
    <x v="2"/>
    <x v="23"/>
    <x v="2"/>
    <x v="4"/>
    <x v="845"/>
    <x v="971"/>
    <x v="213"/>
    <x v="972"/>
    <x v="103"/>
  </r>
  <r>
    <x v="4"/>
    <x v="20"/>
    <x v="0"/>
    <x v="5"/>
    <x v="613"/>
    <x v="972"/>
    <x v="56"/>
    <x v="973"/>
    <x v="104"/>
  </r>
  <r>
    <x v="4"/>
    <x v="9"/>
    <x v="0"/>
    <x v="0"/>
    <x v="846"/>
    <x v="973"/>
    <x v="20"/>
    <x v="974"/>
    <x v="105"/>
  </r>
  <r>
    <x v="6"/>
    <x v="16"/>
    <x v="2"/>
    <x v="3"/>
    <x v="847"/>
    <x v="974"/>
    <x v="67"/>
    <x v="975"/>
    <x v="104"/>
  </r>
  <r>
    <x v="3"/>
    <x v="7"/>
    <x v="0"/>
    <x v="3"/>
    <x v="382"/>
    <x v="975"/>
    <x v="70"/>
    <x v="976"/>
    <x v="105"/>
  </r>
  <r>
    <x v="4"/>
    <x v="9"/>
    <x v="0"/>
    <x v="3"/>
    <x v="211"/>
    <x v="976"/>
    <x v="30"/>
    <x v="977"/>
    <x v="104"/>
  </r>
  <r>
    <x v="7"/>
    <x v="26"/>
    <x v="0"/>
    <x v="0"/>
    <x v="848"/>
    <x v="977"/>
    <x v="99"/>
    <x v="978"/>
    <x v="105"/>
  </r>
  <r>
    <x v="3"/>
    <x v="27"/>
    <x v="0"/>
    <x v="0"/>
    <x v="666"/>
    <x v="978"/>
    <x v="35"/>
    <x v="979"/>
    <x v="99"/>
  </r>
  <r>
    <x v="0"/>
    <x v="0"/>
    <x v="0"/>
    <x v="3"/>
    <x v="849"/>
    <x v="979"/>
    <x v="137"/>
    <x v="980"/>
    <x v="106"/>
  </r>
  <r>
    <x v="5"/>
    <x v="6"/>
    <x v="2"/>
    <x v="5"/>
    <x v="850"/>
    <x v="980"/>
    <x v="0"/>
    <x v="981"/>
    <x v="104"/>
  </r>
  <r>
    <x v="4"/>
    <x v="20"/>
    <x v="0"/>
    <x v="4"/>
    <x v="851"/>
    <x v="981"/>
    <x v="107"/>
    <x v="982"/>
    <x v="107"/>
  </r>
  <r>
    <x v="4"/>
    <x v="20"/>
    <x v="0"/>
    <x v="1"/>
    <x v="852"/>
    <x v="982"/>
    <x v="59"/>
    <x v="983"/>
    <x v="104"/>
  </r>
  <r>
    <x v="2"/>
    <x v="23"/>
    <x v="0"/>
    <x v="2"/>
    <x v="853"/>
    <x v="983"/>
    <x v="70"/>
    <x v="984"/>
    <x v="106"/>
  </r>
  <r>
    <x v="7"/>
    <x v="25"/>
    <x v="0"/>
    <x v="2"/>
    <x v="854"/>
    <x v="984"/>
    <x v="164"/>
    <x v="985"/>
    <x v="104"/>
  </r>
  <r>
    <x v="2"/>
    <x v="30"/>
    <x v="2"/>
    <x v="0"/>
    <x v="813"/>
    <x v="985"/>
    <x v="94"/>
    <x v="986"/>
    <x v="108"/>
  </r>
  <r>
    <x v="0"/>
    <x v="24"/>
    <x v="0"/>
    <x v="0"/>
    <x v="855"/>
    <x v="986"/>
    <x v="53"/>
    <x v="987"/>
    <x v="97"/>
  </r>
  <r>
    <x v="6"/>
    <x v="22"/>
    <x v="0"/>
    <x v="3"/>
    <x v="109"/>
    <x v="987"/>
    <x v="160"/>
    <x v="988"/>
    <x v="108"/>
  </r>
  <r>
    <x v="5"/>
    <x v="6"/>
    <x v="0"/>
    <x v="2"/>
    <x v="856"/>
    <x v="988"/>
    <x v="235"/>
    <x v="989"/>
    <x v="97"/>
  </r>
  <r>
    <x v="5"/>
    <x v="6"/>
    <x v="0"/>
    <x v="1"/>
    <x v="7"/>
    <x v="989"/>
    <x v="75"/>
    <x v="990"/>
    <x v="109"/>
  </r>
  <r>
    <x v="2"/>
    <x v="23"/>
    <x v="0"/>
    <x v="1"/>
    <x v="857"/>
    <x v="990"/>
    <x v="0"/>
    <x v="991"/>
    <x v="110"/>
  </r>
  <r>
    <x v="6"/>
    <x v="31"/>
    <x v="0"/>
    <x v="5"/>
    <x v="858"/>
    <x v="991"/>
    <x v="157"/>
    <x v="992"/>
    <x v="111"/>
  </r>
  <r>
    <x v="3"/>
    <x v="7"/>
    <x v="0"/>
    <x v="0"/>
    <x v="699"/>
    <x v="992"/>
    <x v="116"/>
    <x v="993"/>
    <x v="112"/>
  </r>
  <r>
    <x v="0"/>
    <x v="28"/>
    <x v="0"/>
    <x v="2"/>
    <x v="859"/>
    <x v="993"/>
    <x v="151"/>
    <x v="994"/>
    <x v="111"/>
  </r>
  <r>
    <x v="4"/>
    <x v="5"/>
    <x v="0"/>
    <x v="5"/>
    <x v="172"/>
    <x v="994"/>
    <x v="159"/>
    <x v="995"/>
    <x v="112"/>
  </r>
  <r>
    <x v="1"/>
    <x v="10"/>
    <x v="0"/>
    <x v="1"/>
    <x v="860"/>
    <x v="995"/>
    <x v="2"/>
    <x v="996"/>
    <x v="113"/>
  </r>
  <r>
    <x v="4"/>
    <x v="11"/>
    <x v="0"/>
    <x v="3"/>
    <x v="861"/>
    <x v="996"/>
    <x v="135"/>
    <x v="997"/>
    <x v="112"/>
  </r>
  <r>
    <x v="1"/>
    <x v="21"/>
    <x v="0"/>
    <x v="2"/>
    <x v="862"/>
    <x v="997"/>
    <x v="112"/>
    <x v="998"/>
    <x v="114"/>
  </r>
  <r>
    <x v="0"/>
    <x v="0"/>
    <x v="0"/>
    <x v="5"/>
    <x v="863"/>
    <x v="998"/>
    <x v="236"/>
    <x v="999"/>
    <x v="112"/>
  </r>
  <r>
    <x v="8"/>
    <x v="33"/>
    <x v="3"/>
    <x v="6"/>
    <x v="864"/>
    <x v="999"/>
    <x v="0"/>
    <x v="1000"/>
    <x v="115"/>
  </r>
</pivotCacheRecords>
</file>

<file path=xl/pivotCache/pivotCacheRecords6.xml><?xml version="1.0" encoding="utf-8"?>
<pivotCacheRecords xmlns="http://schemas.openxmlformats.org/spreadsheetml/2006/main" xmlns:r="http://schemas.openxmlformats.org/officeDocument/2006/relationships" count="1000">
  <r>
    <x v="0"/>
    <x v="0"/>
    <x v="0"/>
    <x v="0"/>
    <x v="0"/>
    <x v="0"/>
    <x v="0"/>
    <x v="0"/>
    <x v="0"/>
    <x v="0"/>
    <x v="0"/>
    <x v="0"/>
    <x v="0"/>
  </r>
  <r>
    <x v="1"/>
    <x v="1"/>
    <x v="1"/>
    <x v="1"/>
    <x v="1"/>
    <x v="1"/>
    <x v="0"/>
    <x v="1"/>
    <x v="1"/>
    <x v="1"/>
    <x v="1"/>
    <x v="1"/>
    <x v="1"/>
  </r>
  <r>
    <x v="2"/>
    <x v="2"/>
    <x v="1"/>
    <x v="2"/>
    <x v="2"/>
    <x v="0"/>
    <x v="1"/>
    <x v="2"/>
    <x v="2"/>
    <x v="2"/>
    <x v="2"/>
    <x v="2"/>
    <x v="2"/>
  </r>
  <r>
    <x v="3"/>
    <x v="3"/>
    <x v="1"/>
    <x v="3"/>
    <x v="3"/>
    <x v="0"/>
    <x v="2"/>
    <x v="3"/>
    <x v="3"/>
    <x v="3"/>
    <x v="3"/>
    <x v="1"/>
    <x v="3"/>
  </r>
  <r>
    <x v="4"/>
    <x v="4"/>
    <x v="0"/>
    <x v="4"/>
    <x v="4"/>
    <x v="0"/>
    <x v="3"/>
    <x v="4"/>
    <x v="4"/>
    <x v="4"/>
    <x v="4"/>
    <x v="2"/>
    <x v="1"/>
  </r>
  <r>
    <x v="5"/>
    <x v="5"/>
    <x v="0"/>
    <x v="4"/>
    <x v="5"/>
    <x v="0"/>
    <x v="3"/>
    <x v="5"/>
    <x v="5"/>
    <x v="5"/>
    <x v="5"/>
    <x v="1"/>
    <x v="2"/>
  </r>
  <r>
    <x v="6"/>
    <x v="6"/>
    <x v="0"/>
    <x v="4"/>
    <x v="5"/>
    <x v="2"/>
    <x v="2"/>
    <x v="6"/>
    <x v="6"/>
    <x v="6"/>
    <x v="6"/>
    <x v="2"/>
    <x v="0"/>
  </r>
  <r>
    <x v="7"/>
    <x v="7"/>
    <x v="1"/>
    <x v="5"/>
    <x v="6"/>
    <x v="0"/>
    <x v="0"/>
    <x v="7"/>
    <x v="7"/>
    <x v="7"/>
    <x v="7"/>
    <x v="1"/>
    <x v="4"/>
  </r>
  <r>
    <x v="8"/>
    <x v="8"/>
    <x v="1"/>
    <x v="3"/>
    <x v="7"/>
    <x v="0"/>
    <x v="3"/>
    <x v="8"/>
    <x v="8"/>
    <x v="8"/>
    <x v="8"/>
    <x v="0"/>
    <x v="5"/>
  </r>
  <r>
    <x v="9"/>
    <x v="9"/>
    <x v="1"/>
    <x v="2"/>
    <x v="8"/>
    <x v="0"/>
    <x v="4"/>
    <x v="9"/>
    <x v="9"/>
    <x v="9"/>
    <x v="9"/>
    <x v="1"/>
    <x v="6"/>
  </r>
  <r>
    <x v="10"/>
    <x v="10"/>
    <x v="1"/>
    <x v="4"/>
    <x v="9"/>
    <x v="1"/>
    <x v="1"/>
    <x v="10"/>
    <x v="10"/>
    <x v="10"/>
    <x v="10"/>
    <x v="0"/>
    <x v="6"/>
  </r>
  <r>
    <x v="11"/>
    <x v="11"/>
    <x v="1"/>
    <x v="1"/>
    <x v="10"/>
    <x v="0"/>
    <x v="3"/>
    <x v="11"/>
    <x v="11"/>
    <x v="11"/>
    <x v="11"/>
    <x v="1"/>
    <x v="7"/>
  </r>
  <r>
    <x v="12"/>
    <x v="12"/>
    <x v="1"/>
    <x v="5"/>
    <x v="6"/>
    <x v="2"/>
    <x v="0"/>
    <x v="12"/>
    <x v="12"/>
    <x v="12"/>
    <x v="12"/>
    <x v="2"/>
    <x v="7"/>
  </r>
  <r>
    <x v="13"/>
    <x v="13"/>
    <x v="1"/>
    <x v="4"/>
    <x v="11"/>
    <x v="0"/>
    <x v="0"/>
    <x v="13"/>
    <x v="13"/>
    <x v="13"/>
    <x v="13"/>
    <x v="1"/>
    <x v="4"/>
  </r>
  <r>
    <x v="14"/>
    <x v="14"/>
    <x v="0"/>
    <x v="4"/>
    <x v="5"/>
    <x v="0"/>
    <x v="3"/>
    <x v="14"/>
    <x v="14"/>
    <x v="14"/>
    <x v="14"/>
    <x v="2"/>
    <x v="0"/>
  </r>
  <r>
    <x v="15"/>
    <x v="15"/>
    <x v="1"/>
    <x v="4"/>
    <x v="12"/>
    <x v="0"/>
    <x v="1"/>
    <x v="15"/>
    <x v="15"/>
    <x v="10"/>
    <x v="15"/>
    <x v="1"/>
    <x v="1"/>
  </r>
  <r>
    <x v="16"/>
    <x v="16"/>
    <x v="1"/>
    <x v="6"/>
    <x v="13"/>
    <x v="0"/>
    <x v="3"/>
    <x v="16"/>
    <x v="16"/>
    <x v="15"/>
    <x v="16"/>
    <x v="0"/>
    <x v="5"/>
  </r>
  <r>
    <x v="17"/>
    <x v="17"/>
    <x v="0"/>
    <x v="7"/>
    <x v="14"/>
    <x v="0"/>
    <x v="5"/>
    <x v="17"/>
    <x v="17"/>
    <x v="16"/>
    <x v="17"/>
    <x v="3"/>
    <x v="8"/>
  </r>
  <r>
    <x v="18"/>
    <x v="18"/>
    <x v="0"/>
    <x v="0"/>
    <x v="15"/>
    <x v="0"/>
    <x v="3"/>
    <x v="18"/>
    <x v="18"/>
    <x v="17"/>
    <x v="18"/>
    <x v="0"/>
    <x v="8"/>
  </r>
  <r>
    <x v="19"/>
    <x v="19"/>
    <x v="1"/>
    <x v="6"/>
    <x v="13"/>
    <x v="0"/>
    <x v="5"/>
    <x v="19"/>
    <x v="19"/>
    <x v="18"/>
    <x v="19"/>
    <x v="1"/>
    <x v="8"/>
  </r>
  <r>
    <x v="20"/>
    <x v="20"/>
    <x v="0"/>
    <x v="3"/>
    <x v="3"/>
    <x v="2"/>
    <x v="2"/>
    <x v="20"/>
    <x v="20"/>
    <x v="19"/>
    <x v="20"/>
    <x v="0"/>
    <x v="0"/>
  </r>
  <r>
    <x v="21"/>
    <x v="21"/>
    <x v="0"/>
    <x v="4"/>
    <x v="9"/>
    <x v="2"/>
    <x v="0"/>
    <x v="21"/>
    <x v="21"/>
    <x v="20"/>
    <x v="21"/>
    <x v="1"/>
    <x v="0"/>
  </r>
  <r>
    <x v="22"/>
    <x v="22"/>
    <x v="1"/>
    <x v="6"/>
    <x v="16"/>
    <x v="2"/>
    <x v="5"/>
    <x v="22"/>
    <x v="22"/>
    <x v="13"/>
    <x v="22"/>
    <x v="0"/>
    <x v="9"/>
  </r>
  <r>
    <x v="23"/>
    <x v="23"/>
    <x v="1"/>
    <x v="0"/>
    <x v="15"/>
    <x v="0"/>
    <x v="3"/>
    <x v="23"/>
    <x v="23"/>
    <x v="21"/>
    <x v="23"/>
    <x v="1"/>
    <x v="2"/>
  </r>
  <r>
    <x v="24"/>
    <x v="24"/>
    <x v="0"/>
    <x v="0"/>
    <x v="15"/>
    <x v="0"/>
    <x v="2"/>
    <x v="24"/>
    <x v="24"/>
    <x v="22"/>
    <x v="24"/>
    <x v="0"/>
    <x v="5"/>
  </r>
  <r>
    <x v="25"/>
    <x v="25"/>
    <x v="1"/>
    <x v="5"/>
    <x v="17"/>
    <x v="0"/>
    <x v="0"/>
    <x v="25"/>
    <x v="25"/>
    <x v="23"/>
    <x v="25"/>
    <x v="1"/>
    <x v="6"/>
  </r>
  <r>
    <x v="26"/>
    <x v="26"/>
    <x v="1"/>
    <x v="4"/>
    <x v="4"/>
    <x v="0"/>
    <x v="1"/>
    <x v="26"/>
    <x v="26"/>
    <x v="4"/>
    <x v="26"/>
    <x v="2"/>
    <x v="9"/>
  </r>
  <r>
    <x v="27"/>
    <x v="27"/>
    <x v="1"/>
    <x v="7"/>
    <x v="18"/>
    <x v="0"/>
    <x v="3"/>
    <x v="27"/>
    <x v="27"/>
    <x v="24"/>
    <x v="27"/>
    <x v="1"/>
    <x v="8"/>
  </r>
  <r>
    <x v="28"/>
    <x v="28"/>
    <x v="0"/>
    <x v="3"/>
    <x v="19"/>
    <x v="0"/>
    <x v="3"/>
    <x v="28"/>
    <x v="28"/>
    <x v="25"/>
    <x v="28"/>
    <x v="0"/>
    <x v="5"/>
  </r>
  <r>
    <x v="29"/>
    <x v="29"/>
    <x v="0"/>
    <x v="4"/>
    <x v="4"/>
    <x v="0"/>
    <x v="0"/>
    <x v="29"/>
    <x v="29"/>
    <x v="26"/>
    <x v="29"/>
    <x v="3"/>
    <x v="0"/>
  </r>
  <r>
    <x v="30"/>
    <x v="30"/>
    <x v="0"/>
    <x v="3"/>
    <x v="7"/>
    <x v="0"/>
    <x v="5"/>
    <x v="30"/>
    <x v="30"/>
    <x v="27"/>
    <x v="30"/>
    <x v="0"/>
    <x v="7"/>
  </r>
  <r>
    <x v="31"/>
    <x v="31"/>
    <x v="0"/>
    <x v="4"/>
    <x v="20"/>
    <x v="2"/>
    <x v="2"/>
    <x v="31"/>
    <x v="31"/>
    <x v="28"/>
    <x v="31"/>
    <x v="1"/>
    <x v="9"/>
  </r>
  <r>
    <x v="32"/>
    <x v="32"/>
    <x v="1"/>
    <x v="4"/>
    <x v="9"/>
    <x v="0"/>
    <x v="1"/>
    <x v="32"/>
    <x v="32"/>
    <x v="16"/>
    <x v="32"/>
    <x v="0"/>
    <x v="8"/>
  </r>
  <r>
    <x v="33"/>
    <x v="33"/>
    <x v="2"/>
    <x v="1"/>
    <x v="21"/>
    <x v="0"/>
    <x v="4"/>
    <x v="33"/>
    <x v="33"/>
    <x v="29"/>
    <x v="33"/>
    <x v="3"/>
    <x v="5"/>
  </r>
  <r>
    <x v="34"/>
    <x v="34"/>
    <x v="1"/>
    <x v="1"/>
    <x v="21"/>
    <x v="0"/>
    <x v="3"/>
    <x v="34"/>
    <x v="34"/>
    <x v="30"/>
    <x v="34"/>
    <x v="0"/>
    <x v="8"/>
  </r>
  <r>
    <x v="35"/>
    <x v="35"/>
    <x v="0"/>
    <x v="5"/>
    <x v="17"/>
    <x v="0"/>
    <x v="4"/>
    <x v="35"/>
    <x v="35"/>
    <x v="0"/>
    <x v="35"/>
    <x v="1"/>
    <x v="5"/>
  </r>
  <r>
    <x v="36"/>
    <x v="36"/>
    <x v="0"/>
    <x v="6"/>
    <x v="22"/>
    <x v="2"/>
    <x v="3"/>
    <x v="36"/>
    <x v="36"/>
    <x v="9"/>
    <x v="36"/>
    <x v="2"/>
    <x v="9"/>
  </r>
  <r>
    <x v="37"/>
    <x v="37"/>
    <x v="0"/>
    <x v="4"/>
    <x v="5"/>
    <x v="0"/>
    <x v="5"/>
    <x v="37"/>
    <x v="37"/>
    <x v="31"/>
    <x v="37"/>
    <x v="1"/>
    <x v="5"/>
  </r>
  <r>
    <x v="38"/>
    <x v="38"/>
    <x v="0"/>
    <x v="2"/>
    <x v="23"/>
    <x v="2"/>
    <x v="5"/>
    <x v="38"/>
    <x v="38"/>
    <x v="0"/>
    <x v="38"/>
    <x v="0"/>
    <x v="2"/>
  </r>
  <r>
    <x v="39"/>
    <x v="39"/>
    <x v="0"/>
    <x v="0"/>
    <x v="24"/>
    <x v="0"/>
    <x v="5"/>
    <x v="39"/>
    <x v="39"/>
    <x v="32"/>
    <x v="39"/>
    <x v="1"/>
    <x v="9"/>
  </r>
  <r>
    <x v="40"/>
    <x v="40"/>
    <x v="0"/>
    <x v="4"/>
    <x v="20"/>
    <x v="0"/>
    <x v="0"/>
    <x v="40"/>
    <x v="40"/>
    <x v="33"/>
    <x v="40"/>
    <x v="2"/>
    <x v="6"/>
  </r>
  <r>
    <x v="41"/>
    <x v="41"/>
    <x v="1"/>
    <x v="7"/>
    <x v="18"/>
    <x v="0"/>
    <x v="0"/>
    <x v="41"/>
    <x v="41"/>
    <x v="34"/>
    <x v="41"/>
    <x v="1"/>
    <x v="9"/>
  </r>
  <r>
    <x v="42"/>
    <x v="42"/>
    <x v="1"/>
    <x v="4"/>
    <x v="9"/>
    <x v="0"/>
    <x v="1"/>
    <x v="42"/>
    <x v="42"/>
    <x v="35"/>
    <x v="42"/>
    <x v="0"/>
    <x v="8"/>
  </r>
  <r>
    <x v="43"/>
    <x v="43"/>
    <x v="1"/>
    <x v="1"/>
    <x v="1"/>
    <x v="0"/>
    <x v="5"/>
    <x v="43"/>
    <x v="43"/>
    <x v="36"/>
    <x v="43"/>
    <x v="3"/>
    <x v="10"/>
  </r>
  <r>
    <x v="44"/>
    <x v="44"/>
    <x v="1"/>
    <x v="6"/>
    <x v="16"/>
    <x v="0"/>
    <x v="4"/>
    <x v="44"/>
    <x v="44"/>
    <x v="37"/>
    <x v="44"/>
    <x v="0"/>
    <x v="5"/>
  </r>
  <r>
    <x v="45"/>
    <x v="45"/>
    <x v="1"/>
    <x v="3"/>
    <x v="3"/>
    <x v="0"/>
    <x v="5"/>
    <x v="45"/>
    <x v="45"/>
    <x v="38"/>
    <x v="45"/>
    <x v="3"/>
    <x v="7"/>
  </r>
  <r>
    <x v="46"/>
    <x v="46"/>
    <x v="1"/>
    <x v="6"/>
    <x v="13"/>
    <x v="0"/>
    <x v="5"/>
    <x v="46"/>
    <x v="46"/>
    <x v="39"/>
    <x v="46"/>
    <x v="0"/>
    <x v="6"/>
  </r>
  <r>
    <x v="47"/>
    <x v="47"/>
    <x v="1"/>
    <x v="7"/>
    <x v="25"/>
    <x v="0"/>
    <x v="0"/>
    <x v="47"/>
    <x v="47"/>
    <x v="40"/>
    <x v="47"/>
    <x v="1"/>
    <x v="6"/>
  </r>
  <r>
    <x v="48"/>
    <x v="48"/>
    <x v="0"/>
    <x v="7"/>
    <x v="26"/>
    <x v="0"/>
    <x v="4"/>
    <x v="48"/>
    <x v="48"/>
    <x v="15"/>
    <x v="48"/>
    <x v="0"/>
    <x v="3"/>
  </r>
  <r>
    <x v="49"/>
    <x v="49"/>
    <x v="1"/>
    <x v="4"/>
    <x v="11"/>
    <x v="0"/>
    <x v="3"/>
    <x v="49"/>
    <x v="49"/>
    <x v="41"/>
    <x v="49"/>
    <x v="3"/>
    <x v="5"/>
  </r>
  <r>
    <x v="50"/>
    <x v="50"/>
    <x v="1"/>
    <x v="1"/>
    <x v="10"/>
    <x v="2"/>
    <x v="1"/>
    <x v="50"/>
    <x v="50"/>
    <x v="32"/>
    <x v="50"/>
    <x v="4"/>
    <x v="9"/>
  </r>
  <r>
    <x v="51"/>
    <x v="51"/>
    <x v="1"/>
    <x v="5"/>
    <x v="17"/>
    <x v="0"/>
    <x v="1"/>
    <x v="51"/>
    <x v="51"/>
    <x v="42"/>
    <x v="51"/>
    <x v="3"/>
    <x v="6"/>
  </r>
  <r>
    <x v="52"/>
    <x v="52"/>
    <x v="1"/>
    <x v="1"/>
    <x v="10"/>
    <x v="0"/>
    <x v="2"/>
    <x v="52"/>
    <x v="52"/>
    <x v="31"/>
    <x v="52"/>
    <x v="4"/>
    <x v="6"/>
  </r>
  <r>
    <x v="53"/>
    <x v="53"/>
    <x v="0"/>
    <x v="5"/>
    <x v="6"/>
    <x v="0"/>
    <x v="3"/>
    <x v="53"/>
    <x v="53"/>
    <x v="0"/>
    <x v="53"/>
    <x v="5"/>
    <x v="1"/>
  </r>
  <r>
    <x v="54"/>
    <x v="54"/>
    <x v="0"/>
    <x v="3"/>
    <x v="27"/>
    <x v="0"/>
    <x v="2"/>
    <x v="54"/>
    <x v="54"/>
    <x v="43"/>
    <x v="54"/>
    <x v="6"/>
    <x v="0"/>
  </r>
  <r>
    <x v="55"/>
    <x v="55"/>
    <x v="0"/>
    <x v="1"/>
    <x v="21"/>
    <x v="0"/>
    <x v="5"/>
    <x v="55"/>
    <x v="55"/>
    <x v="44"/>
    <x v="55"/>
    <x v="7"/>
    <x v="6"/>
  </r>
  <r>
    <x v="56"/>
    <x v="56"/>
    <x v="1"/>
    <x v="4"/>
    <x v="5"/>
    <x v="0"/>
    <x v="5"/>
    <x v="56"/>
    <x v="56"/>
    <x v="45"/>
    <x v="56"/>
    <x v="6"/>
    <x v="10"/>
  </r>
  <r>
    <x v="57"/>
    <x v="57"/>
    <x v="0"/>
    <x v="4"/>
    <x v="9"/>
    <x v="0"/>
    <x v="1"/>
    <x v="57"/>
    <x v="57"/>
    <x v="0"/>
    <x v="57"/>
    <x v="7"/>
    <x v="2"/>
  </r>
  <r>
    <x v="58"/>
    <x v="58"/>
    <x v="1"/>
    <x v="4"/>
    <x v="20"/>
    <x v="0"/>
    <x v="1"/>
    <x v="58"/>
    <x v="58"/>
    <x v="46"/>
    <x v="58"/>
    <x v="6"/>
    <x v="9"/>
  </r>
  <r>
    <x v="59"/>
    <x v="59"/>
    <x v="1"/>
    <x v="0"/>
    <x v="28"/>
    <x v="0"/>
    <x v="1"/>
    <x v="59"/>
    <x v="59"/>
    <x v="47"/>
    <x v="59"/>
    <x v="7"/>
    <x v="9"/>
  </r>
  <r>
    <x v="60"/>
    <x v="34"/>
    <x v="2"/>
    <x v="0"/>
    <x v="15"/>
    <x v="0"/>
    <x v="3"/>
    <x v="60"/>
    <x v="60"/>
    <x v="48"/>
    <x v="60"/>
    <x v="6"/>
    <x v="5"/>
  </r>
  <r>
    <x v="61"/>
    <x v="60"/>
    <x v="0"/>
    <x v="6"/>
    <x v="16"/>
    <x v="0"/>
    <x v="1"/>
    <x v="61"/>
    <x v="61"/>
    <x v="49"/>
    <x v="61"/>
    <x v="7"/>
    <x v="8"/>
  </r>
  <r>
    <x v="62"/>
    <x v="61"/>
    <x v="0"/>
    <x v="5"/>
    <x v="6"/>
    <x v="0"/>
    <x v="5"/>
    <x v="62"/>
    <x v="62"/>
    <x v="22"/>
    <x v="62"/>
    <x v="8"/>
    <x v="2"/>
  </r>
  <r>
    <x v="63"/>
    <x v="62"/>
    <x v="0"/>
    <x v="0"/>
    <x v="24"/>
    <x v="0"/>
    <x v="2"/>
    <x v="63"/>
    <x v="63"/>
    <x v="50"/>
    <x v="63"/>
    <x v="9"/>
    <x v="10"/>
  </r>
  <r>
    <x v="64"/>
    <x v="63"/>
    <x v="0"/>
    <x v="6"/>
    <x v="22"/>
    <x v="2"/>
    <x v="0"/>
    <x v="64"/>
    <x v="64"/>
    <x v="51"/>
    <x v="64"/>
    <x v="10"/>
    <x v="6"/>
  </r>
  <r>
    <x v="65"/>
    <x v="64"/>
    <x v="0"/>
    <x v="7"/>
    <x v="18"/>
    <x v="1"/>
    <x v="0"/>
    <x v="65"/>
    <x v="65"/>
    <x v="52"/>
    <x v="65"/>
    <x v="11"/>
    <x v="5"/>
  </r>
  <r>
    <x v="66"/>
    <x v="65"/>
    <x v="1"/>
    <x v="4"/>
    <x v="9"/>
    <x v="0"/>
    <x v="1"/>
    <x v="66"/>
    <x v="66"/>
    <x v="53"/>
    <x v="66"/>
    <x v="12"/>
    <x v="0"/>
  </r>
  <r>
    <x v="67"/>
    <x v="66"/>
    <x v="1"/>
    <x v="5"/>
    <x v="29"/>
    <x v="0"/>
    <x v="0"/>
    <x v="67"/>
    <x v="67"/>
    <x v="23"/>
    <x v="67"/>
    <x v="11"/>
    <x v="6"/>
  </r>
  <r>
    <x v="68"/>
    <x v="47"/>
    <x v="1"/>
    <x v="4"/>
    <x v="9"/>
    <x v="0"/>
    <x v="3"/>
    <x v="68"/>
    <x v="68"/>
    <x v="54"/>
    <x v="68"/>
    <x v="10"/>
    <x v="9"/>
  </r>
  <r>
    <x v="69"/>
    <x v="67"/>
    <x v="1"/>
    <x v="1"/>
    <x v="21"/>
    <x v="0"/>
    <x v="3"/>
    <x v="69"/>
    <x v="69"/>
    <x v="55"/>
    <x v="69"/>
    <x v="9"/>
    <x v="4"/>
  </r>
  <r>
    <x v="70"/>
    <x v="68"/>
    <x v="1"/>
    <x v="5"/>
    <x v="29"/>
    <x v="0"/>
    <x v="4"/>
    <x v="70"/>
    <x v="70"/>
    <x v="56"/>
    <x v="70"/>
    <x v="8"/>
    <x v="3"/>
  </r>
  <r>
    <x v="71"/>
    <x v="69"/>
    <x v="0"/>
    <x v="4"/>
    <x v="9"/>
    <x v="0"/>
    <x v="3"/>
    <x v="71"/>
    <x v="71"/>
    <x v="57"/>
    <x v="71"/>
    <x v="7"/>
    <x v="6"/>
  </r>
  <r>
    <x v="72"/>
    <x v="70"/>
    <x v="0"/>
    <x v="4"/>
    <x v="11"/>
    <x v="0"/>
    <x v="3"/>
    <x v="72"/>
    <x v="72"/>
    <x v="58"/>
    <x v="72"/>
    <x v="6"/>
    <x v="9"/>
  </r>
  <r>
    <x v="73"/>
    <x v="71"/>
    <x v="1"/>
    <x v="5"/>
    <x v="29"/>
    <x v="0"/>
    <x v="0"/>
    <x v="73"/>
    <x v="73"/>
    <x v="26"/>
    <x v="73"/>
    <x v="7"/>
    <x v="0"/>
  </r>
  <r>
    <x v="74"/>
    <x v="72"/>
    <x v="0"/>
    <x v="2"/>
    <x v="2"/>
    <x v="0"/>
    <x v="5"/>
    <x v="74"/>
    <x v="74"/>
    <x v="59"/>
    <x v="74"/>
    <x v="6"/>
    <x v="3"/>
  </r>
  <r>
    <x v="75"/>
    <x v="73"/>
    <x v="1"/>
    <x v="2"/>
    <x v="8"/>
    <x v="0"/>
    <x v="5"/>
    <x v="75"/>
    <x v="75"/>
    <x v="24"/>
    <x v="75"/>
    <x v="5"/>
    <x v="4"/>
  </r>
  <r>
    <x v="76"/>
    <x v="74"/>
    <x v="0"/>
    <x v="5"/>
    <x v="17"/>
    <x v="0"/>
    <x v="5"/>
    <x v="76"/>
    <x v="76"/>
    <x v="60"/>
    <x v="76"/>
    <x v="4"/>
    <x v="9"/>
  </r>
  <r>
    <x v="77"/>
    <x v="75"/>
    <x v="1"/>
    <x v="4"/>
    <x v="5"/>
    <x v="0"/>
    <x v="2"/>
    <x v="77"/>
    <x v="77"/>
    <x v="8"/>
    <x v="77"/>
    <x v="3"/>
    <x v="2"/>
  </r>
  <r>
    <x v="78"/>
    <x v="76"/>
    <x v="1"/>
    <x v="0"/>
    <x v="0"/>
    <x v="2"/>
    <x v="0"/>
    <x v="78"/>
    <x v="78"/>
    <x v="52"/>
    <x v="78"/>
    <x v="4"/>
    <x v="3"/>
  </r>
  <r>
    <x v="79"/>
    <x v="77"/>
    <x v="1"/>
    <x v="4"/>
    <x v="12"/>
    <x v="0"/>
    <x v="3"/>
    <x v="79"/>
    <x v="79"/>
    <x v="61"/>
    <x v="79"/>
    <x v="5"/>
    <x v="8"/>
  </r>
  <r>
    <x v="80"/>
    <x v="78"/>
    <x v="0"/>
    <x v="5"/>
    <x v="6"/>
    <x v="0"/>
    <x v="5"/>
    <x v="80"/>
    <x v="80"/>
    <x v="62"/>
    <x v="80"/>
    <x v="6"/>
    <x v="6"/>
  </r>
  <r>
    <x v="81"/>
    <x v="79"/>
    <x v="1"/>
    <x v="3"/>
    <x v="7"/>
    <x v="0"/>
    <x v="5"/>
    <x v="81"/>
    <x v="81"/>
    <x v="63"/>
    <x v="81"/>
    <x v="5"/>
    <x v="4"/>
  </r>
  <r>
    <x v="82"/>
    <x v="80"/>
    <x v="0"/>
    <x v="0"/>
    <x v="24"/>
    <x v="0"/>
    <x v="4"/>
    <x v="82"/>
    <x v="82"/>
    <x v="64"/>
    <x v="82"/>
    <x v="4"/>
    <x v="3"/>
  </r>
  <r>
    <x v="83"/>
    <x v="81"/>
    <x v="0"/>
    <x v="4"/>
    <x v="4"/>
    <x v="0"/>
    <x v="4"/>
    <x v="83"/>
    <x v="83"/>
    <x v="65"/>
    <x v="83"/>
    <x v="5"/>
    <x v="5"/>
  </r>
  <r>
    <x v="84"/>
    <x v="82"/>
    <x v="1"/>
    <x v="6"/>
    <x v="16"/>
    <x v="0"/>
    <x v="5"/>
    <x v="84"/>
    <x v="84"/>
    <x v="66"/>
    <x v="84"/>
    <x v="6"/>
    <x v="8"/>
  </r>
  <r>
    <x v="85"/>
    <x v="83"/>
    <x v="1"/>
    <x v="0"/>
    <x v="24"/>
    <x v="0"/>
    <x v="4"/>
    <x v="85"/>
    <x v="85"/>
    <x v="32"/>
    <x v="85"/>
    <x v="7"/>
    <x v="0"/>
  </r>
  <r>
    <x v="86"/>
    <x v="84"/>
    <x v="3"/>
    <x v="2"/>
    <x v="30"/>
    <x v="0"/>
    <x v="0"/>
    <x v="86"/>
    <x v="86"/>
    <x v="67"/>
    <x v="86"/>
    <x v="8"/>
    <x v="1"/>
  </r>
  <r>
    <x v="87"/>
    <x v="85"/>
    <x v="1"/>
    <x v="3"/>
    <x v="7"/>
    <x v="0"/>
    <x v="5"/>
    <x v="87"/>
    <x v="87"/>
    <x v="68"/>
    <x v="87"/>
    <x v="9"/>
    <x v="9"/>
  </r>
  <r>
    <x v="88"/>
    <x v="86"/>
    <x v="1"/>
    <x v="5"/>
    <x v="6"/>
    <x v="0"/>
    <x v="2"/>
    <x v="88"/>
    <x v="88"/>
    <x v="0"/>
    <x v="88"/>
    <x v="10"/>
    <x v="1"/>
  </r>
  <r>
    <x v="89"/>
    <x v="87"/>
    <x v="1"/>
    <x v="7"/>
    <x v="25"/>
    <x v="2"/>
    <x v="5"/>
    <x v="89"/>
    <x v="89"/>
    <x v="69"/>
    <x v="89"/>
    <x v="9"/>
    <x v="3"/>
  </r>
  <r>
    <x v="90"/>
    <x v="88"/>
    <x v="1"/>
    <x v="4"/>
    <x v="12"/>
    <x v="0"/>
    <x v="1"/>
    <x v="90"/>
    <x v="90"/>
    <x v="70"/>
    <x v="90"/>
    <x v="10"/>
    <x v="2"/>
  </r>
  <r>
    <x v="91"/>
    <x v="89"/>
    <x v="0"/>
    <x v="2"/>
    <x v="30"/>
    <x v="1"/>
    <x v="0"/>
    <x v="91"/>
    <x v="91"/>
    <x v="71"/>
    <x v="91"/>
    <x v="11"/>
    <x v="4"/>
  </r>
  <r>
    <x v="92"/>
    <x v="90"/>
    <x v="0"/>
    <x v="2"/>
    <x v="30"/>
    <x v="0"/>
    <x v="3"/>
    <x v="92"/>
    <x v="92"/>
    <x v="61"/>
    <x v="92"/>
    <x v="12"/>
    <x v="1"/>
  </r>
  <r>
    <x v="93"/>
    <x v="91"/>
    <x v="1"/>
    <x v="7"/>
    <x v="14"/>
    <x v="0"/>
    <x v="0"/>
    <x v="93"/>
    <x v="93"/>
    <x v="40"/>
    <x v="93"/>
    <x v="13"/>
    <x v="0"/>
  </r>
  <r>
    <x v="94"/>
    <x v="92"/>
    <x v="1"/>
    <x v="5"/>
    <x v="29"/>
    <x v="0"/>
    <x v="0"/>
    <x v="94"/>
    <x v="94"/>
    <x v="72"/>
    <x v="94"/>
    <x v="12"/>
    <x v="0"/>
  </r>
  <r>
    <x v="95"/>
    <x v="93"/>
    <x v="1"/>
    <x v="7"/>
    <x v="25"/>
    <x v="0"/>
    <x v="1"/>
    <x v="95"/>
    <x v="95"/>
    <x v="0"/>
    <x v="95"/>
    <x v="11"/>
    <x v="3"/>
  </r>
  <r>
    <x v="96"/>
    <x v="55"/>
    <x v="3"/>
    <x v="7"/>
    <x v="25"/>
    <x v="2"/>
    <x v="3"/>
    <x v="96"/>
    <x v="96"/>
    <x v="48"/>
    <x v="96"/>
    <x v="10"/>
    <x v="7"/>
  </r>
  <r>
    <x v="97"/>
    <x v="94"/>
    <x v="1"/>
    <x v="0"/>
    <x v="0"/>
    <x v="0"/>
    <x v="3"/>
    <x v="97"/>
    <x v="97"/>
    <x v="73"/>
    <x v="97"/>
    <x v="9"/>
    <x v="4"/>
  </r>
  <r>
    <x v="98"/>
    <x v="95"/>
    <x v="2"/>
    <x v="4"/>
    <x v="4"/>
    <x v="0"/>
    <x v="2"/>
    <x v="98"/>
    <x v="98"/>
    <x v="74"/>
    <x v="98"/>
    <x v="8"/>
    <x v="4"/>
  </r>
  <r>
    <x v="99"/>
    <x v="96"/>
    <x v="0"/>
    <x v="4"/>
    <x v="9"/>
    <x v="0"/>
    <x v="2"/>
    <x v="99"/>
    <x v="99"/>
    <x v="60"/>
    <x v="99"/>
    <x v="9"/>
    <x v="1"/>
  </r>
  <r>
    <x v="100"/>
    <x v="97"/>
    <x v="1"/>
    <x v="4"/>
    <x v="11"/>
    <x v="2"/>
    <x v="5"/>
    <x v="100"/>
    <x v="100"/>
    <x v="8"/>
    <x v="100"/>
    <x v="10"/>
    <x v="6"/>
  </r>
  <r>
    <x v="101"/>
    <x v="98"/>
    <x v="0"/>
    <x v="3"/>
    <x v="27"/>
    <x v="0"/>
    <x v="4"/>
    <x v="101"/>
    <x v="101"/>
    <x v="75"/>
    <x v="101"/>
    <x v="9"/>
    <x v="3"/>
  </r>
  <r>
    <x v="102"/>
    <x v="99"/>
    <x v="0"/>
    <x v="6"/>
    <x v="16"/>
    <x v="2"/>
    <x v="0"/>
    <x v="102"/>
    <x v="102"/>
    <x v="41"/>
    <x v="102"/>
    <x v="10"/>
    <x v="1"/>
  </r>
  <r>
    <x v="103"/>
    <x v="100"/>
    <x v="1"/>
    <x v="7"/>
    <x v="26"/>
    <x v="0"/>
    <x v="0"/>
    <x v="103"/>
    <x v="103"/>
    <x v="76"/>
    <x v="103"/>
    <x v="11"/>
    <x v="4"/>
  </r>
  <r>
    <x v="104"/>
    <x v="101"/>
    <x v="1"/>
    <x v="1"/>
    <x v="10"/>
    <x v="0"/>
    <x v="3"/>
    <x v="104"/>
    <x v="104"/>
    <x v="49"/>
    <x v="104"/>
    <x v="12"/>
    <x v="0"/>
  </r>
  <r>
    <x v="105"/>
    <x v="102"/>
    <x v="0"/>
    <x v="6"/>
    <x v="13"/>
    <x v="0"/>
    <x v="0"/>
    <x v="105"/>
    <x v="105"/>
    <x v="77"/>
    <x v="105"/>
    <x v="13"/>
    <x v="0"/>
  </r>
  <r>
    <x v="106"/>
    <x v="103"/>
    <x v="1"/>
    <x v="0"/>
    <x v="24"/>
    <x v="0"/>
    <x v="0"/>
    <x v="106"/>
    <x v="106"/>
    <x v="78"/>
    <x v="106"/>
    <x v="12"/>
    <x v="2"/>
  </r>
  <r>
    <x v="107"/>
    <x v="104"/>
    <x v="1"/>
    <x v="2"/>
    <x v="30"/>
    <x v="0"/>
    <x v="3"/>
    <x v="107"/>
    <x v="107"/>
    <x v="79"/>
    <x v="107"/>
    <x v="13"/>
    <x v="8"/>
  </r>
  <r>
    <x v="108"/>
    <x v="105"/>
    <x v="1"/>
    <x v="6"/>
    <x v="31"/>
    <x v="0"/>
    <x v="1"/>
    <x v="108"/>
    <x v="108"/>
    <x v="0"/>
    <x v="108"/>
    <x v="14"/>
    <x v="6"/>
  </r>
  <r>
    <x v="109"/>
    <x v="106"/>
    <x v="0"/>
    <x v="4"/>
    <x v="11"/>
    <x v="0"/>
    <x v="5"/>
    <x v="109"/>
    <x v="109"/>
    <x v="53"/>
    <x v="109"/>
    <x v="15"/>
    <x v="0"/>
  </r>
  <r>
    <x v="110"/>
    <x v="107"/>
    <x v="0"/>
    <x v="6"/>
    <x v="16"/>
    <x v="0"/>
    <x v="0"/>
    <x v="110"/>
    <x v="110"/>
    <x v="80"/>
    <x v="110"/>
    <x v="16"/>
    <x v="6"/>
  </r>
  <r>
    <x v="111"/>
    <x v="108"/>
    <x v="1"/>
    <x v="4"/>
    <x v="9"/>
    <x v="0"/>
    <x v="0"/>
    <x v="111"/>
    <x v="111"/>
    <x v="81"/>
    <x v="111"/>
    <x v="17"/>
    <x v="5"/>
  </r>
  <r>
    <x v="112"/>
    <x v="109"/>
    <x v="1"/>
    <x v="1"/>
    <x v="21"/>
    <x v="0"/>
    <x v="4"/>
    <x v="112"/>
    <x v="112"/>
    <x v="77"/>
    <x v="112"/>
    <x v="16"/>
    <x v="8"/>
  </r>
  <r>
    <x v="113"/>
    <x v="110"/>
    <x v="1"/>
    <x v="5"/>
    <x v="17"/>
    <x v="0"/>
    <x v="3"/>
    <x v="113"/>
    <x v="113"/>
    <x v="59"/>
    <x v="113"/>
    <x v="15"/>
    <x v="8"/>
  </r>
  <r>
    <x v="114"/>
    <x v="111"/>
    <x v="0"/>
    <x v="3"/>
    <x v="3"/>
    <x v="1"/>
    <x v="0"/>
    <x v="114"/>
    <x v="114"/>
    <x v="20"/>
    <x v="114"/>
    <x v="16"/>
    <x v="8"/>
  </r>
  <r>
    <x v="115"/>
    <x v="112"/>
    <x v="0"/>
    <x v="5"/>
    <x v="17"/>
    <x v="0"/>
    <x v="4"/>
    <x v="115"/>
    <x v="115"/>
    <x v="52"/>
    <x v="115"/>
    <x v="15"/>
    <x v="3"/>
  </r>
  <r>
    <x v="116"/>
    <x v="3"/>
    <x v="1"/>
    <x v="5"/>
    <x v="29"/>
    <x v="0"/>
    <x v="1"/>
    <x v="116"/>
    <x v="116"/>
    <x v="44"/>
    <x v="116"/>
    <x v="14"/>
    <x v="1"/>
  </r>
  <r>
    <x v="117"/>
    <x v="113"/>
    <x v="0"/>
    <x v="4"/>
    <x v="4"/>
    <x v="1"/>
    <x v="0"/>
    <x v="117"/>
    <x v="117"/>
    <x v="6"/>
    <x v="117"/>
    <x v="13"/>
    <x v="2"/>
  </r>
  <r>
    <x v="118"/>
    <x v="52"/>
    <x v="0"/>
    <x v="5"/>
    <x v="29"/>
    <x v="0"/>
    <x v="3"/>
    <x v="118"/>
    <x v="118"/>
    <x v="82"/>
    <x v="118"/>
    <x v="14"/>
    <x v="4"/>
  </r>
  <r>
    <x v="119"/>
    <x v="114"/>
    <x v="1"/>
    <x v="7"/>
    <x v="25"/>
    <x v="0"/>
    <x v="0"/>
    <x v="119"/>
    <x v="119"/>
    <x v="83"/>
    <x v="119"/>
    <x v="13"/>
    <x v="8"/>
  </r>
  <r>
    <x v="120"/>
    <x v="20"/>
    <x v="0"/>
    <x v="5"/>
    <x v="6"/>
    <x v="0"/>
    <x v="4"/>
    <x v="120"/>
    <x v="120"/>
    <x v="72"/>
    <x v="120"/>
    <x v="14"/>
    <x v="3"/>
  </r>
  <r>
    <x v="121"/>
    <x v="26"/>
    <x v="1"/>
    <x v="5"/>
    <x v="6"/>
    <x v="2"/>
    <x v="3"/>
    <x v="121"/>
    <x v="121"/>
    <x v="64"/>
    <x v="121"/>
    <x v="13"/>
    <x v="2"/>
  </r>
  <r>
    <x v="122"/>
    <x v="115"/>
    <x v="0"/>
    <x v="6"/>
    <x v="16"/>
    <x v="0"/>
    <x v="0"/>
    <x v="122"/>
    <x v="122"/>
    <x v="84"/>
    <x v="122"/>
    <x v="14"/>
    <x v="4"/>
  </r>
  <r>
    <x v="123"/>
    <x v="116"/>
    <x v="1"/>
    <x v="4"/>
    <x v="4"/>
    <x v="0"/>
    <x v="5"/>
    <x v="123"/>
    <x v="123"/>
    <x v="0"/>
    <x v="123"/>
    <x v="15"/>
    <x v="3"/>
  </r>
  <r>
    <x v="124"/>
    <x v="117"/>
    <x v="1"/>
    <x v="6"/>
    <x v="31"/>
    <x v="0"/>
    <x v="3"/>
    <x v="124"/>
    <x v="124"/>
    <x v="85"/>
    <x v="124"/>
    <x v="14"/>
    <x v="8"/>
  </r>
  <r>
    <x v="125"/>
    <x v="118"/>
    <x v="1"/>
    <x v="0"/>
    <x v="24"/>
    <x v="0"/>
    <x v="2"/>
    <x v="125"/>
    <x v="125"/>
    <x v="0"/>
    <x v="125"/>
    <x v="15"/>
    <x v="4"/>
  </r>
  <r>
    <x v="126"/>
    <x v="119"/>
    <x v="1"/>
    <x v="5"/>
    <x v="29"/>
    <x v="0"/>
    <x v="2"/>
    <x v="0"/>
    <x v="126"/>
    <x v="0"/>
    <x v="126"/>
    <x v="16"/>
    <x v="0"/>
  </r>
  <r>
    <x v="127"/>
    <x v="68"/>
    <x v="0"/>
    <x v="5"/>
    <x v="17"/>
    <x v="0"/>
    <x v="2"/>
    <x v="126"/>
    <x v="127"/>
    <x v="86"/>
    <x v="127"/>
    <x v="15"/>
    <x v="9"/>
  </r>
  <r>
    <x v="128"/>
    <x v="120"/>
    <x v="0"/>
    <x v="4"/>
    <x v="9"/>
    <x v="0"/>
    <x v="5"/>
    <x v="127"/>
    <x v="128"/>
    <x v="0"/>
    <x v="128"/>
    <x v="14"/>
    <x v="1"/>
  </r>
  <r>
    <x v="129"/>
    <x v="121"/>
    <x v="0"/>
    <x v="7"/>
    <x v="32"/>
    <x v="0"/>
    <x v="2"/>
    <x v="128"/>
    <x v="129"/>
    <x v="87"/>
    <x v="129"/>
    <x v="15"/>
    <x v="6"/>
  </r>
  <r>
    <x v="130"/>
    <x v="122"/>
    <x v="1"/>
    <x v="0"/>
    <x v="28"/>
    <x v="0"/>
    <x v="4"/>
    <x v="129"/>
    <x v="130"/>
    <x v="41"/>
    <x v="130"/>
    <x v="16"/>
    <x v="7"/>
  </r>
  <r>
    <x v="131"/>
    <x v="123"/>
    <x v="1"/>
    <x v="6"/>
    <x v="22"/>
    <x v="0"/>
    <x v="3"/>
    <x v="130"/>
    <x v="131"/>
    <x v="88"/>
    <x v="131"/>
    <x v="17"/>
    <x v="1"/>
  </r>
  <r>
    <x v="132"/>
    <x v="124"/>
    <x v="0"/>
    <x v="4"/>
    <x v="11"/>
    <x v="0"/>
    <x v="5"/>
    <x v="131"/>
    <x v="132"/>
    <x v="89"/>
    <x v="132"/>
    <x v="18"/>
    <x v="1"/>
  </r>
  <r>
    <x v="133"/>
    <x v="125"/>
    <x v="0"/>
    <x v="0"/>
    <x v="0"/>
    <x v="0"/>
    <x v="0"/>
    <x v="132"/>
    <x v="133"/>
    <x v="56"/>
    <x v="133"/>
    <x v="19"/>
    <x v="9"/>
  </r>
  <r>
    <x v="134"/>
    <x v="126"/>
    <x v="1"/>
    <x v="1"/>
    <x v="1"/>
    <x v="0"/>
    <x v="4"/>
    <x v="133"/>
    <x v="134"/>
    <x v="73"/>
    <x v="134"/>
    <x v="18"/>
    <x v="3"/>
  </r>
  <r>
    <x v="135"/>
    <x v="127"/>
    <x v="1"/>
    <x v="0"/>
    <x v="0"/>
    <x v="0"/>
    <x v="5"/>
    <x v="134"/>
    <x v="135"/>
    <x v="90"/>
    <x v="135"/>
    <x v="17"/>
    <x v="1"/>
  </r>
  <r>
    <x v="136"/>
    <x v="128"/>
    <x v="1"/>
    <x v="7"/>
    <x v="18"/>
    <x v="1"/>
    <x v="3"/>
    <x v="135"/>
    <x v="136"/>
    <x v="26"/>
    <x v="136"/>
    <x v="18"/>
    <x v="5"/>
  </r>
  <r>
    <x v="137"/>
    <x v="129"/>
    <x v="0"/>
    <x v="2"/>
    <x v="8"/>
    <x v="0"/>
    <x v="1"/>
    <x v="136"/>
    <x v="137"/>
    <x v="0"/>
    <x v="137"/>
    <x v="17"/>
    <x v="4"/>
  </r>
  <r>
    <x v="138"/>
    <x v="130"/>
    <x v="0"/>
    <x v="0"/>
    <x v="24"/>
    <x v="0"/>
    <x v="4"/>
    <x v="137"/>
    <x v="138"/>
    <x v="91"/>
    <x v="138"/>
    <x v="18"/>
    <x v="4"/>
  </r>
  <r>
    <x v="139"/>
    <x v="131"/>
    <x v="1"/>
    <x v="1"/>
    <x v="1"/>
    <x v="0"/>
    <x v="2"/>
    <x v="138"/>
    <x v="139"/>
    <x v="92"/>
    <x v="139"/>
    <x v="17"/>
    <x v="5"/>
  </r>
  <r>
    <x v="140"/>
    <x v="132"/>
    <x v="1"/>
    <x v="1"/>
    <x v="10"/>
    <x v="2"/>
    <x v="2"/>
    <x v="139"/>
    <x v="140"/>
    <x v="35"/>
    <x v="140"/>
    <x v="18"/>
    <x v="4"/>
  </r>
  <r>
    <x v="141"/>
    <x v="133"/>
    <x v="1"/>
    <x v="6"/>
    <x v="22"/>
    <x v="0"/>
    <x v="3"/>
    <x v="140"/>
    <x v="141"/>
    <x v="93"/>
    <x v="141"/>
    <x v="19"/>
    <x v="2"/>
  </r>
  <r>
    <x v="142"/>
    <x v="127"/>
    <x v="1"/>
    <x v="7"/>
    <x v="14"/>
    <x v="0"/>
    <x v="1"/>
    <x v="141"/>
    <x v="142"/>
    <x v="2"/>
    <x v="142"/>
    <x v="20"/>
    <x v="7"/>
  </r>
  <r>
    <x v="143"/>
    <x v="134"/>
    <x v="0"/>
    <x v="6"/>
    <x v="22"/>
    <x v="0"/>
    <x v="1"/>
    <x v="142"/>
    <x v="143"/>
    <x v="12"/>
    <x v="143"/>
    <x v="21"/>
    <x v="4"/>
  </r>
  <r>
    <x v="144"/>
    <x v="135"/>
    <x v="1"/>
    <x v="6"/>
    <x v="13"/>
    <x v="0"/>
    <x v="5"/>
    <x v="143"/>
    <x v="144"/>
    <x v="94"/>
    <x v="144"/>
    <x v="22"/>
    <x v="4"/>
  </r>
  <r>
    <x v="145"/>
    <x v="136"/>
    <x v="1"/>
    <x v="4"/>
    <x v="4"/>
    <x v="0"/>
    <x v="1"/>
    <x v="144"/>
    <x v="145"/>
    <x v="95"/>
    <x v="145"/>
    <x v="23"/>
    <x v="4"/>
  </r>
  <r>
    <x v="146"/>
    <x v="137"/>
    <x v="1"/>
    <x v="3"/>
    <x v="3"/>
    <x v="0"/>
    <x v="0"/>
    <x v="145"/>
    <x v="146"/>
    <x v="15"/>
    <x v="146"/>
    <x v="24"/>
    <x v="1"/>
  </r>
  <r>
    <x v="147"/>
    <x v="138"/>
    <x v="0"/>
    <x v="7"/>
    <x v="14"/>
    <x v="1"/>
    <x v="2"/>
    <x v="146"/>
    <x v="147"/>
    <x v="75"/>
    <x v="147"/>
    <x v="23"/>
    <x v="0"/>
  </r>
  <r>
    <x v="148"/>
    <x v="139"/>
    <x v="1"/>
    <x v="4"/>
    <x v="4"/>
    <x v="0"/>
    <x v="4"/>
    <x v="147"/>
    <x v="148"/>
    <x v="13"/>
    <x v="148"/>
    <x v="22"/>
    <x v="2"/>
  </r>
  <r>
    <x v="149"/>
    <x v="140"/>
    <x v="1"/>
    <x v="6"/>
    <x v="16"/>
    <x v="0"/>
    <x v="2"/>
    <x v="148"/>
    <x v="149"/>
    <x v="96"/>
    <x v="149"/>
    <x v="21"/>
    <x v="4"/>
  </r>
  <r>
    <x v="150"/>
    <x v="141"/>
    <x v="3"/>
    <x v="1"/>
    <x v="1"/>
    <x v="0"/>
    <x v="0"/>
    <x v="147"/>
    <x v="150"/>
    <x v="97"/>
    <x v="150"/>
    <x v="22"/>
    <x v="2"/>
  </r>
  <r>
    <x v="151"/>
    <x v="142"/>
    <x v="0"/>
    <x v="6"/>
    <x v="16"/>
    <x v="0"/>
    <x v="4"/>
    <x v="149"/>
    <x v="151"/>
    <x v="75"/>
    <x v="151"/>
    <x v="21"/>
    <x v="1"/>
  </r>
  <r>
    <x v="152"/>
    <x v="143"/>
    <x v="1"/>
    <x v="4"/>
    <x v="5"/>
    <x v="0"/>
    <x v="3"/>
    <x v="150"/>
    <x v="152"/>
    <x v="98"/>
    <x v="152"/>
    <x v="22"/>
    <x v="5"/>
  </r>
  <r>
    <x v="153"/>
    <x v="144"/>
    <x v="1"/>
    <x v="7"/>
    <x v="14"/>
    <x v="0"/>
    <x v="2"/>
    <x v="151"/>
    <x v="153"/>
    <x v="99"/>
    <x v="153"/>
    <x v="21"/>
    <x v="2"/>
  </r>
  <r>
    <x v="154"/>
    <x v="136"/>
    <x v="1"/>
    <x v="1"/>
    <x v="1"/>
    <x v="1"/>
    <x v="5"/>
    <x v="152"/>
    <x v="154"/>
    <x v="86"/>
    <x v="154"/>
    <x v="22"/>
    <x v="6"/>
  </r>
  <r>
    <x v="155"/>
    <x v="145"/>
    <x v="1"/>
    <x v="6"/>
    <x v="31"/>
    <x v="0"/>
    <x v="1"/>
    <x v="153"/>
    <x v="155"/>
    <x v="60"/>
    <x v="155"/>
    <x v="21"/>
    <x v="1"/>
  </r>
  <r>
    <x v="156"/>
    <x v="146"/>
    <x v="1"/>
    <x v="2"/>
    <x v="23"/>
    <x v="0"/>
    <x v="4"/>
    <x v="154"/>
    <x v="156"/>
    <x v="0"/>
    <x v="156"/>
    <x v="22"/>
    <x v="3"/>
  </r>
  <r>
    <x v="157"/>
    <x v="147"/>
    <x v="0"/>
    <x v="2"/>
    <x v="2"/>
    <x v="0"/>
    <x v="0"/>
    <x v="155"/>
    <x v="157"/>
    <x v="100"/>
    <x v="157"/>
    <x v="23"/>
    <x v="0"/>
  </r>
  <r>
    <x v="158"/>
    <x v="148"/>
    <x v="1"/>
    <x v="6"/>
    <x v="16"/>
    <x v="0"/>
    <x v="1"/>
    <x v="156"/>
    <x v="158"/>
    <x v="80"/>
    <x v="158"/>
    <x v="24"/>
    <x v="0"/>
  </r>
  <r>
    <x v="159"/>
    <x v="149"/>
    <x v="1"/>
    <x v="2"/>
    <x v="23"/>
    <x v="0"/>
    <x v="1"/>
    <x v="157"/>
    <x v="159"/>
    <x v="15"/>
    <x v="159"/>
    <x v="25"/>
    <x v="7"/>
  </r>
  <r>
    <x v="160"/>
    <x v="150"/>
    <x v="1"/>
    <x v="0"/>
    <x v="15"/>
    <x v="0"/>
    <x v="3"/>
    <x v="158"/>
    <x v="160"/>
    <x v="76"/>
    <x v="160"/>
    <x v="24"/>
    <x v="0"/>
  </r>
  <r>
    <x v="161"/>
    <x v="151"/>
    <x v="0"/>
    <x v="3"/>
    <x v="7"/>
    <x v="0"/>
    <x v="2"/>
    <x v="159"/>
    <x v="161"/>
    <x v="101"/>
    <x v="161"/>
    <x v="25"/>
    <x v="0"/>
  </r>
  <r>
    <x v="162"/>
    <x v="152"/>
    <x v="1"/>
    <x v="3"/>
    <x v="19"/>
    <x v="0"/>
    <x v="4"/>
    <x v="160"/>
    <x v="162"/>
    <x v="102"/>
    <x v="162"/>
    <x v="24"/>
    <x v="4"/>
  </r>
  <r>
    <x v="163"/>
    <x v="153"/>
    <x v="0"/>
    <x v="7"/>
    <x v="18"/>
    <x v="2"/>
    <x v="1"/>
    <x v="161"/>
    <x v="163"/>
    <x v="103"/>
    <x v="163"/>
    <x v="25"/>
    <x v="0"/>
  </r>
  <r>
    <x v="164"/>
    <x v="154"/>
    <x v="0"/>
    <x v="4"/>
    <x v="11"/>
    <x v="0"/>
    <x v="4"/>
    <x v="162"/>
    <x v="164"/>
    <x v="104"/>
    <x v="164"/>
    <x v="26"/>
    <x v="9"/>
  </r>
  <r>
    <x v="165"/>
    <x v="155"/>
    <x v="1"/>
    <x v="5"/>
    <x v="6"/>
    <x v="0"/>
    <x v="5"/>
    <x v="163"/>
    <x v="165"/>
    <x v="105"/>
    <x v="165"/>
    <x v="25"/>
    <x v="9"/>
  </r>
  <r>
    <x v="166"/>
    <x v="156"/>
    <x v="1"/>
    <x v="0"/>
    <x v="15"/>
    <x v="0"/>
    <x v="3"/>
    <x v="164"/>
    <x v="166"/>
    <x v="28"/>
    <x v="166"/>
    <x v="24"/>
    <x v="2"/>
  </r>
  <r>
    <x v="167"/>
    <x v="87"/>
    <x v="0"/>
    <x v="4"/>
    <x v="20"/>
    <x v="2"/>
    <x v="4"/>
    <x v="165"/>
    <x v="167"/>
    <x v="106"/>
    <x v="167"/>
    <x v="25"/>
    <x v="9"/>
  </r>
  <r>
    <x v="168"/>
    <x v="157"/>
    <x v="1"/>
    <x v="4"/>
    <x v="11"/>
    <x v="0"/>
    <x v="5"/>
    <x v="47"/>
    <x v="168"/>
    <x v="0"/>
    <x v="168"/>
    <x v="26"/>
    <x v="6"/>
  </r>
  <r>
    <x v="169"/>
    <x v="158"/>
    <x v="1"/>
    <x v="3"/>
    <x v="19"/>
    <x v="0"/>
    <x v="4"/>
    <x v="166"/>
    <x v="169"/>
    <x v="107"/>
    <x v="169"/>
    <x v="25"/>
    <x v="8"/>
  </r>
  <r>
    <x v="170"/>
    <x v="159"/>
    <x v="0"/>
    <x v="2"/>
    <x v="30"/>
    <x v="0"/>
    <x v="5"/>
    <x v="167"/>
    <x v="170"/>
    <x v="107"/>
    <x v="170"/>
    <x v="24"/>
    <x v="0"/>
  </r>
  <r>
    <x v="171"/>
    <x v="160"/>
    <x v="0"/>
    <x v="4"/>
    <x v="12"/>
    <x v="0"/>
    <x v="2"/>
    <x v="168"/>
    <x v="171"/>
    <x v="0"/>
    <x v="171"/>
    <x v="25"/>
    <x v="8"/>
  </r>
  <r>
    <x v="172"/>
    <x v="161"/>
    <x v="1"/>
    <x v="7"/>
    <x v="14"/>
    <x v="0"/>
    <x v="5"/>
    <x v="169"/>
    <x v="172"/>
    <x v="108"/>
    <x v="172"/>
    <x v="26"/>
    <x v="8"/>
  </r>
  <r>
    <x v="173"/>
    <x v="162"/>
    <x v="0"/>
    <x v="6"/>
    <x v="13"/>
    <x v="0"/>
    <x v="2"/>
    <x v="169"/>
    <x v="173"/>
    <x v="0"/>
    <x v="173"/>
    <x v="25"/>
    <x v="8"/>
  </r>
  <r>
    <x v="174"/>
    <x v="163"/>
    <x v="0"/>
    <x v="3"/>
    <x v="3"/>
    <x v="0"/>
    <x v="0"/>
    <x v="170"/>
    <x v="174"/>
    <x v="79"/>
    <x v="174"/>
    <x v="26"/>
    <x v="2"/>
  </r>
  <r>
    <x v="175"/>
    <x v="164"/>
    <x v="1"/>
    <x v="4"/>
    <x v="20"/>
    <x v="2"/>
    <x v="4"/>
    <x v="171"/>
    <x v="175"/>
    <x v="91"/>
    <x v="175"/>
    <x v="25"/>
    <x v="1"/>
  </r>
  <r>
    <x v="176"/>
    <x v="60"/>
    <x v="1"/>
    <x v="2"/>
    <x v="30"/>
    <x v="2"/>
    <x v="1"/>
    <x v="10"/>
    <x v="176"/>
    <x v="109"/>
    <x v="176"/>
    <x v="26"/>
    <x v="6"/>
  </r>
  <r>
    <x v="177"/>
    <x v="165"/>
    <x v="1"/>
    <x v="0"/>
    <x v="0"/>
    <x v="0"/>
    <x v="0"/>
    <x v="172"/>
    <x v="177"/>
    <x v="110"/>
    <x v="177"/>
    <x v="25"/>
    <x v="4"/>
  </r>
  <r>
    <x v="178"/>
    <x v="56"/>
    <x v="1"/>
    <x v="1"/>
    <x v="10"/>
    <x v="0"/>
    <x v="4"/>
    <x v="173"/>
    <x v="178"/>
    <x v="111"/>
    <x v="178"/>
    <x v="26"/>
    <x v="2"/>
  </r>
  <r>
    <x v="179"/>
    <x v="135"/>
    <x v="1"/>
    <x v="4"/>
    <x v="20"/>
    <x v="0"/>
    <x v="3"/>
    <x v="174"/>
    <x v="179"/>
    <x v="79"/>
    <x v="179"/>
    <x v="27"/>
    <x v="1"/>
  </r>
  <r>
    <x v="180"/>
    <x v="112"/>
    <x v="0"/>
    <x v="0"/>
    <x v="15"/>
    <x v="0"/>
    <x v="2"/>
    <x v="175"/>
    <x v="180"/>
    <x v="61"/>
    <x v="180"/>
    <x v="28"/>
    <x v="9"/>
  </r>
  <r>
    <x v="181"/>
    <x v="48"/>
    <x v="0"/>
    <x v="4"/>
    <x v="9"/>
    <x v="0"/>
    <x v="4"/>
    <x v="176"/>
    <x v="181"/>
    <x v="4"/>
    <x v="181"/>
    <x v="29"/>
    <x v="4"/>
  </r>
  <r>
    <x v="182"/>
    <x v="166"/>
    <x v="2"/>
    <x v="1"/>
    <x v="1"/>
    <x v="0"/>
    <x v="2"/>
    <x v="177"/>
    <x v="182"/>
    <x v="112"/>
    <x v="182"/>
    <x v="30"/>
    <x v="1"/>
  </r>
  <r>
    <x v="183"/>
    <x v="167"/>
    <x v="1"/>
    <x v="5"/>
    <x v="6"/>
    <x v="0"/>
    <x v="1"/>
    <x v="178"/>
    <x v="183"/>
    <x v="113"/>
    <x v="183"/>
    <x v="29"/>
    <x v="0"/>
  </r>
  <r>
    <x v="184"/>
    <x v="168"/>
    <x v="1"/>
    <x v="6"/>
    <x v="13"/>
    <x v="0"/>
    <x v="1"/>
    <x v="179"/>
    <x v="184"/>
    <x v="57"/>
    <x v="184"/>
    <x v="30"/>
    <x v="2"/>
  </r>
  <r>
    <x v="185"/>
    <x v="169"/>
    <x v="1"/>
    <x v="3"/>
    <x v="27"/>
    <x v="0"/>
    <x v="1"/>
    <x v="180"/>
    <x v="185"/>
    <x v="65"/>
    <x v="185"/>
    <x v="31"/>
    <x v="8"/>
  </r>
  <r>
    <x v="186"/>
    <x v="170"/>
    <x v="0"/>
    <x v="5"/>
    <x v="17"/>
    <x v="2"/>
    <x v="3"/>
    <x v="181"/>
    <x v="186"/>
    <x v="114"/>
    <x v="186"/>
    <x v="32"/>
    <x v="2"/>
  </r>
  <r>
    <x v="187"/>
    <x v="171"/>
    <x v="1"/>
    <x v="7"/>
    <x v="25"/>
    <x v="0"/>
    <x v="5"/>
    <x v="182"/>
    <x v="187"/>
    <x v="73"/>
    <x v="187"/>
    <x v="31"/>
    <x v="2"/>
  </r>
  <r>
    <x v="188"/>
    <x v="107"/>
    <x v="1"/>
    <x v="7"/>
    <x v="32"/>
    <x v="0"/>
    <x v="1"/>
    <x v="183"/>
    <x v="188"/>
    <x v="16"/>
    <x v="188"/>
    <x v="30"/>
    <x v="0"/>
  </r>
  <r>
    <x v="189"/>
    <x v="172"/>
    <x v="1"/>
    <x v="6"/>
    <x v="31"/>
    <x v="0"/>
    <x v="0"/>
    <x v="184"/>
    <x v="189"/>
    <x v="115"/>
    <x v="189"/>
    <x v="29"/>
    <x v="8"/>
  </r>
  <r>
    <x v="190"/>
    <x v="173"/>
    <x v="1"/>
    <x v="4"/>
    <x v="11"/>
    <x v="0"/>
    <x v="3"/>
    <x v="185"/>
    <x v="190"/>
    <x v="29"/>
    <x v="190"/>
    <x v="30"/>
    <x v="3"/>
  </r>
  <r>
    <x v="191"/>
    <x v="174"/>
    <x v="1"/>
    <x v="5"/>
    <x v="17"/>
    <x v="0"/>
    <x v="5"/>
    <x v="186"/>
    <x v="191"/>
    <x v="48"/>
    <x v="191"/>
    <x v="31"/>
    <x v="5"/>
  </r>
  <r>
    <x v="192"/>
    <x v="175"/>
    <x v="1"/>
    <x v="1"/>
    <x v="21"/>
    <x v="0"/>
    <x v="4"/>
    <x v="187"/>
    <x v="192"/>
    <x v="62"/>
    <x v="192"/>
    <x v="32"/>
    <x v="6"/>
  </r>
  <r>
    <x v="193"/>
    <x v="10"/>
    <x v="0"/>
    <x v="3"/>
    <x v="3"/>
    <x v="0"/>
    <x v="2"/>
    <x v="188"/>
    <x v="193"/>
    <x v="92"/>
    <x v="193"/>
    <x v="31"/>
    <x v="1"/>
  </r>
  <r>
    <x v="194"/>
    <x v="176"/>
    <x v="1"/>
    <x v="0"/>
    <x v="0"/>
    <x v="0"/>
    <x v="3"/>
    <x v="189"/>
    <x v="194"/>
    <x v="10"/>
    <x v="194"/>
    <x v="30"/>
    <x v="3"/>
  </r>
  <r>
    <x v="195"/>
    <x v="177"/>
    <x v="0"/>
    <x v="0"/>
    <x v="15"/>
    <x v="0"/>
    <x v="1"/>
    <x v="190"/>
    <x v="195"/>
    <x v="0"/>
    <x v="195"/>
    <x v="29"/>
    <x v="5"/>
  </r>
  <r>
    <x v="196"/>
    <x v="178"/>
    <x v="0"/>
    <x v="2"/>
    <x v="2"/>
    <x v="0"/>
    <x v="0"/>
    <x v="96"/>
    <x v="196"/>
    <x v="82"/>
    <x v="196"/>
    <x v="28"/>
    <x v="7"/>
  </r>
  <r>
    <x v="197"/>
    <x v="179"/>
    <x v="1"/>
    <x v="5"/>
    <x v="6"/>
    <x v="0"/>
    <x v="3"/>
    <x v="191"/>
    <x v="197"/>
    <x v="100"/>
    <x v="197"/>
    <x v="29"/>
    <x v="6"/>
  </r>
  <r>
    <x v="198"/>
    <x v="141"/>
    <x v="3"/>
    <x v="5"/>
    <x v="6"/>
    <x v="1"/>
    <x v="1"/>
    <x v="192"/>
    <x v="198"/>
    <x v="18"/>
    <x v="198"/>
    <x v="30"/>
    <x v="2"/>
  </r>
  <r>
    <x v="199"/>
    <x v="9"/>
    <x v="0"/>
    <x v="5"/>
    <x v="29"/>
    <x v="0"/>
    <x v="1"/>
    <x v="193"/>
    <x v="199"/>
    <x v="54"/>
    <x v="199"/>
    <x v="29"/>
    <x v="7"/>
  </r>
  <r>
    <x v="200"/>
    <x v="180"/>
    <x v="0"/>
    <x v="3"/>
    <x v="3"/>
    <x v="0"/>
    <x v="5"/>
    <x v="166"/>
    <x v="200"/>
    <x v="116"/>
    <x v="200"/>
    <x v="28"/>
    <x v="8"/>
  </r>
  <r>
    <x v="201"/>
    <x v="181"/>
    <x v="0"/>
    <x v="4"/>
    <x v="11"/>
    <x v="0"/>
    <x v="0"/>
    <x v="194"/>
    <x v="201"/>
    <x v="0"/>
    <x v="201"/>
    <x v="29"/>
    <x v="2"/>
  </r>
  <r>
    <x v="202"/>
    <x v="182"/>
    <x v="0"/>
    <x v="4"/>
    <x v="11"/>
    <x v="0"/>
    <x v="2"/>
    <x v="195"/>
    <x v="202"/>
    <x v="94"/>
    <x v="202"/>
    <x v="28"/>
    <x v="6"/>
  </r>
  <r>
    <x v="203"/>
    <x v="183"/>
    <x v="1"/>
    <x v="5"/>
    <x v="29"/>
    <x v="0"/>
    <x v="1"/>
    <x v="196"/>
    <x v="203"/>
    <x v="117"/>
    <x v="203"/>
    <x v="27"/>
    <x v="9"/>
  </r>
  <r>
    <x v="204"/>
    <x v="184"/>
    <x v="1"/>
    <x v="3"/>
    <x v="19"/>
    <x v="0"/>
    <x v="3"/>
    <x v="197"/>
    <x v="204"/>
    <x v="118"/>
    <x v="204"/>
    <x v="26"/>
    <x v="5"/>
  </r>
  <r>
    <x v="205"/>
    <x v="185"/>
    <x v="1"/>
    <x v="4"/>
    <x v="4"/>
    <x v="2"/>
    <x v="3"/>
    <x v="198"/>
    <x v="205"/>
    <x v="85"/>
    <x v="205"/>
    <x v="25"/>
    <x v="8"/>
  </r>
  <r>
    <x v="206"/>
    <x v="69"/>
    <x v="1"/>
    <x v="4"/>
    <x v="5"/>
    <x v="0"/>
    <x v="3"/>
    <x v="199"/>
    <x v="206"/>
    <x v="119"/>
    <x v="206"/>
    <x v="24"/>
    <x v="5"/>
  </r>
  <r>
    <x v="207"/>
    <x v="120"/>
    <x v="1"/>
    <x v="3"/>
    <x v="19"/>
    <x v="0"/>
    <x v="0"/>
    <x v="200"/>
    <x v="207"/>
    <x v="100"/>
    <x v="207"/>
    <x v="23"/>
    <x v="9"/>
  </r>
  <r>
    <x v="208"/>
    <x v="186"/>
    <x v="1"/>
    <x v="4"/>
    <x v="9"/>
    <x v="0"/>
    <x v="3"/>
    <x v="201"/>
    <x v="208"/>
    <x v="52"/>
    <x v="208"/>
    <x v="22"/>
    <x v="4"/>
  </r>
  <r>
    <x v="209"/>
    <x v="187"/>
    <x v="2"/>
    <x v="4"/>
    <x v="12"/>
    <x v="0"/>
    <x v="5"/>
    <x v="202"/>
    <x v="209"/>
    <x v="120"/>
    <x v="209"/>
    <x v="23"/>
    <x v="7"/>
  </r>
  <r>
    <x v="210"/>
    <x v="188"/>
    <x v="1"/>
    <x v="7"/>
    <x v="32"/>
    <x v="0"/>
    <x v="2"/>
    <x v="203"/>
    <x v="210"/>
    <x v="77"/>
    <x v="210"/>
    <x v="24"/>
    <x v="8"/>
  </r>
  <r>
    <x v="211"/>
    <x v="189"/>
    <x v="0"/>
    <x v="2"/>
    <x v="8"/>
    <x v="1"/>
    <x v="1"/>
    <x v="204"/>
    <x v="211"/>
    <x v="121"/>
    <x v="211"/>
    <x v="23"/>
    <x v="9"/>
  </r>
  <r>
    <x v="212"/>
    <x v="190"/>
    <x v="1"/>
    <x v="3"/>
    <x v="7"/>
    <x v="0"/>
    <x v="4"/>
    <x v="205"/>
    <x v="212"/>
    <x v="122"/>
    <x v="212"/>
    <x v="22"/>
    <x v="9"/>
  </r>
  <r>
    <x v="213"/>
    <x v="191"/>
    <x v="1"/>
    <x v="6"/>
    <x v="31"/>
    <x v="2"/>
    <x v="4"/>
    <x v="206"/>
    <x v="213"/>
    <x v="123"/>
    <x v="213"/>
    <x v="21"/>
    <x v="8"/>
  </r>
  <r>
    <x v="214"/>
    <x v="192"/>
    <x v="0"/>
    <x v="2"/>
    <x v="30"/>
    <x v="0"/>
    <x v="4"/>
    <x v="207"/>
    <x v="214"/>
    <x v="124"/>
    <x v="214"/>
    <x v="22"/>
    <x v="8"/>
  </r>
  <r>
    <x v="215"/>
    <x v="193"/>
    <x v="3"/>
    <x v="6"/>
    <x v="13"/>
    <x v="0"/>
    <x v="0"/>
    <x v="208"/>
    <x v="215"/>
    <x v="0"/>
    <x v="215"/>
    <x v="23"/>
    <x v="1"/>
  </r>
  <r>
    <x v="216"/>
    <x v="194"/>
    <x v="0"/>
    <x v="0"/>
    <x v="0"/>
    <x v="0"/>
    <x v="0"/>
    <x v="209"/>
    <x v="216"/>
    <x v="30"/>
    <x v="216"/>
    <x v="22"/>
    <x v="8"/>
  </r>
  <r>
    <x v="217"/>
    <x v="195"/>
    <x v="0"/>
    <x v="2"/>
    <x v="30"/>
    <x v="0"/>
    <x v="0"/>
    <x v="210"/>
    <x v="217"/>
    <x v="44"/>
    <x v="217"/>
    <x v="21"/>
    <x v="8"/>
  </r>
  <r>
    <x v="218"/>
    <x v="98"/>
    <x v="1"/>
    <x v="3"/>
    <x v="3"/>
    <x v="0"/>
    <x v="4"/>
    <x v="211"/>
    <x v="218"/>
    <x v="125"/>
    <x v="218"/>
    <x v="22"/>
    <x v="0"/>
  </r>
  <r>
    <x v="219"/>
    <x v="196"/>
    <x v="1"/>
    <x v="5"/>
    <x v="29"/>
    <x v="0"/>
    <x v="4"/>
    <x v="212"/>
    <x v="219"/>
    <x v="84"/>
    <x v="219"/>
    <x v="21"/>
    <x v="8"/>
  </r>
  <r>
    <x v="220"/>
    <x v="134"/>
    <x v="0"/>
    <x v="3"/>
    <x v="27"/>
    <x v="0"/>
    <x v="3"/>
    <x v="213"/>
    <x v="220"/>
    <x v="126"/>
    <x v="220"/>
    <x v="22"/>
    <x v="1"/>
  </r>
  <r>
    <x v="221"/>
    <x v="197"/>
    <x v="0"/>
    <x v="7"/>
    <x v="25"/>
    <x v="0"/>
    <x v="4"/>
    <x v="214"/>
    <x v="221"/>
    <x v="34"/>
    <x v="221"/>
    <x v="23"/>
    <x v="7"/>
  </r>
  <r>
    <x v="222"/>
    <x v="198"/>
    <x v="1"/>
    <x v="4"/>
    <x v="9"/>
    <x v="0"/>
    <x v="0"/>
    <x v="215"/>
    <x v="222"/>
    <x v="127"/>
    <x v="222"/>
    <x v="24"/>
    <x v="1"/>
  </r>
  <r>
    <x v="223"/>
    <x v="86"/>
    <x v="0"/>
    <x v="0"/>
    <x v="15"/>
    <x v="0"/>
    <x v="5"/>
    <x v="216"/>
    <x v="223"/>
    <x v="60"/>
    <x v="223"/>
    <x v="25"/>
    <x v="5"/>
  </r>
  <r>
    <x v="224"/>
    <x v="166"/>
    <x v="1"/>
    <x v="6"/>
    <x v="22"/>
    <x v="2"/>
    <x v="3"/>
    <x v="217"/>
    <x v="224"/>
    <x v="128"/>
    <x v="224"/>
    <x v="26"/>
    <x v="0"/>
  </r>
  <r>
    <x v="225"/>
    <x v="199"/>
    <x v="0"/>
    <x v="6"/>
    <x v="31"/>
    <x v="0"/>
    <x v="3"/>
    <x v="218"/>
    <x v="225"/>
    <x v="129"/>
    <x v="225"/>
    <x v="27"/>
    <x v="6"/>
  </r>
  <r>
    <x v="226"/>
    <x v="30"/>
    <x v="1"/>
    <x v="1"/>
    <x v="1"/>
    <x v="0"/>
    <x v="2"/>
    <x v="219"/>
    <x v="226"/>
    <x v="60"/>
    <x v="226"/>
    <x v="28"/>
    <x v="5"/>
  </r>
  <r>
    <x v="227"/>
    <x v="200"/>
    <x v="0"/>
    <x v="0"/>
    <x v="0"/>
    <x v="0"/>
    <x v="2"/>
    <x v="220"/>
    <x v="227"/>
    <x v="130"/>
    <x v="227"/>
    <x v="27"/>
    <x v="1"/>
  </r>
  <r>
    <x v="228"/>
    <x v="201"/>
    <x v="1"/>
    <x v="5"/>
    <x v="6"/>
    <x v="0"/>
    <x v="5"/>
    <x v="221"/>
    <x v="228"/>
    <x v="131"/>
    <x v="228"/>
    <x v="26"/>
    <x v="9"/>
  </r>
  <r>
    <x v="229"/>
    <x v="202"/>
    <x v="0"/>
    <x v="3"/>
    <x v="19"/>
    <x v="0"/>
    <x v="1"/>
    <x v="222"/>
    <x v="229"/>
    <x v="49"/>
    <x v="229"/>
    <x v="27"/>
    <x v="2"/>
  </r>
  <r>
    <x v="230"/>
    <x v="203"/>
    <x v="1"/>
    <x v="5"/>
    <x v="6"/>
    <x v="0"/>
    <x v="4"/>
    <x v="223"/>
    <x v="230"/>
    <x v="132"/>
    <x v="230"/>
    <x v="28"/>
    <x v="2"/>
  </r>
  <r>
    <x v="231"/>
    <x v="204"/>
    <x v="1"/>
    <x v="7"/>
    <x v="25"/>
    <x v="0"/>
    <x v="4"/>
    <x v="224"/>
    <x v="231"/>
    <x v="0"/>
    <x v="231"/>
    <x v="29"/>
    <x v="2"/>
  </r>
  <r>
    <x v="232"/>
    <x v="57"/>
    <x v="0"/>
    <x v="7"/>
    <x v="25"/>
    <x v="0"/>
    <x v="4"/>
    <x v="225"/>
    <x v="232"/>
    <x v="6"/>
    <x v="232"/>
    <x v="30"/>
    <x v="10"/>
  </r>
  <r>
    <x v="233"/>
    <x v="205"/>
    <x v="0"/>
    <x v="7"/>
    <x v="25"/>
    <x v="0"/>
    <x v="3"/>
    <x v="226"/>
    <x v="233"/>
    <x v="133"/>
    <x v="233"/>
    <x v="29"/>
    <x v="6"/>
  </r>
  <r>
    <x v="234"/>
    <x v="206"/>
    <x v="1"/>
    <x v="4"/>
    <x v="5"/>
    <x v="0"/>
    <x v="3"/>
    <x v="227"/>
    <x v="234"/>
    <x v="134"/>
    <x v="234"/>
    <x v="28"/>
    <x v="6"/>
  </r>
  <r>
    <x v="235"/>
    <x v="207"/>
    <x v="1"/>
    <x v="2"/>
    <x v="8"/>
    <x v="0"/>
    <x v="0"/>
    <x v="228"/>
    <x v="235"/>
    <x v="58"/>
    <x v="235"/>
    <x v="27"/>
    <x v="8"/>
  </r>
  <r>
    <x v="236"/>
    <x v="19"/>
    <x v="0"/>
    <x v="6"/>
    <x v="16"/>
    <x v="0"/>
    <x v="0"/>
    <x v="229"/>
    <x v="236"/>
    <x v="63"/>
    <x v="236"/>
    <x v="28"/>
    <x v="1"/>
  </r>
  <r>
    <x v="237"/>
    <x v="208"/>
    <x v="1"/>
    <x v="4"/>
    <x v="20"/>
    <x v="0"/>
    <x v="0"/>
    <x v="230"/>
    <x v="237"/>
    <x v="109"/>
    <x v="237"/>
    <x v="29"/>
    <x v="4"/>
  </r>
  <r>
    <x v="238"/>
    <x v="209"/>
    <x v="0"/>
    <x v="3"/>
    <x v="27"/>
    <x v="0"/>
    <x v="3"/>
    <x v="231"/>
    <x v="238"/>
    <x v="118"/>
    <x v="238"/>
    <x v="30"/>
    <x v="0"/>
  </r>
  <r>
    <x v="239"/>
    <x v="210"/>
    <x v="0"/>
    <x v="4"/>
    <x v="11"/>
    <x v="0"/>
    <x v="1"/>
    <x v="232"/>
    <x v="239"/>
    <x v="135"/>
    <x v="239"/>
    <x v="31"/>
    <x v="6"/>
  </r>
  <r>
    <x v="240"/>
    <x v="211"/>
    <x v="1"/>
    <x v="1"/>
    <x v="10"/>
    <x v="2"/>
    <x v="4"/>
    <x v="233"/>
    <x v="240"/>
    <x v="0"/>
    <x v="240"/>
    <x v="30"/>
    <x v="9"/>
  </r>
  <r>
    <x v="241"/>
    <x v="212"/>
    <x v="0"/>
    <x v="1"/>
    <x v="10"/>
    <x v="0"/>
    <x v="3"/>
    <x v="113"/>
    <x v="241"/>
    <x v="87"/>
    <x v="241"/>
    <x v="31"/>
    <x v="8"/>
  </r>
  <r>
    <x v="242"/>
    <x v="143"/>
    <x v="1"/>
    <x v="1"/>
    <x v="10"/>
    <x v="2"/>
    <x v="4"/>
    <x v="234"/>
    <x v="242"/>
    <x v="88"/>
    <x v="242"/>
    <x v="30"/>
    <x v="0"/>
  </r>
  <r>
    <x v="243"/>
    <x v="213"/>
    <x v="0"/>
    <x v="0"/>
    <x v="15"/>
    <x v="2"/>
    <x v="2"/>
    <x v="14"/>
    <x v="243"/>
    <x v="136"/>
    <x v="243"/>
    <x v="29"/>
    <x v="0"/>
  </r>
  <r>
    <x v="244"/>
    <x v="6"/>
    <x v="1"/>
    <x v="4"/>
    <x v="5"/>
    <x v="0"/>
    <x v="5"/>
    <x v="235"/>
    <x v="244"/>
    <x v="137"/>
    <x v="244"/>
    <x v="30"/>
    <x v="9"/>
  </r>
  <r>
    <x v="245"/>
    <x v="214"/>
    <x v="0"/>
    <x v="1"/>
    <x v="1"/>
    <x v="0"/>
    <x v="0"/>
    <x v="236"/>
    <x v="245"/>
    <x v="7"/>
    <x v="245"/>
    <x v="29"/>
    <x v="3"/>
  </r>
  <r>
    <x v="246"/>
    <x v="215"/>
    <x v="1"/>
    <x v="0"/>
    <x v="0"/>
    <x v="1"/>
    <x v="4"/>
    <x v="237"/>
    <x v="246"/>
    <x v="0"/>
    <x v="246"/>
    <x v="28"/>
    <x v="5"/>
  </r>
  <r>
    <x v="247"/>
    <x v="96"/>
    <x v="1"/>
    <x v="1"/>
    <x v="21"/>
    <x v="0"/>
    <x v="1"/>
    <x v="238"/>
    <x v="247"/>
    <x v="138"/>
    <x v="247"/>
    <x v="27"/>
    <x v="4"/>
  </r>
  <r>
    <x v="248"/>
    <x v="216"/>
    <x v="0"/>
    <x v="1"/>
    <x v="10"/>
    <x v="0"/>
    <x v="3"/>
    <x v="239"/>
    <x v="248"/>
    <x v="54"/>
    <x v="248"/>
    <x v="26"/>
    <x v="4"/>
  </r>
  <r>
    <x v="249"/>
    <x v="217"/>
    <x v="1"/>
    <x v="5"/>
    <x v="17"/>
    <x v="2"/>
    <x v="2"/>
    <x v="122"/>
    <x v="249"/>
    <x v="139"/>
    <x v="249"/>
    <x v="25"/>
    <x v="4"/>
  </r>
  <r>
    <x v="250"/>
    <x v="218"/>
    <x v="1"/>
    <x v="6"/>
    <x v="31"/>
    <x v="0"/>
    <x v="2"/>
    <x v="240"/>
    <x v="250"/>
    <x v="140"/>
    <x v="250"/>
    <x v="24"/>
    <x v="2"/>
  </r>
  <r>
    <x v="251"/>
    <x v="219"/>
    <x v="0"/>
    <x v="0"/>
    <x v="24"/>
    <x v="0"/>
    <x v="0"/>
    <x v="241"/>
    <x v="251"/>
    <x v="7"/>
    <x v="251"/>
    <x v="25"/>
    <x v="6"/>
  </r>
  <r>
    <x v="252"/>
    <x v="220"/>
    <x v="1"/>
    <x v="5"/>
    <x v="29"/>
    <x v="0"/>
    <x v="4"/>
    <x v="242"/>
    <x v="252"/>
    <x v="56"/>
    <x v="252"/>
    <x v="24"/>
    <x v="2"/>
  </r>
  <r>
    <x v="253"/>
    <x v="221"/>
    <x v="1"/>
    <x v="6"/>
    <x v="13"/>
    <x v="0"/>
    <x v="2"/>
    <x v="243"/>
    <x v="253"/>
    <x v="67"/>
    <x v="253"/>
    <x v="23"/>
    <x v="2"/>
  </r>
  <r>
    <x v="254"/>
    <x v="222"/>
    <x v="3"/>
    <x v="4"/>
    <x v="5"/>
    <x v="2"/>
    <x v="0"/>
    <x v="244"/>
    <x v="254"/>
    <x v="141"/>
    <x v="254"/>
    <x v="22"/>
    <x v="1"/>
  </r>
  <r>
    <x v="255"/>
    <x v="223"/>
    <x v="3"/>
    <x v="7"/>
    <x v="32"/>
    <x v="2"/>
    <x v="3"/>
    <x v="245"/>
    <x v="255"/>
    <x v="28"/>
    <x v="255"/>
    <x v="23"/>
    <x v="2"/>
  </r>
  <r>
    <x v="256"/>
    <x v="224"/>
    <x v="1"/>
    <x v="1"/>
    <x v="21"/>
    <x v="0"/>
    <x v="3"/>
    <x v="246"/>
    <x v="256"/>
    <x v="20"/>
    <x v="256"/>
    <x v="22"/>
    <x v="9"/>
  </r>
  <r>
    <x v="257"/>
    <x v="225"/>
    <x v="1"/>
    <x v="2"/>
    <x v="8"/>
    <x v="2"/>
    <x v="0"/>
    <x v="247"/>
    <x v="257"/>
    <x v="98"/>
    <x v="257"/>
    <x v="21"/>
    <x v="8"/>
  </r>
  <r>
    <x v="258"/>
    <x v="76"/>
    <x v="1"/>
    <x v="7"/>
    <x v="25"/>
    <x v="0"/>
    <x v="1"/>
    <x v="248"/>
    <x v="258"/>
    <x v="142"/>
    <x v="258"/>
    <x v="33"/>
    <x v="8"/>
  </r>
  <r>
    <x v="259"/>
    <x v="226"/>
    <x v="0"/>
    <x v="4"/>
    <x v="20"/>
    <x v="2"/>
    <x v="3"/>
    <x v="249"/>
    <x v="259"/>
    <x v="143"/>
    <x v="259"/>
    <x v="21"/>
    <x v="0"/>
  </r>
  <r>
    <x v="260"/>
    <x v="136"/>
    <x v="0"/>
    <x v="3"/>
    <x v="7"/>
    <x v="1"/>
    <x v="0"/>
    <x v="250"/>
    <x v="260"/>
    <x v="103"/>
    <x v="260"/>
    <x v="22"/>
    <x v="0"/>
  </r>
  <r>
    <x v="261"/>
    <x v="227"/>
    <x v="0"/>
    <x v="1"/>
    <x v="10"/>
    <x v="0"/>
    <x v="2"/>
    <x v="251"/>
    <x v="261"/>
    <x v="130"/>
    <x v="261"/>
    <x v="21"/>
    <x v="6"/>
  </r>
  <r>
    <x v="262"/>
    <x v="115"/>
    <x v="1"/>
    <x v="4"/>
    <x v="9"/>
    <x v="0"/>
    <x v="5"/>
    <x v="241"/>
    <x v="262"/>
    <x v="0"/>
    <x v="262"/>
    <x v="33"/>
    <x v="6"/>
  </r>
  <r>
    <x v="263"/>
    <x v="218"/>
    <x v="1"/>
    <x v="7"/>
    <x v="32"/>
    <x v="2"/>
    <x v="5"/>
    <x v="252"/>
    <x v="263"/>
    <x v="144"/>
    <x v="263"/>
    <x v="17"/>
    <x v="9"/>
  </r>
  <r>
    <x v="264"/>
    <x v="228"/>
    <x v="0"/>
    <x v="5"/>
    <x v="29"/>
    <x v="1"/>
    <x v="5"/>
    <x v="253"/>
    <x v="264"/>
    <x v="21"/>
    <x v="264"/>
    <x v="33"/>
    <x v="8"/>
  </r>
  <r>
    <x v="265"/>
    <x v="229"/>
    <x v="0"/>
    <x v="2"/>
    <x v="23"/>
    <x v="2"/>
    <x v="4"/>
    <x v="254"/>
    <x v="265"/>
    <x v="68"/>
    <x v="265"/>
    <x v="17"/>
    <x v="0"/>
  </r>
  <r>
    <x v="266"/>
    <x v="230"/>
    <x v="0"/>
    <x v="2"/>
    <x v="8"/>
    <x v="2"/>
    <x v="0"/>
    <x v="255"/>
    <x v="266"/>
    <x v="112"/>
    <x v="266"/>
    <x v="34"/>
    <x v="1"/>
  </r>
  <r>
    <x v="267"/>
    <x v="73"/>
    <x v="2"/>
    <x v="2"/>
    <x v="8"/>
    <x v="0"/>
    <x v="3"/>
    <x v="256"/>
    <x v="267"/>
    <x v="29"/>
    <x v="267"/>
    <x v="11"/>
    <x v="0"/>
  </r>
  <r>
    <x v="268"/>
    <x v="25"/>
    <x v="0"/>
    <x v="0"/>
    <x v="28"/>
    <x v="0"/>
    <x v="3"/>
    <x v="257"/>
    <x v="268"/>
    <x v="145"/>
    <x v="268"/>
    <x v="35"/>
    <x v="5"/>
  </r>
  <r>
    <x v="269"/>
    <x v="231"/>
    <x v="1"/>
    <x v="6"/>
    <x v="22"/>
    <x v="0"/>
    <x v="1"/>
    <x v="258"/>
    <x v="269"/>
    <x v="80"/>
    <x v="269"/>
    <x v="7"/>
    <x v="4"/>
  </r>
  <r>
    <x v="270"/>
    <x v="232"/>
    <x v="0"/>
    <x v="5"/>
    <x v="17"/>
    <x v="1"/>
    <x v="2"/>
    <x v="259"/>
    <x v="270"/>
    <x v="10"/>
    <x v="270"/>
    <x v="35"/>
    <x v="1"/>
  </r>
  <r>
    <x v="271"/>
    <x v="56"/>
    <x v="1"/>
    <x v="5"/>
    <x v="6"/>
    <x v="0"/>
    <x v="3"/>
    <x v="260"/>
    <x v="271"/>
    <x v="136"/>
    <x v="271"/>
    <x v="7"/>
    <x v="4"/>
  </r>
  <r>
    <x v="272"/>
    <x v="3"/>
    <x v="0"/>
    <x v="5"/>
    <x v="6"/>
    <x v="1"/>
    <x v="1"/>
    <x v="261"/>
    <x v="272"/>
    <x v="114"/>
    <x v="272"/>
    <x v="6"/>
    <x v="3"/>
  </r>
  <r>
    <x v="273"/>
    <x v="233"/>
    <x v="0"/>
    <x v="1"/>
    <x v="21"/>
    <x v="0"/>
    <x v="0"/>
    <x v="262"/>
    <x v="273"/>
    <x v="146"/>
    <x v="273"/>
    <x v="7"/>
    <x v="8"/>
  </r>
  <r>
    <x v="274"/>
    <x v="234"/>
    <x v="1"/>
    <x v="7"/>
    <x v="32"/>
    <x v="0"/>
    <x v="4"/>
    <x v="263"/>
    <x v="274"/>
    <x v="26"/>
    <x v="274"/>
    <x v="6"/>
    <x v="4"/>
  </r>
  <r>
    <x v="275"/>
    <x v="228"/>
    <x v="1"/>
    <x v="7"/>
    <x v="25"/>
    <x v="2"/>
    <x v="3"/>
    <x v="264"/>
    <x v="275"/>
    <x v="147"/>
    <x v="275"/>
    <x v="7"/>
    <x v="4"/>
  </r>
  <r>
    <x v="276"/>
    <x v="11"/>
    <x v="1"/>
    <x v="5"/>
    <x v="29"/>
    <x v="2"/>
    <x v="2"/>
    <x v="265"/>
    <x v="276"/>
    <x v="148"/>
    <x v="276"/>
    <x v="6"/>
    <x v="5"/>
  </r>
  <r>
    <x v="277"/>
    <x v="49"/>
    <x v="0"/>
    <x v="3"/>
    <x v="27"/>
    <x v="0"/>
    <x v="4"/>
    <x v="266"/>
    <x v="277"/>
    <x v="76"/>
    <x v="277"/>
    <x v="5"/>
    <x v="5"/>
  </r>
  <r>
    <x v="278"/>
    <x v="235"/>
    <x v="1"/>
    <x v="2"/>
    <x v="23"/>
    <x v="0"/>
    <x v="5"/>
    <x v="267"/>
    <x v="278"/>
    <x v="21"/>
    <x v="278"/>
    <x v="4"/>
    <x v="9"/>
  </r>
  <r>
    <x v="279"/>
    <x v="236"/>
    <x v="0"/>
    <x v="5"/>
    <x v="17"/>
    <x v="0"/>
    <x v="0"/>
    <x v="268"/>
    <x v="279"/>
    <x v="118"/>
    <x v="279"/>
    <x v="3"/>
    <x v="3"/>
  </r>
  <r>
    <x v="280"/>
    <x v="237"/>
    <x v="0"/>
    <x v="5"/>
    <x v="17"/>
    <x v="0"/>
    <x v="2"/>
    <x v="269"/>
    <x v="280"/>
    <x v="0"/>
    <x v="280"/>
    <x v="4"/>
    <x v="6"/>
  </r>
  <r>
    <x v="281"/>
    <x v="238"/>
    <x v="1"/>
    <x v="0"/>
    <x v="28"/>
    <x v="0"/>
    <x v="3"/>
    <x v="270"/>
    <x v="281"/>
    <x v="149"/>
    <x v="281"/>
    <x v="5"/>
    <x v="2"/>
  </r>
  <r>
    <x v="282"/>
    <x v="239"/>
    <x v="0"/>
    <x v="0"/>
    <x v="24"/>
    <x v="0"/>
    <x v="0"/>
    <x v="271"/>
    <x v="282"/>
    <x v="46"/>
    <x v="282"/>
    <x v="6"/>
    <x v="4"/>
  </r>
  <r>
    <x v="283"/>
    <x v="240"/>
    <x v="1"/>
    <x v="4"/>
    <x v="11"/>
    <x v="0"/>
    <x v="4"/>
    <x v="272"/>
    <x v="283"/>
    <x v="150"/>
    <x v="283"/>
    <x v="7"/>
    <x v="6"/>
  </r>
  <r>
    <x v="284"/>
    <x v="241"/>
    <x v="1"/>
    <x v="7"/>
    <x v="32"/>
    <x v="0"/>
    <x v="4"/>
    <x v="273"/>
    <x v="284"/>
    <x v="43"/>
    <x v="284"/>
    <x v="6"/>
    <x v="5"/>
  </r>
  <r>
    <x v="285"/>
    <x v="65"/>
    <x v="0"/>
    <x v="4"/>
    <x v="20"/>
    <x v="0"/>
    <x v="4"/>
    <x v="274"/>
    <x v="285"/>
    <x v="10"/>
    <x v="285"/>
    <x v="5"/>
    <x v="1"/>
  </r>
  <r>
    <x v="286"/>
    <x v="242"/>
    <x v="0"/>
    <x v="0"/>
    <x v="0"/>
    <x v="0"/>
    <x v="4"/>
    <x v="275"/>
    <x v="286"/>
    <x v="0"/>
    <x v="286"/>
    <x v="6"/>
    <x v="1"/>
  </r>
  <r>
    <x v="287"/>
    <x v="243"/>
    <x v="1"/>
    <x v="7"/>
    <x v="32"/>
    <x v="0"/>
    <x v="1"/>
    <x v="276"/>
    <x v="287"/>
    <x v="104"/>
    <x v="287"/>
    <x v="5"/>
    <x v="8"/>
  </r>
  <r>
    <x v="288"/>
    <x v="244"/>
    <x v="1"/>
    <x v="6"/>
    <x v="13"/>
    <x v="0"/>
    <x v="3"/>
    <x v="277"/>
    <x v="288"/>
    <x v="29"/>
    <x v="288"/>
    <x v="6"/>
    <x v="3"/>
  </r>
  <r>
    <x v="289"/>
    <x v="245"/>
    <x v="1"/>
    <x v="3"/>
    <x v="7"/>
    <x v="2"/>
    <x v="5"/>
    <x v="278"/>
    <x v="289"/>
    <x v="124"/>
    <x v="289"/>
    <x v="7"/>
    <x v="3"/>
  </r>
  <r>
    <x v="290"/>
    <x v="199"/>
    <x v="1"/>
    <x v="4"/>
    <x v="9"/>
    <x v="2"/>
    <x v="4"/>
    <x v="279"/>
    <x v="290"/>
    <x v="123"/>
    <x v="290"/>
    <x v="6"/>
    <x v="1"/>
  </r>
  <r>
    <x v="291"/>
    <x v="246"/>
    <x v="0"/>
    <x v="4"/>
    <x v="11"/>
    <x v="2"/>
    <x v="4"/>
    <x v="280"/>
    <x v="291"/>
    <x v="149"/>
    <x v="291"/>
    <x v="5"/>
    <x v="2"/>
  </r>
  <r>
    <x v="292"/>
    <x v="247"/>
    <x v="0"/>
    <x v="5"/>
    <x v="17"/>
    <x v="0"/>
    <x v="2"/>
    <x v="281"/>
    <x v="292"/>
    <x v="100"/>
    <x v="292"/>
    <x v="4"/>
    <x v="0"/>
  </r>
  <r>
    <x v="293"/>
    <x v="248"/>
    <x v="1"/>
    <x v="0"/>
    <x v="28"/>
    <x v="0"/>
    <x v="5"/>
    <x v="282"/>
    <x v="293"/>
    <x v="151"/>
    <x v="293"/>
    <x v="3"/>
    <x v="5"/>
  </r>
  <r>
    <x v="294"/>
    <x v="249"/>
    <x v="0"/>
    <x v="4"/>
    <x v="4"/>
    <x v="0"/>
    <x v="3"/>
    <x v="283"/>
    <x v="294"/>
    <x v="152"/>
    <x v="294"/>
    <x v="4"/>
    <x v="4"/>
  </r>
  <r>
    <x v="295"/>
    <x v="66"/>
    <x v="0"/>
    <x v="7"/>
    <x v="25"/>
    <x v="0"/>
    <x v="4"/>
    <x v="284"/>
    <x v="295"/>
    <x v="133"/>
    <x v="295"/>
    <x v="5"/>
    <x v="8"/>
  </r>
  <r>
    <x v="296"/>
    <x v="250"/>
    <x v="1"/>
    <x v="2"/>
    <x v="23"/>
    <x v="0"/>
    <x v="3"/>
    <x v="285"/>
    <x v="296"/>
    <x v="136"/>
    <x v="296"/>
    <x v="4"/>
    <x v="0"/>
  </r>
  <r>
    <x v="297"/>
    <x v="220"/>
    <x v="1"/>
    <x v="4"/>
    <x v="11"/>
    <x v="0"/>
    <x v="4"/>
    <x v="286"/>
    <x v="297"/>
    <x v="0"/>
    <x v="297"/>
    <x v="5"/>
    <x v="10"/>
  </r>
  <r>
    <x v="298"/>
    <x v="251"/>
    <x v="1"/>
    <x v="3"/>
    <x v="3"/>
    <x v="0"/>
    <x v="1"/>
    <x v="287"/>
    <x v="298"/>
    <x v="153"/>
    <x v="298"/>
    <x v="4"/>
    <x v="5"/>
  </r>
  <r>
    <x v="299"/>
    <x v="215"/>
    <x v="0"/>
    <x v="4"/>
    <x v="5"/>
    <x v="0"/>
    <x v="5"/>
    <x v="288"/>
    <x v="299"/>
    <x v="127"/>
    <x v="299"/>
    <x v="3"/>
    <x v="2"/>
  </r>
  <r>
    <x v="300"/>
    <x v="252"/>
    <x v="0"/>
    <x v="4"/>
    <x v="11"/>
    <x v="0"/>
    <x v="5"/>
    <x v="289"/>
    <x v="300"/>
    <x v="154"/>
    <x v="300"/>
    <x v="36"/>
    <x v="5"/>
  </r>
  <r>
    <x v="301"/>
    <x v="6"/>
    <x v="1"/>
    <x v="7"/>
    <x v="26"/>
    <x v="0"/>
    <x v="0"/>
    <x v="204"/>
    <x v="301"/>
    <x v="30"/>
    <x v="301"/>
    <x v="3"/>
    <x v="9"/>
  </r>
  <r>
    <x v="302"/>
    <x v="253"/>
    <x v="0"/>
    <x v="7"/>
    <x v="25"/>
    <x v="2"/>
    <x v="0"/>
    <x v="290"/>
    <x v="302"/>
    <x v="155"/>
    <x v="302"/>
    <x v="4"/>
    <x v="6"/>
  </r>
  <r>
    <x v="303"/>
    <x v="156"/>
    <x v="0"/>
    <x v="3"/>
    <x v="19"/>
    <x v="0"/>
    <x v="1"/>
    <x v="291"/>
    <x v="303"/>
    <x v="156"/>
    <x v="303"/>
    <x v="3"/>
    <x v="9"/>
  </r>
  <r>
    <x v="304"/>
    <x v="142"/>
    <x v="1"/>
    <x v="2"/>
    <x v="30"/>
    <x v="0"/>
    <x v="0"/>
    <x v="292"/>
    <x v="304"/>
    <x v="0"/>
    <x v="304"/>
    <x v="36"/>
    <x v="5"/>
  </r>
  <r>
    <x v="305"/>
    <x v="254"/>
    <x v="1"/>
    <x v="1"/>
    <x v="10"/>
    <x v="0"/>
    <x v="2"/>
    <x v="293"/>
    <x v="305"/>
    <x v="127"/>
    <x v="305"/>
    <x v="37"/>
    <x v="2"/>
  </r>
  <r>
    <x v="306"/>
    <x v="255"/>
    <x v="1"/>
    <x v="7"/>
    <x v="18"/>
    <x v="0"/>
    <x v="5"/>
    <x v="294"/>
    <x v="306"/>
    <x v="150"/>
    <x v="306"/>
    <x v="38"/>
    <x v="2"/>
  </r>
  <r>
    <x v="307"/>
    <x v="256"/>
    <x v="0"/>
    <x v="0"/>
    <x v="28"/>
    <x v="0"/>
    <x v="2"/>
    <x v="295"/>
    <x v="307"/>
    <x v="110"/>
    <x v="307"/>
    <x v="39"/>
    <x v="6"/>
  </r>
  <r>
    <x v="308"/>
    <x v="257"/>
    <x v="0"/>
    <x v="5"/>
    <x v="29"/>
    <x v="0"/>
    <x v="1"/>
    <x v="286"/>
    <x v="308"/>
    <x v="119"/>
    <x v="308"/>
    <x v="40"/>
    <x v="10"/>
  </r>
  <r>
    <x v="309"/>
    <x v="258"/>
    <x v="0"/>
    <x v="6"/>
    <x v="16"/>
    <x v="0"/>
    <x v="5"/>
    <x v="296"/>
    <x v="309"/>
    <x v="66"/>
    <x v="309"/>
    <x v="41"/>
    <x v="3"/>
  </r>
  <r>
    <x v="310"/>
    <x v="259"/>
    <x v="0"/>
    <x v="0"/>
    <x v="0"/>
    <x v="0"/>
    <x v="2"/>
    <x v="297"/>
    <x v="310"/>
    <x v="0"/>
    <x v="310"/>
    <x v="42"/>
    <x v="9"/>
  </r>
  <r>
    <x v="311"/>
    <x v="92"/>
    <x v="1"/>
    <x v="4"/>
    <x v="4"/>
    <x v="0"/>
    <x v="4"/>
    <x v="298"/>
    <x v="311"/>
    <x v="59"/>
    <x v="311"/>
    <x v="41"/>
    <x v="4"/>
  </r>
  <r>
    <x v="312"/>
    <x v="260"/>
    <x v="1"/>
    <x v="4"/>
    <x v="20"/>
    <x v="0"/>
    <x v="4"/>
    <x v="299"/>
    <x v="312"/>
    <x v="56"/>
    <x v="312"/>
    <x v="40"/>
    <x v="6"/>
  </r>
  <r>
    <x v="313"/>
    <x v="261"/>
    <x v="1"/>
    <x v="1"/>
    <x v="10"/>
    <x v="2"/>
    <x v="4"/>
    <x v="300"/>
    <x v="313"/>
    <x v="154"/>
    <x v="313"/>
    <x v="39"/>
    <x v="6"/>
  </r>
  <r>
    <x v="314"/>
    <x v="151"/>
    <x v="0"/>
    <x v="5"/>
    <x v="17"/>
    <x v="0"/>
    <x v="1"/>
    <x v="301"/>
    <x v="314"/>
    <x v="35"/>
    <x v="314"/>
    <x v="40"/>
    <x v="4"/>
  </r>
  <r>
    <x v="315"/>
    <x v="262"/>
    <x v="0"/>
    <x v="2"/>
    <x v="30"/>
    <x v="0"/>
    <x v="0"/>
    <x v="302"/>
    <x v="315"/>
    <x v="88"/>
    <x v="315"/>
    <x v="41"/>
    <x v="3"/>
  </r>
  <r>
    <x v="316"/>
    <x v="263"/>
    <x v="1"/>
    <x v="0"/>
    <x v="24"/>
    <x v="0"/>
    <x v="3"/>
    <x v="303"/>
    <x v="316"/>
    <x v="157"/>
    <x v="316"/>
    <x v="40"/>
    <x v="1"/>
  </r>
  <r>
    <x v="317"/>
    <x v="264"/>
    <x v="0"/>
    <x v="4"/>
    <x v="5"/>
    <x v="2"/>
    <x v="1"/>
    <x v="304"/>
    <x v="317"/>
    <x v="26"/>
    <x v="317"/>
    <x v="39"/>
    <x v="5"/>
  </r>
  <r>
    <x v="318"/>
    <x v="265"/>
    <x v="1"/>
    <x v="4"/>
    <x v="11"/>
    <x v="0"/>
    <x v="5"/>
    <x v="305"/>
    <x v="318"/>
    <x v="106"/>
    <x v="318"/>
    <x v="38"/>
    <x v="3"/>
  </r>
  <r>
    <x v="319"/>
    <x v="266"/>
    <x v="0"/>
    <x v="6"/>
    <x v="13"/>
    <x v="0"/>
    <x v="0"/>
    <x v="306"/>
    <x v="319"/>
    <x v="112"/>
    <x v="319"/>
    <x v="39"/>
    <x v="8"/>
  </r>
  <r>
    <x v="320"/>
    <x v="208"/>
    <x v="0"/>
    <x v="7"/>
    <x v="32"/>
    <x v="0"/>
    <x v="1"/>
    <x v="307"/>
    <x v="320"/>
    <x v="134"/>
    <x v="320"/>
    <x v="38"/>
    <x v="7"/>
  </r>
  <r>
    <x v="321"/>
    <x v="267"/>
    <x v="2"/>
    <x v="2"/>
    <x v="23"/>
    <x v="0"/>
    <x v="1"/>
    <x v="308"/>
    <x v="321"/>
    <x v="120"/>
    <x v="321"/>
    <x v="39"/>
    <x v="1"/>
  </r>
  <r>
    <x v="322"/>
    <x v="268"/>
    <x v="0"/>
    <x v="3"/>
    <x v="27"/>
    <x v="0"/>
    <x v="3"/>
    <x v="309"/>
    <x v="322"/>
    <x v="67"/>
    <x v="322"/>
    <x v="38"/>
    <x v="9"/>
  </r>
  <r>
    <x v="323"/>
    <x v="264"/>
    <x v="0"/>
    <x v="6"/>
    <x v="13"/>
    <x v="0"/>
    <x v="5"/>
    <x v="310"/>
    <x v="323"/>
    <x v="86"/>
    <x v="323"/>
    <x v="37"/>
    <x v="2"/>
  </r>
  <r>
    <x v="324"/>
    <x v="65"/>
    <x v="1"/>
    <x v="1"/>
    <x v="10"/>
    <x v="0"/>
    <x v="4"/>
    <x v="311"/>
    <x v="324"/>
    <x v="158"/>
    <x v="324"/>
    <x v="36"/>
    <x v="0"/>
  </r>
  <r>
    <x v="325"/>
    <x v="215"/>
    <x v="0"/>
    <x v="2"/>
    <x v="8"/>
    <x v="0"/>
    <x v="0"/>
    <x v="312"/>
    <x v="325"/>
    <x v="127"/>
    <x v="325"/>
    <x v="3"/>
    <x v="4"/>
  </r>
  <r>
    <x v="326"/>
    <x v="269"/>
    <x v="1"/>
    <x v="7"/>
    <x v="25"/>
    <x v="0"/>
    <x v="1"/>
    <x v="313"/>
    <x v="326"/>
    <x v="62"/>
    <x v="326"/>
    <x v="4"/>
    <x v="7"/>
  </r>
  <r>
    <x v="327"/>
    <x v="48"/>
    <x v="0"/>
    <x v="3"/>
    <x v="3"/>
    <x v="0"/>
    <x v="3"/>
    <x v="314"/>
    <x v="327"/>
    <x v="52"/>
    <x v="327"/>
    <x v="3"/>
    <x v="9"/>
  </r>
  <r>
    <x v="328"/>
    <x v="270"/>
    <x v="0"/>
    <x v="0"/>
    <x v="28"/>
    <x v="0"/>
    <x v="1"/>
    <x v="315"/>
    <x v="328"/>
    <x v="18"/>
    <x v="328"/>
    <x v="36"/>
    <x v="0"/>
  </r>
  <r>
    <x v="329"/>
    <x v="271"/>
    <x v="0"/>
    <x v="6"/>
    <x v="22"/>
    <x v="0"/>
    <x v="4"/>
    <x v="316"/>
    <x v="329"/>
    <x v="39"/>
    <x v="329"/>
    <x v="37"/>
    <x v="4"/>
  </r>
  <r>
    <x v="330"/>
    <x v="272"/>
    <x v="0"/>
    <x v="0"/>
    <x v="24"/>
    <x v="0"/>
    <x v="1"/>
    <x v="317"/>
    <x v="330"/>
    <x v="15"/>
    <x v="330"/>
    <x v="43"/>
    <x v="10"/>
  </r>
  <r>
    <x v="331"/>
    <x v="154"/>
    <x v="1"/>
    <x v="2"/>
    <x v="30"/>
    <x v="0"/>
    <x v="0"/>
    <x v="318"/>
    <x v="331"/>
    <x v="159"/>
    <x v="331"/>
    <x v="37"/>
    <x v="4"/>
  </r>
  <r>
    <x v="332"/>
    <x v="273"/>
    <x v="0"/>
    <x v="4"/>
    <x v="9"/>
    <x v="0"/>
    <x v="2"/>
    <x v="319"/>
    <x v="332"/>
    <x v="103"/>
    <x v="332"/>
    <x v="38"/>
    <x v="0"/>
  </r>
  <r>
    <x v="333"/>
    <x v="123"/>
    <x v="1"/>
    <x v="4"/>
    <x v="12"/>
    <x v="2"/>
    <x v="1"/>
    <x v="320"/>
    <x v="333"/>
    <x v="125"/>
    <x v="333"/>
    <x v="37"/>
    <x v="7"/>
  </r>
  <r>
    <x v="334"/>
    <x v="274"/>
    <x v="0"/>
    <x v="4"/>
    <x v="12"/>
    <x v="0"/>
    <x v="1"/>
    <x v="321"/>
    <x v="334"/>
    <x v="160"/>
    <x v="334"/>
    <x v="43"/>
    <x v="2"/>
  </r>
  <r>
    <x v="335"/>
    <x v="204"/>
    <x v="0"/>
    <x v="4"/>
    <x v="5"/>
    <x v="0"/>
    <x v="4"/>
    <x v="322"/>
    <x v="335"/>
    <x v="104"/>
    <x v="335"/>
    <x v="5"/>
    <x v="8"/>
  </r>
  <r>
    <x v="336"/>
    <x v="275"/>
    <x v="1"/>
    <x v="5"/>
    <x v="29"/>
    <x v="0"/>
    <x v="5"/>
    <x v="323"/>
    <x v="336"/>
    <x v="161"/>
    <x v="336"/>
    <x v="6"/>
    <x v="4"/>
  </r>
  <r>
    <x v="337"/>
    <x v="276"/>
    <x v="0"/>
    <x v="2"/>
    <x v="30"/>
    <x v="0"/>
    <x v="0"/>
    <x v="324"/>
    <x v="337"/>
    <x v="0"/>
    <x v="337"/>
    <x v="5"/>
    <x v="8"/>
  </r>
  <r>
    <x v="338"/>
    <x v="71"/>
    <x v="1"/>
    <x v="7"/>
    <x v="25"/>
    <x v="0"/>
    <x v="0"/>
    <x v="325"/>
    <x v="338"/>
    <x v="162"/>
    <x v="338"/>
    <x v="6"/>
    <x v="4"/>
  </r>
  <r>
    <x v="339"/>
    <x v="277"/>
    <x v="1"/>
    <x v="4"/>
    <x v="11"/>
    <x v="0"/>
    <x v="1"/>
    <x v="326"/>
    <x v="339"/>
    <x v="0"/>
    <x v="339"/>
    <x v="5"/>
    <x v="1"/>
  </r>
  <r>
    <x v="340"/>
    <x v="278"/>
    <x v="0"/>
    <x v="7"/>
    <x v="32"/>
    <x v="0"/>
    <x v="3"/>
    <x v="327"/>
    <x v="340"/>
    <x v="0"/>
    <x v="340"/>
    <x v="43"/>
    <x v="8"/>
  </r>
  <r>
    <x v="341"/>
    <x v="279"/>
    <x v="1"/>
    <x v="7"/>
    <x v="32"/>
    <x v="0"/>
    <x v="0"/>
    <x v="328"/>
    <x v="341"/>
    <x v="2"/>
    <x v="341"/>
    <x v="37"/>
    <x v="4"/>
  </r>
  <r>
    <x v="342"/>
    <x v="280"/>
    <x v="1"/>
    <x v="4"/>
    <x v="4"/>
    <x v="0"/>
    <x v="1"/>
    <x v="293"/>
    <x v="342"/>
    <x v="93"/>
    <x v="342"/>
    <x v="38"/>
    <x v="2"/>
  </r>
  <r>
    <x v="343"/>
    <x v="55"/>
    <x v="1"/>
    <x v="0"/>
    <x v="28"/>
    <x v="0"/>
    <x v="5"/>
    <x v="329"/>
    <x v="343"/>
    <x v="0"/>
    <x v="343"/>
    <x v="37"/>
    <x v="6"/>
  </r>
  <r>
    <x v="344"/>
    <x v="206"/>
    <x v="1"/>
    <x v="0"/>
    <x v="28"/>
    <x v="0"/>
    <x v="5"/>
    <x v="330"/>
    <x v="344"/>
    <x v="163"/>
    <x v="344"/>
    <x v="38"/>
    <x v="4"/>
  </r>
  <r>
    <x v="345"/>
    <x v="281"/>
    <x v="0"/>
    <x v="3"/>
    <x v="19"/>
    <x v="0"/>
    <x v="4"/>
    <x v="331"/>
    <x v="345"/>
    <x v="164"/>
    <x v="345"/>
    <x v="37"/>
    <x v="0"/>
  </r>
  <r>
    <x v="346"/>
    <x v="282"/>
    <x v="0"/>
    <x v="3"/>
    <x v="19"/>
    <x v="0"/>
    <x v="1"/>
    <x v="332"/>
    <x v="346"/>
    <x v="12"/>
    <x v="346"/>
    <x v="38"/>
    <x v="2"/>
  </r>
  <r>
    <x v="347"/>
    <x v="24"/>
    <x v="1"/>
    <x v="4"/>
    <x v="9"/>
    <x v="0"/>
    <x v="1"/>
    <x v="333"/>
    <x v="347"/>
    <x v="133"/>
    <x v="347"/>
    <x v="39"/>
    <x v="6"/>
  </r>
  <r>
    <x v="348"/>
    <x v="281"/>
    <x v="0"/>
    <x v="0"/>
    <x v="15"/>
    <x v="0"/>
    <x v="2"/>
    <x v="334"/>
    <x v="348"/>
    <x v="146"/>
    <x v="348"/>
    <x v="38"/>
    <x v="9"/>
  </r>
  <r>
    <x v="349"/>
    <x v="283"/>
    <x v="1"/>
    <x v="3"/>
    <x v="7"/>
    <x v="0"/>
    <x v="4"/>
    <x v="335"/>
    <x v="349"/>
    <x v="0"/>
    <x v="349"/>
    <x v="37"/>
    <x v="8"/>
  </r>
  <r>
    <x v="350"/>
    <x v="136"/>
    <x v="2"/>
    <x v="7"/>
    <x v="26"/>
    <x v="0"/>
    <x v="2"/>
    <x v="336"/>
    <x v="350"/>
    <x v="55"/>
    <x v="350"/>
    <x v="38"/>
    <x v="4"/>
  </r>
  <r>
    <x v="351"/>
    <x v="284"/>
    <x v="1"/>
    <x v="5"/>
    <x v="17"/>
    <x v="0"/>
    <x v="3"/>
    <x v="337"/>
    <x v="351"/>
    <x v="138"/>
    <x v="351"/>
    <x v="39"/>
    <x v="7"/>
  </r>
  <r>
    <x v="352"/>
    <x v="285"/>
    <x v="0"/>
    <x v="3"/>
    <x v="19"/>
    <x v="0"/>
    <x v="4"/>
    <x v="338"/>
    <x v="352"/>
    <x v="0"/>
    <x v="352"/>
    <x v="40"/>
    <x v="1"/>
  </r>
  <r>
    <x v="353"/>
    <x v="286"/>
    <x v="1"/>
    <x v="4"/>
    <x v="5"/>
    <x v="0"/>
    <x v="4"/>
    <x v="77"/>
    <x v="353"/>
    <x v="165"/>
    <x v="353"/>
    <x v="41"/>
    <x v="2"/>
  </r>
  <r>
    <x v="354"/>
    <x v="287"/>
    <x v="2"/>
    <x v="4"/>
    <x v="20"/>
    <x v="0"/>
    <x v="5"/>
    <x v="339"/>
    <x v="354"/>
    <x v="33"/>
    <x v="354"/>
    <x v="40"/>
    <x v="0"/>
  </r>
  <r>
    <x v="355"/>
    <x v="68"/>
    <x v="1"/>
    <x v="3"/>
    <x v="27"/>
    <x v="0"/>
    <x v="3"/>
    <x v="340"/>
    <x v="355"/>
    <x v="32"/>
    <x v="355"/>
    <x v="39"/>
    <x v="4"/>
  </r>
  <r>
    <x v="356"/>
    <x v="248"/>
    <x v="0"/>
    <x v="4"/>
    <x v="12"/>
    <x v="0"/>
    <x v="1"/>
    <x v="341"/>
    <x v="356"/>
    <x v="133"/>
    <x v="356"/>
    <x v="40"/>
    <x v="7"/>
  </r>
  <r>
    <x v="357"/>
    <x v="288"/>
    <x v="1"/>
    <x v="7"/>
    <x v="32"/>
    <x v="0"/>
    <x v="4"/>
    <x v="342"/>
    <x v="357"/>
    <x v="104"/>
    <x v="357"/>
    <x v="39"/>
    <x v="0"/>
  </r>
  <r>
    <x v="358"/>
    <x v="56"/>
    <x v="1"/>
    <x v="1"/>
    <x v="21"/>
    <x v="0"/>
    <x v="3"/>
    <x v="343"/>
    <x v="358"/>
    <x v="85"/>
    <x v="358"/>
    <x v="40"/>
    <x v="5"/>
  </r>
  <r>
    <x v="359"/>
    <x v="289"/>
    <x v="1"/>
    <x v="7"/>
    <x v="14"/>
    <x v="0"/>
    <x v="0"/>
    <x v="344"/>
    <x v="359"/>
    <x v="109"/>
    <x v="359"/>
    <x v="41"/>
    <x v="4"/>
  </r>
  <r>
    <x v="360"/>
    <x v="290"/>
    <x v="0"/>
    <x v="0"/>
    <x v="15"/>
    <x v="0"/>
    <x v="1"/>
    <x v="345"/>
    <x v="360"/>
    <x v="0"/>
    <x v="360"/>
    <x v="42"/>
    <x v="8"/>
  </r>
  <r>
    <x v="361"/>
    <x v="219"/>
    <x v="1"/>
    <x v="3"/>
    <x v="7"/>
    <x v="0"/>
    <x v="1"/>
    <x v="346"/>
    <x v="361"/>
    <x v="134"/>
    <x v="361"/>
    <x v="41"/>
    <x v="4"/>
  </r>
  <r>
    <x v="362"/>
    <x v="291"/>
    <x v="0"/>
    <x v="0"/>
    <x v="28"/>
    <x v="0"/>
    <x v="4"/>
    <x v="347"/>
    <x v="362"/>
    <x v="25"/>
    <x v="362"/>
    <x v="42"/>
    <x v="3"/>
  </r>
  <r>
    <x v="363"/>
    <x v="165"/>
    <x v="1"/>
    <x v="7"/>
    <x v="14"/>
    <x v="0"/>
    <x v="3"/>
    <x v="348"/>
    <x v="363"/>
    <x v="68"/>
    <x v="363"/>
    <x v="41"/>
    <x v="0"/>
  </r>
  <r>
    <x v="364"/>
    <x v="292"/>
    <x v="1"/>
    <x v="1"/>
    <x v="10"/>
    <x v="0"/>
    <x v="5"/>
    <x v="349"/>
    <x v="364"/>
    <x v="133"/>
    <x v="364"/>
    <x v="42"/>
    <x v="4"/>
  </r>
  <r>
    <x v="365"/>
    <x v="293"/>
    <x v="0"/>
    <x v="0"/>
    <x v="0"/>
    <x v="0"/>
    <x v="1"/>
    <x v="350"/>
    <x v="365"/>
    <x v="0"/>
    <x v="365"/>
    <x v="44"/>
    <x v="2"/>
  </r>
  <r>
    <x v="366"/>
    <x v="294"/>
    <x v="1"/>
    <x v="1"/>
    <x v="10"/>
    <x v="1"/>
    <x v="0"/>
    <x v="72"/>
    <x v="366"/>
    <x v="21"/>
    <x v="366"/>
    <x v="45"/>
    <x v="9"/>
  </r>
  <r>
    <x v="367"/>
    <x v="295"/>
    <x v="0"/>
    <x v="1"/>
    <x v="10"/>
    <x v="2"/>
    <x v="1"/>
    <x v="351"/>
    <x v="367"/>
    <x v="0"/>
    <x v="367"/>
    <x v="46"/>
    <x v="2"/>
  </r>
  <r>
    <x v="368"/>
    <x v="50"/>
    <x v="1"/>
    <x v="4"/>
    <x v="11"/>
    <x v="0"/>
    <x v="1"/>
    <x v="83"/>
    <x v="368"/>
    <x v="82"/>
    <x v="368"/>
    <x v="45"/>
    <x v="5"/>
  </r>
  <r>
    <x v="369"/>
    <x v="296"/>
    <x v="0"/>
    <x v="4"/>
    <x v="9"/>
    <x v="2"/>
    <x v="1"/>
    <x v="352"/>
    <x v="369"/>
    <x v="26"/>
    <x v="369"/>
    <x v="44"/>
    <x v="2"/>
  </r>
  <r>
    <x v="370"/>
    <x v="297"/>
    <x v="1"/>
    <x v="4"/>
    <x v="12"/>
    <x v="0"/>
    <x v="2"/>
    <x v="353"/>
    <x v="370"/>
    <x v="166"/>
    <x v="370"/>
    <x v="42"/>
    <x v="9"/>
  </r>
  <r>
    <x v="371"/>
    <x v="298"/>
    <x v="0"/>
    <x v="4"/>
    <x v="11"/>
    <x v="0"/>
    <x v="1"/>
    <x v="354"/>
    <x v="371"/>
    <x v="10"/>
    <x v="371"/>
    <x v="41"/>
    <x v="6"/>
  </r>
  <r>
    <x v="372"/>
    <x v="135"/>
    <x v="0"/>
    <x v="4"/>
    <x v="4"/>
    <x v="0"/>
    <x v="2"/>
    <x v="355"/>
    <x v="372"/>
    <x v="167"/>
    <x v="372"/>
    <x v="42"/>
    <x v="0"/>
  </r>
  <r>
    <x v="373"/>
    <x v="299"/>
    <x v="0"/>
    <x v="2"/>
    <x v="8"/>
    <x v="0"/>
    <x v="3"/>
    <x v="356"/>
    <x v="373"/>
    <x v="156"/>
    <x v="373"/>
    <x v="41"/>
    <x v="3"/>
  </r>
  <r>
    <x v="374"/>
    <x v="294"/>
    <x v="1"/>
    <x v="4"/>
    <x v="9"/>
    <x v="1"/>
    <x v="4"/>
    <x v="113"/>
    <x v="374"/>
    <x v="0"/>
    <x v="374"/>
    <x v="42"/>
    <x v="8"/>
  </r>
  <r>
    <x v="375"/>
    <x v="66"/>
    <x v="1"/>
    <x v="6"/>
    <x v="16"/>
    <x v="0"/>
    <x v="3"/>
    <x v="357"/>
    <x v="375"/>
    <x v="148"/>
    <x v="375"/>
    <x v="41"/>
    <x v="6"/>
  </r>
  <r>
    <x v="376"/>
    <x v="300"/>
    <x v="0"/>
    <x v="5"/>
    <x v="17"/>
    <x v="0"/>
    <x v="3"/>
    <x v="120"/>
    <x v="376"/>
    <x v="64"/>
    <x v="376"/>
    <x v="40"/>
    <x v="3"/>
  </r>
  <r>
    <x v="377"/>
    <x v="301"/>
    <x v="1"/>
    <x v="4"/>
    <x v="20"/>
    <x v="1"/>
    <x v="1"/>
    <x v="358"/>
    <x v="377"/>
    <x v="168"/>
    <x v="377"/>
    <x v="39"/>
    <x v="3"/>
  </r>
  <r>
    <x v="378"/>
    <x v="302"/>
    <x v="1"/>
    <x v="5"/>
    <x v="17"/>
    <x v="0"/>
    <x v="0"/>
    <x v="359"/>
    <x v="378"/>
    <x v="78"/>
    <x v="378"/>
    <x v="38"/>
    <x v="6"/>
  </r>
  <r>
    <x v="379"/>
    <x v="303"/>
    <x v="0"/>
    <x v="6"/>
    <x v="31"/>
    <x v="2"/>
    <x v="1"/>
    <x v="360"/>
    <x v="379"/>
    <x v="169"/>
    <x v="379"/>
    <x v="39"/>
    <x v="9"/>
  </r>
  <r>
    <x v="380"/>
    <x v="304"/>
    <x v="0"/>
    <x v="4"/>
    <x v="11"/>
    <x v="2"/>
    <x v="5"/>
    <x v="361"/>
    <x v="380"/>
    <x v="170"/>
    <x v="380"/>
    <x v="38"/>
    <x v="2"/>
  </r>
  <r>
    <x v="381"/>
    <x v="305"/>
    <x v="1"/>
    <x v="2"/>
    <x v="8"/>
    <x v="0"/>
    <x v="4"/>
    <x v="362"/>
    <x v="381"/>
    <x v="108"/>
    <x v="381"/>
    <x v="39"/>
    <x v="2"/>
  </r>
  <r>
    <x v="382"/>
    <x v="81"/>
    <x v="1"/>
    <x v="3"/>
    <x v="27"/>
    <x v="0"/>
    <x v="1"/>
    <x v="363"/>
    <x v="382"/>
    <x v="171"/>
    <x v="382"/>
    <x v="38"/>
    <x v="1"/>
  </r>
  <r>
    <x v="383"/>
    <x v="96"/>
    <x v="1"/>
    <x v="5"/>
    <x v="29"/>
    <x v="0"/>
    <x v="0"/>
    <x v="364"/>
    <x v="383"/>
    <x v="77"/>
    <x v="383"/>
    <x v="39"/>
    <x v="9"/>
  </r>
  <r>
    <x v="384"/>
    <x v="71"/>
    <x v="1"/>
    <x v="2"/>
    <x v="30"/>
    <x v="0"/>
    <x v="1"/>
    <x v="365"/>
    <x v="384"/>
    <x v="160"/>
    <x v="384"/>
    <x v="40"/>
    <x v="1"/>
  </r>
  <r>
    <x v="385"/>
    <x v="306"/>
    <x v="1"/>
    <x v="5"/>
    <x v="29"/>
    <x v="0"/>
    <x v="0"/>
    <x v="366"/>
    <x v="385"/>
    <x v="172"/>
    <x v="385"/>
    <x v="41"/>
    <x v="9"/>
  </r>
  <r>
    <x v="386"/>
    <x v="307"/>
    <x v="1"/>
    <x v="6"/>
    <x v="31"/>
    <x v="0"/>
    <x v="4"/>
    <x v="40"/>
    <x v="386"/>
    <x v="173"/>
    <x v="386"/>
    <x v="42"/>
    <x v="6"/>
  </r>
  <r>
    <x v="387"/>
    <x v="308"/>
    <x v="1"/>
    <x v="4"/>
    <x v="11"/>
    <x v="0"/>
    <x v="5"/>
    <x v="367"/>
    <x v="387"/>
    <x v="94"/>
    <x v="387"/>
    <x v="41"/>
    <x v="5"/>
  </r>
  <r>
    <x v="388"/>
    <x v="181"/>
    <x v="0"/>
    <x v="2"/>
    <x v="2"/>
    <x v="0"/>
    <x v="4"/>
    <x v="368"/>
    <x v="388"/>
    <x v="174"/>
    <x v="388"/>
    <x v="40"/>
    <x v="0"/>
  </r>
  <r>
    <x v="389"/>
    <x v="309"/>
    <x v="0"/>
    <x v="5"/>
    <x v="17"/>
    <x v="0"/>
    <x v="4"/>
    <x v="369"/>
    <x v="389"/>
    <x v="0"/>
    <x v="389"/>
    <x v="41"/>
    <x v="6"/>
  </r>
  <r>
    <x v="390"/>
    <x v="7"/>
    <x v="0"/>
    <x v="1"/>
    <x v="21"/>
    <x v="0"/>
    <x v="0"/>
    <x v="370"/>
    <x v="390"/>
    <x v="114"/>
    <x v="390"/>
    <x v="42"/>
    <x v="5"/>
  </r>
  <r>
    <x v="391"/>
    <x v="310"/>
    <x v="0"/>
    <x v="0"/>
    <x v="0"/>
    <x v="0"/>
    <x v="3"/>
    <x v="371"/>
    <x v="391"/>
    <x v="153"/>
    <x v="391"/>
    <x v="44"/>
    <x v="5"/>
  </r>
  <r>
    <x v="392"/>
    <x v="311"/>
    <x v="1"/>
    <x v="0"/>
    <x v="0"/>
    <x v="0"/>
    <x v="0"/>
    <x v="372"/>
    <x v="392"/>
    <x v="101"/>
    <x v="392"/>
    <x v="45"/>
    <x v="6"/>
  </r>
  <r>
    <x v="393"/>
    <x v="312"/>
    <x v="1"/>
    <x v="5"/>
    <x v="17"/>
    <x v="0"/>
    <x v="1"/>
    <x v="373"/>
    <x v="393"/>
    <x v="130"/>
    <x v="393"/>
    <x v="46"/>
    <x v="8"/>
  </r>
  <r>
    <x v="394"/>
    <x v="313"/>
    <x v="1"/>
    <x v="0"/>
    <x v="24"/>
    <x v="0"/>
    <x v="1"/>
    <x v="374"/>
    <x v="394"/>
    <x v="175"/>
    <x v="394"/>
    <x v="45"/>
    <x v="6"/>
  </r>
  <r>
    <x v="395"/>
    <x v="85"/>
    <x v="1"/>
    <x v="1"/>
    <x v="10"/>
    <x v="0"/>
    <x v="2"/>
    <x v="375"/>
    <x v="395"/>
    <x v="176"/>
    <x v="395"/>
    <x v="44"/>
    <x v="9"/>
  </r>
  <r>
    <x v="396"/>
    <x v="314"/>
    <x v="1"/>
    <x v="5"/>
    <x v="17"/>
    <x v="0"/>
    <x v="1"/>
    <x v="376"/>
    <x v="396"/>
    <x v="12"/>
    <x v="396"/>
    <x v="45"/>
    <x v="9"/>
  </r>
  <r>
    <x v="397"/>
    <x v="315"/>
    <x v="0"/>
    <x v="0"/>
    <x v="0"/>
    <x v="0"/>
    <x v="1"/>
    <x v="377"/>
    <x v="397"/>
    <x v="177"/>
    <x v="397"/>
    <x v="44"/>
    <x v="1"/>
  </r>
  <r>
    <x v="398"/>
    <x v="316"/>
    <x v="0"/>
    <x v="2"/>
    <x v="30"/>
    <x v="2"/>
    <x v="3"/>
    <x v="378"/>
    <x v="398"/>
    <x v="45"/>
    <x v="398"/>
    <x v="45"/>
    <x v="0"/>
  </r>
  <r>
    <x v="399"/>
    <x v="317"/>
    <x v="1"/>
    <x v="2"/>
    <x v="30"/>
    <x v="0"/>
    <x v="5"/>
    <x v="379"/>
    <x v="399"/>
    <x v="178"/>
    <x v="399"/>
    <x v="44"/>
    <x v="6"/>
  </r>
  <r>
    <x v="400"/>
    <x v="293"/>
    <x v="1"/>
    <x v="4"/>
    <x v="11"/>
    <x v="0"/>
    <x v="1"/>
    <x v="380"/>
    <x v="400"/>
    <x v="71"/>
    <x v="400"/>
    <x v="45"/>
    <x v="9"/>
  </r>
  <r>
    <x v="401"/>
    <x v="273"/>
    <x v="1"/>
    <x v="1"/>
    <x v="21"/>
    <x v="0"/>
    <x v="1"/>
    <x v="381"/>
    <x v="401"/>
    <x v="129"/>
    <x v="401"/>
    <x v="44"/>
    <x v="8"/>
  </r>
  <r>
    <x v="402"/>
    <x v="318"/>
    <x v="1"/>
    <x v="7"/>
    <x v="25"/>
    <x v="2"/>
    <x v="4"/>
    <x v="382"/>
    <x v="402"/>
    <x v="15"/>
    <x v="402"/>
    <x v="45"/>
    <x v="3"/>
  </r>
  <r>
    <x v="403"/>
    <x v="319"/>
    <x v="0"/>
    <x v="5"/>
    <x v="6"/>
    <x v="0"/>
    <x v="5"/>
    <x v="383"/>
    <x v="403"/>
    <x v="87"/>
    <x v="403"/>
    <x v="46"/>
    <x v="4"/>
  </r>
  <r>
    <x v="404"/>
    <x v="320"/>
    <x v="0"/>
    <x v="0"/>
    <x v="28"/>
    <x v="0"/>
    <x v="1"/>
    <x v="252"/>
    <x v="404"/>
    <x v="18"/>
    <x v="404"/>
    <x v="45"/>
    <x v="9"/>
  </r>
  <r>
    <x v="405"/>
    <x v="321"/>
    <x v="1"/>
    <x v="5"/>
    <x v="17"/>
    <x v="0"/>
    <x v="3"/>
    <x v="384"/>
    <x v="405"/>
    <x v="18"/>
    <x v="405"/>
    <x v="44"/>
    <x v="8"/>
  </r>
  <r>
    <x v="406"/>
    <x v="71"/>
    <x v="1"/>
    <x v="0"/>
    <x v="15"/>
    <x v="0"/>
    <x v="0"/>
    <x v="385"/>
    <x v="406"/>
    <x v="58"/>
    <x v="406"/>
    <x v="45"/>
    <x v="9"/>
  </r>
  <r>
    <x v="407"/>
    <x v="63"/>
    <x v="1"/>
    <x v="4"/>
    <x v="4"/>
    <x v="0"/>
    <x v="4"/>
    <x v="386"/>
    <x v="407"/>
    <x v="46"/>
    <x v="407"/>
    <x v="44"/>
    <x v="8"/>
  </r>
  <r>
    <x v="408"/>
    <x v="322"/>
    <x v="0"/>
    <x v="1"/>
    <x v="1"/>
    <x v="2"/>
    <x v="1"/>
    <x v="387"/>
    <x v="408"/>
    <x v="1"/>
    <x v="408"/>
    <x v="45"/>
    <x v="4"/>
  </r>
  <r>
    <x v="409"/>
    <x v="185"/>
    <x v="1"/>
    <x v="4"/>
    <x v="4"/>
    <x v="0"/>
    <x v="4"/>
    <x v="388"/>
    <x v="409"/>
    <x v="157"/>
    <x v="409"/>
    <x v="46"/>
    <x v="1"/>
  </r>
  <r>
    <x v="410"/>
    <x v="323"/>
    <x v="0"/>
    <x v="6"/>
    <x v="13"/>
    <x v="0"/>
    <x v="1"/>
    <x v="27"/>
    <x v="410"/>
    <x v="56"/>
    <x v="410"/>
    <x v="45"/>
    <x v="8"/>
  </r>
  <r>
    <x v="411"/>
    <x v="324"/>
    <x v="0"/>
    <x v="1"/>
    <x v="21"/>
    <x v="0"/>
    <x v="3"/>
    <x v="389"/>
    <x v="411"/>
    <x v="152"/>
    <x v="411"/>
    <x v="44"/>
    <x v="1"/>
  </r>
  <r>
    <x v="412"/>
    <x v="49"/>
    <x v="0"/>
    <x v="1"/>
    <x v="21"/>
    <x v="0"/>
    <x v="0"/>
    <x v="390"/>
    <x v="412"/>
    <x v="179"/>
    <x v="412"/>
    <x v="45"/>
    <x v="8"/>
  </r>
  <r>
    <x v="413"/>
    <x v="325"/>
    <x v="1"/>
    <x v="7"/>
    <x v="25"/>
    <x v="0"/>
    <x v="5"/>
    <x v="391"/>
    <x v="413"/>
    <x v="180"/>
    <x v="413"/>
    <x v="46"/>
    <x v="8"/>
  </r>
  <r>
    <x v="414"/>
    <x v="72"/>
    <x v="1"/>
    <x v="3"/>
    <x v="19"/>
    <x v="0"/>
    <x v="1"/>
    <x v="392"/>
    <x v="414"/>
    <x v="60"/>
    <x v="414"/>
    <x v="47"/>
    <x v="2"/>
  </r>
  <r>
    <x v="415"/>
    <x v="326"/>
    <x v="1"/>
    <x v="0"/>
    <x v="15"/>
    <x v="0"/>
    <x v="2"/>
    <x v="393"/>
    <x v="415"/>
    <x v="158"/>
    <x v="415"/>
    <x v="48"/>
    <x v="8"/>
  </r>
  <r>
    <x v="416"/>
    <x v="327"/>
    <x v="1"/>
    <x v="6"/>
    <x v="13"/>
    <x v="0"/>
    <x v="4"/>
    <x v="394"/>
    <x v="416"/>
    <x v="179"/>
    <x v="416"/>
    <x v="49"/>
    <x v="2"/>
  </r>
  <r>
    <x v="417"/>
    <x v="328"/>
    <x v="1"/>
    <x v="0"/>
    <x v="0"/>
    <x v="0"/>
    <x v="4"/>
    <x v="395"/>
    <x v="417"/>
    <x v="181"/>
    <x v="417"/>
    <x v="48"/>
    <x v="6"/>
  </r>
  <r>
    <x v="418"/>
    <x v="104"/>
    <x v="0"/>
    <x v="2"/>
    <x v="8"/>
    <x v="0"/>
    <x v="3"/>
    <x v="396"/>
    <x v="418"/>
    <x v="39"/>
    <x v="418"/>
    <x v="49"/>
    <x v="4"/>
  </r>
  <r>
    <x v="419"/>
    <x v="329"/>
    <x v="1"/>
    <x v="2"/>
    <x v="2"/>
    <x v="0"/>
    <x v="4"/>
    <x v="397"/>
    <x v="419"/>
    <x v="147"/>
    <x v="419"/>
    <x v="48"/>
    <x v="0"/>
  </r>
  <r>
    <x v="420"/>
    <x v="330"/>
    <x v="1"/>
    <x v="5"/>
    <x v="29"/>
    <x v="2"/>
    <x v="3"/>
    <x v="398"/>
    <x v="420"/>
    <x v="49"/>
    <x v="420"/>
    <x v="47"/>
    <x v="3"/>
  </r>
  <r>
    <x v="421"/>
    <x v="331"/>
    <x v="0"/>
    <x v="5"/>
    <x v="17"/>
    <x v="0"/>
    <x v="3"/>
    <x v="399"/>
    <x v="421"/>
    <x v="120"/>
    <x v="421"/>
    <x v="48"/>
    <x v="4"/>
  </r>
  <r>
    <x v="422"/>
    <x v="332"/>
    <x v="1"/>
    <x v="4"/>
    <x v="11"/>
    <x v="0"/>
    <x v="2"/>
    <x v="400"/>
    <x v="422"/>
    <x v="156"/>
    <x v="422"/>
    <x v="47"/>
    <x v="8"/>
  </r>
  <r>
    <x v="423"/>
    <x v="333"/>
    <x v="0"/>
    <x v="7"/>
    <x v="25"/>
    <x v="0"/>
    <x v="0"/>
    <x v="401"/>
    <x v="423"/>
    <x v="182"/>
    <x v="423"/>
    <x v="46"/>
    <x v="2"/>
  </r>
  <r>
    <x v="424"/>
    <x v="334"/>
    <x v="1"/>
    <x v="4"/>
    <x v="12"/>
    <x v="0"/>
    <x v="1"/>
    <x v="402"/>
    <x v="424"/>
    <x v="127"/>
    <x v="424"/>
    <x v="47"/>
    <x v="9"/>
  </r>
  <r>
    <x v="425"/>
    <x v="335"/>
    <x v="1"/>
    <x v="7"/>
    <x v="26"/>
    <x v="0"/>
    <x v="1"/>
    <x v="403"/>
    <x v="425"/>
    <x v="37"/>
    <x v="425"/>
    <x v="46"/>
    <x v="5"/>
  </r>
  <r>
    <x v="426"/>
    <x v="336"/>
    <x v="0"/>
    <x v="0"/>
    <x v="0"/>
    <x v="0"/>
    <x v="2"/>
    <x v="404"/>
    <x v="426"/>
    <x v="183"/>
    <x v="426"/>
    <x v="47"/>
    <x v="8"/>
  </r>
  <r>
    <x v="427"/>
    <x v="337"/>
    <x v="1"/>
    <x v="5"/>
    <x v="6"/>
    <x v="0"/>
    <x v="2"/>
    <x v="405"/>
    <x v="427"/>
    <x v="47"/>
    <x v="427"/>
    <x v="48"/>
    <x v="0"/>
  </r>
  <r>
    <x v="428"/>
    <x v="143"/>
    <x v="0"/>
    <x v="0"/>
    <x v="28"/>
    <x v="0"/>
    <x v="5"/>
    <x v="406"/>
    <x v="428"/>
    <x v="56"/>
    <x v="428"/>
    <x v="47"/>
    <x v="2"/>
  </r>
  <r>
    <x v="429"/>
    <x v="338"/>
    <x v="0"/>
    <x v="4"/>
    <x v="4"/>
    <x v="0"/>
    <x v="3"/>
    <x v="185"/>
    <x v="429"/>
    <x v="172"/>
    <x v="429"/>
    <x v="46"/>
    <x v="3"/>
  </r>
  <r>
    <x v="430"/>
    <x v="339"/>
    <x v="1"/>
    <x v="4"/>
    <x v="20"/>
    <x v="0"/>
    <x v="2"/>
    <x v="407"/>
    <x v="430"/>
    <x v="99"/>
    <x v="430"/>
    <x v="45"/>
    <x v="0"/>
  </r>
  <r>
    <x v="431"/>
    <x v="340"/>
    <x v="1"/>
    <x v="2"/>
    <x v="8"/>
    <x v="0"/>
    <x v="1"/>
    <x v="408"/>
    <x v="431"/>
    <x v="0"/>
    <x v="431"/>
    <x v="46"/>
    <x v="2"/>
  </r>
  <r>
    <x v="432"/>
    <x v="83"/>
    <x v="1"/>
    <x v="3"/>
    <x v="19"/>
    <x v="0"/>
    <x v="5"/>
    <x v="409"/>
    <x v="432"/>
    <x v="117"/>
    <x v="432"/>
    <x v="47"/>
    <x v="4"/>
  </r>
  <r>
    <x v="433"/>
    <x v="323"/>
    <x v="0"/>
    <x v="4"/>
    <x v="5"/>
    <x v="0"/>
    <x v="0"/>
    <x v="81"/>
    <x v="433"/>
    <x v="184"/>
    <x v="433"/>
    <x v="48"/>
    <x v="4"/>
  </r>
  <r>
    <x v="434"/>
    <x v="341"/>
    <x v="1"/>
    <x v="4"/>
    <x v="11"/>
    <x v="0"/>
    <x v="3"/>
    <x v="410"/>
    <x v="434"/>
    <x v="174"/>
    <x v="434"/>
    <x v="49"/>
    <x v="0"/>
  </r>
  <r>
    <x v="435"/>
    <x v="342"/>
    <x v="1"/>
    <x v="2"/>
    <x v="23"/>
    <x v="0"/>
    <x v="3"/>
    <x v="411"/>
    <x v="435"/>
    <x v="58"/>
    <x v="435"/>
    <x v="50"/>
    <x v="0"/>
  </r>
  <r>
    <x v="436"/>
    <x v="343"/>
    <x v="1"/>
    <x v="4"/>
    <x v="9"/>
    <x v="2"/>
    <x v="1"/>
    <x v="412"/>
    <x v="436"/>
    <x v="185"/>
    <x v="436"/>
    <x v="49"/>
    <x v="2"/>
  </r>
  <r>
    <x v="437"/>
    <x v="201"/>
    <x v="0"/>
    <x v="5"/>
    <x v="17"/>
    <x v="2"/>
    <x v="4"/>
    <x v="157"/>
    <x v="437"/>
    <x v="168"/>
    <x v="437"/>
    <x v="48"/>
    <x v="7"/>
  </r>
  <r>
    <x v="438"/>
    <x v="96"/>
    <x v="1"/>
    <x v="2"/>
    <x v="23"/>
    <x v="2"/>
    <x v="4"/>
    <x v="413"/>
    <x v="438"/>
    <x v="186"/>
    <x v="438"/>
    <x v="49"/>
    <x v="2"/>
  </r>
  <r>
    <x v="439"/>
    <x v="344"/>
    <x v="0"/>
    <x v="4"/>
    <x v="5"/>
    <x v="0"/>
    <x v="1"/>
    <x v="414"/>
    <x v="439"/>
    <x v="43"/>
    <x v="439"/>
    <x v="48"/>
    <x v="0"/>
  </r>
  <r>
    <x v="440"/>
    <x v="345"/>
    <x v="0"/>
    <x v="4"/>
    <x v="12"/>
    <x v="0"/>
    <x v="3"/>
    <x v="415"/>
    <x v="440"/>
    <x v="158"/>
    <x v="440"/>
    <x v="47"/>
    <x v="1"/>
  </r>
  <r>
    <x v="441"/>
    <x v="174"/>
    <x v="2"/>
    <x v="1"/>
    <x v="21"/>
    <x v="0"/>
    <x v="4"/>
    <x v="416"/>
    <x v="441"/>
    <x v="12"/>
    <x v="441"/>
    <x v="46"/>
    <x v="7"/>
  </r>
  <r>
    <x v="442"/>
    <x v="271"/>
    <x v="0"/>
    <x v="0"/>
    <x v="28"/>
    <x v="1"/>
    <x v="2"/>
    <x v="417"/>
    <x v="442"/>
    <x v="147"/>
    <x v="442"/>
    <x v="47"/>
    <x v="0"/>
  </r>
  <r>
    <x v="443"/>
    <x v="346"/>
    <x v="0"/>
    <x v="0"/>
    <x v="24"/>
    <x v="2"/>
    <x v="0"/>
    <x v="84"/>
    <x v="443"/>
    <x v="156"/>
    <x v="443"/>
    <x v="48"/>
    <x v="8"/>
  </r>
  <r>
    <x v="444"/>
    <x v="347"/>
    <x v="0"/>
    <x v="5"/>
    <x v="6"/>
    <x v="0"/>
    <x v="5"/>
    <x v="418"/>
    <x v="444"/>
    <x v="166"/>
    <x v="444"/>
    <x v="47"/>
    <x v="8"/>
  </r>
  <r>
    <x v="445"/>
    <x v="348"/>
    <x v="0"/>
    <x v="1"/>
    <x v="21"/>
    <x v="0"/>
    <x v="1"/>
    <x v="419"/>
    <x v="445"/>
    <x v="0"/>
    <x v="445"/>
    <x v="46"/>
    <x v="3"/>
  </r>
  <r>
    <x v="446"/>
    <x v="349"/>
    <x v="0"/>
    <x v="1"/>
    <x v="1"/>
    <x v="0"/>
    <x v="3"/>
    <x v="420"/>
    <x v="446"/>
    <x v="187"/>
    <x v="446"/>
    <x v="47"/>
    <x v="4"/>
  </r>
  <r>
    <x v="447"/>
    <x v="350"/>
    <x v="1"/>
    <x v="2"/>
    <x v="2"/>
    <x v="0"/>
    <x v="5"/>
    <x v="421"/>
    <x v="447"/>
    <x v="188"/>
    <x v="447"/>
    <x v="48"/>
    <x v="4"/>
  </r>
  <r>
    <x v="448"/>
    <x v="351"/>
    <x v="0"/>
    <x v="0"/>
    <x v="15"/>
    <x v="0"/>
    <x v="5"/>
    <x v="422"/>
    <x v="448"/>
    <x v="34"/>
    <x v="448"/>
    <x v="47"/>
    <x v="8"/>
  </r>
  <r>
    <x v="449"/>
    <x v="352"/>
    <x v="1"/>
    <x v="4"/>
    <x v="5"/>
    <x v="0"/>
    <x v="2"/>
    <x v="32"/>
    <x v="449"/>
    <x v="83"/>
    <x v="449"/>
    <x v="46"/>
    <x v="8"/>
  </r>
  <r>
    <x v="450"/>
    <x v="132"/>
    <x v="0"/>
    <x v="5"/>
    <x v="17"/>
    <x v="0"/>
    <x v="3"/>
    <x v="423"/>
    <x v="450"/>
    <x v="30"/>
    <x v="450"/>
    <x v="45"/>
    <x v="9"/>
  </r>
  <r>
    <x v="451"/>
    <x v="353"/>
    <x v="0"/>
    <x v="7"/>
    <x v="14"/>
    <x v="0"/>
    <x v="1"/>
    <x v="163"/>
    <x v="451"/>
    <x v="0"/>
    <x v="451"/>
    <x v="46"/>
    <x v="9"/>
  </r>
  <r>
    <x v="452"/>
    <x v="354"/>
    <x v="1"/>
    <x v="0"/>
    <x v="15"/>
    <x v="2"/>
    <x v="3"/>
    <x v="424"/>
    <x v="452"/>
    <x v="14"/>
    <x v="452"/>
    <x v="47"/>
    <x v="0"/>
  </r>
  <r>
    <x v="453"/>
    <x v="355"/>
    <x v="1"/>
    <x v="1"/>
    <x v="1"/>
    <x v="0"/>
    <x v="1"/>
    <x v="425"/>
    <x v="453"/>
    <x v="102"/>
    <x v="453"/>
    <x v="46"/>
    <x v="4"/>
  </r>
  <r>
    <x v="454"/>
    <x v="220"/>
    <x v="1"/>
    <x v="4"/>
    <x v="11"/>
    <x v="0"/>
    <x v="3"/>
    <x v="426"/>
    <x v="454"/>
    <x v="95"/>
    <x v="454"/>
    <x v="47"/>
    <x v="9"/>
  </r>
  <r>
    <x v="455"/>
    <x v="131"/>
    <x v="0"/>
    <x v="7"/>
    <x v="26"/>
    <x v="0"/>
    <x v="3"/>
    <x v="427"/>
    <x v="455"/>
    <x v="137"/>
    <x v="455"/>
    <x v="48"/>
    <x v="8"/>
  </r>
  <r>
    <x v="456"/>
    <x v="94"/>
    <x v="0"/>
    <x v="4"/>
    <x v="5"/>
    <x v="2"/>
    <x v="4"/>
    <x v="428"/>
    <x v="456"/>
    <x v="108"/>
    <x v="456"/>
    <x v="47"/>
    <x v="1"/>
  </r>
  <r>
    <x v="457"/>
    <x v="356"/>
    <x v="1"/>
    <x v="0"/>
    <x v="28"/>
    <x v="0"/>
    <x v="4"/>
    <x v="429"/>
    <x v="457"/>
    <x v="126"/>
    <x v="457"/>
    <x v="46"/>
    <x v="6"/>
  </r>
  <r>
    <x v="458"/>
    <x v="357"/>
    <x v="0"/>
    <x v="4"/>
    <x v="11"/>
    <x v="1"/>
    <x v="0"/>
    <x v="430"/>
    <x v="458"/>
    <x v="0"/>
    <x v="458"/>
    <x v="47"/>
    <x v="2"/>
  </r>
  <r>
    <x v="459"/>
    <x v="99"/>
    <x v="1"/>
    <x v="4"/>
    <x v="5"/>
    <x v="0"/>
    <x v="0"/>
    <x v="431"/>
    <x v="459"/>
    <x v="0"/>
    <x v="459"/>
    <x v="46"/>
    <x v="8"/>
  </r>
  <r>
    <x v="460"/>
    <x v="358"/>
    <x v="1"/>
    <x v="4"/>
    <x v="9"/>
    <x v="0"/>
    <x v="0"/>
    <x v="432"/>
    <x v="460"/>
    <x v="71"/>
    <x v="460"/>
    <x v="45"/>
    <x v="3"/>
  </r>
  <r>
    <x v="461"/>
    <x v="252"/>
    <x v="1"/>
    <x v="3"/>
    <x v="3"/>
    <x v="0"/>
    <x v="4"/>
    <x v="433"/>
    <x v="461"/>
    <x v="178"/>
    <x v="461"/>
    <x v="44"/>
    <x v="3"/>
  </r>
  <r>
    <x v="462"/>
    <x v="252"/>
    <x v="1"/>
    <x v="2"/>
    <x v="23"/>
    <x v="0"/>
    <x v="4"/>
    <x v="434"/>
    <x v="462"/>
    <x v="189"/>
    <x v="462"/>
    <x v="45"/>
    <x v="6"/>
  </r>
  <r>
    <x v="463"/>
    <x v="359"/>
    <x v="1"/>
    <x v="7"/>
    <x v="14"/>
    <x v="0"/>
    <x v="4"/>
    <x v="435"/>
    <x v="463"/>
    <x v="70"/>
    <x v="463"/>
    <x v="44"/>
    <x v="0"/>
  </r>
  <r>
    <x v="464"/>
    <x v="360"/>
    <x v="1"/>
    <x v="1"/>
    <x v="10"/>
    <x v="2"/>
    <x v="3"/>
    <x v="436"/>
    <x v="464"/>
    <x v="184"/>
    <x v="464"/>
    <x v="42"/>
    <x v="4"/>
  </r>
  <r>
    <x v="465"/>
    <x v="361"/>
    <x v="1"/>
    <x v="0"/>
    <x v="0"/>
    <x v="2"/>
    <x v="5"/>
    <x v="437"/>
    <x v="465"/>
    <x v="165"/>
    <x v="465"/>
    <x v="41"/>
    <x v="0"/>
  </r>
  <r>
    <x v="466"/>
    <x v="362"/>
    <x v="1"/>
    <x v="6"/>
    <x v="16"/>
    <x v="0"/>
    <x v="1"/>
    <x v="438"/>
    <x v="466"/>
    <x v="190"/>
    <x v="466"/>
    <x v="42"/>
    <x v="9"/>
  </r>
  <r>
    <x v="467"/>
    <x v="363"/>
    <x v="0"/>
    <x v="5"/>
    <x v="17"/>
    <x v="0"/>
    <x v="3"/>
    <x v="439"/>
    <x v="467"/>
    <x v="0"/>
    <x v="467"/>
    <x v="41"/>
    <x v="7"/>
  </r>
  <r>
    <x v="468"/>
    <x v="364"/>
    <x v="0"/>
    <x v="6"/>
    <x v="16"/>
    <x v="0"/>
    <x v="2"/>
    <x v="440"/>
    <x v="468"/>
    <x v="136"/>
    <x v="468"/>
    <x v="42"/>
    <x v="2"/>
  </r>
  <r>
    <x v="469"/>
    <x v="365"/>
    <x v="1"/>
    <x v="1"/>
    <x v="10"/>
    <x v="0"/>
    <x v="2"/>
    <x v="441"/>
    <x v="469"/>
    <x v="191"/>
    <x v="469"/>
    <x v="41"/>
    <x v="1"/>
  </r>
  <r>
    <x v="470"/>
    <x v="366"/>
    <x v="1"/>
    <x v="4"/>
    <x v="20"/>
    <x v="0"/>
    <x v="4"/>
    <x v="442"/>
    <x v="470"/>
    <x v="156"/>
    <x v="470"/>
    <x v="40"/>
    <x v="0"/>
  </r>
  <r>
    <x v="471"/>
    <x v="355"/>
    <x v="1"/>
    <x v="1"/>
    <x v="10"/>
    <x v="0"/>
    <x v="5"/>
    <x v="443"/>
    <x v="471"/>
    <x v="100"/>
    <x v="471"/>
    <x v="39"/>
    <x v="3"/>
  </r>
  <r>
    <x v="472"/>
    <x v="367"/>
    <x v="1"/>
    <x v="4"/>
    <x v="4"/>
    <x v="2"/>
    <x v="5"/>
    <x v="444"/>
    <x v="472"/>
    <x v="47"/>
    <x v="472"/>
    <x v="40"/>
    <x v="1"/>
  </r>
  <r>
    <x v="473"/>
    <x v="368"/>
    <x v="1"/>
    <x v="5"/>
    <x v="17"/>
    <x v="0"/>
    <x v="4"/>
    <x v="445"/>
    <x v="473"/>
    <x v="192"/>
    <x v="473"/>
    <x v="39"/>
    <x v="6"/>
  </r>
  <r>
    <x v="474"/>
    <x v="247"/>
    <x v="1"/>
    <x v="7"/>
    <x v="32"/>
    <x v="0"/>
    <x v="3"/>
    <x v="446"/>
    <x v="474"/>
    <x v="79"/>
    <x v="474"/>
    <x v="40"/>
    <x v="0"/>
  </r>
  <r>
    <x v="475"/>
    <x v="153"/>
    <x v="0"/>
    <x v="1"/>
    <x v="1"/>
    <x v="0"/>
    <x v="4"/>
    <x v="447"/>
    <x v="475"/>
    <x v="48"/>
    <x v="475"/>
    <x v="41"/>
    <x v="5"/>
  </r>
  <r>
    <x v="476"/>
    <x v="80"/>
    <x v="0"/>
    <x v="4"/>
    <x v="4"/>
    <x v="0"/>
    <x v="4"/>
    <x v="448"/>
    <x v="476"/>
    <x v="154"/>
    <x v="476"/>
    <x v="42"/>
    <x v="1"/>
  </r>
  <r>
    <x v="477"/>
    <x v="369"/>
    <x v="0"/>
    <x v="7"/>
    <x v="18"/>
    <x v="0"/>
    <x v="3"/>
    <x v="449"/>
    <x v="477"/>
    <x v="122"/>
    <x v="477"/>
    <x v="41"/>
    <x v="4"/>
  </r>
  <r>
    <x v="478"/>
    <x v="370"/>
    <x v="0"/>
    <x v="1"/>
    <x v="10"/>
    <x v="2"/>
    <x v="1"/>
    <x v="450"/>
    <x v="478"/>
    <x v="34"/>
    <x v="478"/>
    <x v="42"/>
    <x v="4"/>
  </r>
  <r>
    <x v="479"/>
    <x v="371"/>
    <x v="0"/>
    <x v="7"/>
    <x v="32"/>
    <x v="0"/>
    <x v="4"/>
    <x v="347"/>
    <x v="479"/>
    <x v="193"/>
    <x v="479"/>
    <x v="44"/>
    <x v="3"/>
  </r>
  <r>
    <x v="480"/>
    <x v="372"/>
    <x v="1"/>
    <x v="3"/>
    <x v="27"/>
    <x v="2"/>
    <x v="2"/>
    <x v="451"/>
    <x v="480"/>
    <x v="160"/>
    <x v="480"/>
    <x v="45"/>
    <x v="3"/>
  </r>
  <r>
    <x v="481"/>
    <x v="373"/>
    <x v="1"/>
    <x v="2"/>
    <x v="23"/>
    <x v="0"/>
    <x v="2"/>
    <x v="452"/>
    <x v="481"/>
    <x v="191"/>
    <x v="481"/>
    <x v="44"/>
    <x v="8"/>
  </r>
  <r>
    <x v="482"/>
    <x v="374"/>
    <x v="1"/>
    <x v="0"/>
    <x v="24"/>
    <x v="2"/>
    <x v="5"/>
    <x v="453"/>
    <x v="482"/>
    <x v="102"/>
    <x v="482"/>
    <x v="42"/>
    <x v="6"/>
  </r>
  <r>
    <x v="483"/>
    <x v="375"/>
    <x v="0"/>
    <x v="3"/>
    <x v="7"/>
    <x v="1"/>
    <x v="3"/>
    <x v="454"/>
    <x v="483"/>
    <x v="163"/>
    <x v="483"/>
    <x v="44"/>
    <x v="2"/>
  </r>
  <r>
    <x v="484"/>
    <x v="99"/>
    <x v="0"/>
    <x v="7"/>
    <x v="32"/>
    <x v="0"/>
    <x v="5"/>
    <x v="455"/>
    <x v="484"/>
    <x v="153"/>
    <x v="484"/>
    <x v="45"/>
    <x v="2"/>
  </r>
  <r>
    <x v="485"/>
    <x v="376"/>
    <x v="0"/>
    <x v="1"/>
    <x v="1"/>
    <x v="1"/>
    <x v="4"/>
    <x v="456"/>
    <x v="485"/>
    <x v="109"/>
    <x v="485"/>
    <x v="46"/>
    <x v="5"/>
  </r>
  <r>
    <x v="486"/>
    <x v="199"/>
    <x v="1"/>
    <x v="4"/>
    <x v="9"/>
    <x v="0"/>
    <x v="1"/>
    <x v="457"/>
    <x v="486"/>
    <x v="129"/>
    <x v="486"/>
    <x v="47"/>
    <x v="4"/>
  </r>
  <r>
    <x v="487"/>
    <x v="377"/>
    <x v="0"/>
    <x v="6"/>
    <x v="31"/>
    <x v="0"/>
    <x v="2"/>
    <x v="458"/>
    <x v="487"/>
    <x v="120"/>
    <x v="487"/>
    <x v="48"/>
    <x v="4"/>
  </r>
  <r>
    <x v="488"/>
    <x v="378"/>
    <x v="1"/>
    <x v="1"/>
    <x v="1"/>
    <x v="0"/>
    <x v="2"/>
    <x v="459"/>
    <x v="488"/>
    <x v="194"/>
    <x v="488"/>
    <x v="47"/>
    <x v="9"/>
  </r>
  <r>
    <x v="489"/>
    <x v="379"/>
    <x v="0"/>
    <x v="5"/>
    <x v="17"/>
    <x v="0"/>
    <x v="4"/>
    <x v="460"/>
    <x v="489"/>
    <x v="195"/>
    <x v="489"/>
    <x v="48"/>
    <x v="2"/>
  </r>
  <r>
    <x v="490"/>
    <x v="380"/>
    <x v="1"/>
    <x v="0"/>
    <x v="0"/>
    <x v="2"/>
    <x v="2"/>
    <x v="461"/>
    <x v="490"/>
    <x v="196"/>
    <x v="490"/>
    <x v="49"/>
    <x v="1"/>
  </r>
  <r>
    <x v="491"/>
    <x v="381"/>
    <x v="1"/>
    <x v="3"/>
    <x v="19"/>
    <x v="0"/>
    <x v="4"/>
    <x v="462"/>
    <x v="491"/>
    <x v="38"/>
    <x v="491"/>
    <x v="50"/>
    <x v="8"/>
  </r>
  <r>
    <x v="492"/>
    <x v="382"/>
    <x v="1"/>
    <x v="6"/>
    <x v="13"/>
    <x v="0"/>
    <x v="4"/>
    <x v="66"/>
    <x v="492"/>
    <x v="140"/>
    <x v="492"/>
    <x v="51"/>
    <x v="0"/>
  </r>
  <r>
    <x v="493"/>
    <x v="124"/>
    <x v="1"/>
    <x v="4"/>
    <x v="11"/>
    <x v="0"/>
    <x v="3"/>
    <x v="463"/>
    <x v="493"/>
    <x v="143"/>
    <x v="493"/>
    <x v="50"/>
    <x v="9"/>
  </r>
  <r>
    <x v="494"/>
    <x v="383"/>
    <x v="1"/>
    <x v="0"/>
    <x v="28"/>
    <x v="0"/>
    <x v="0"/>
    <x v="464"/>
    <x v="494"/>
    <x v="145"/>
    <x v="494"/>
    <x v="49"/>
    <x v="8"/>
  </r>
  <r>
    <x v="495"/>
    <x v="3"/>
    <x v="0"/>
    <x v="0"/>
    <x v="28"/>
    <x v="0"/>
    <x v="0"/>
    <x v="465"/>
    <x v="495"/>
    <x v="51"/>
    <x v="495"/>
    <x v="48"/>
    <x v="1"/>
  </r>
  <r>
    <x v="496"/>
    <x v="384"/>
    <x v="1"/>
    <x v="7"/>
    <x v="14"/>
    <x v="0"/>
    <x v="3"/>
    <x v="466"/>
    <x v="496"/>
    <x v="163"/>
    <x v="496"/>
    <x v="47"/>
    <x v="2"/>
  </r>
  <r>
    <x v="497"/>
    <x v="385"/>
    <x v="1"/>
    <x v="4"/>
    <x v="20"/>
    <x v="0"/>
    <x v="2"/>
    <x v="109"/>
    <x v="497"/>
    <x v="120"/>
    <x v="497"/>
    <x v="48"/>
    <x v="0"/>
  </r>
  <r>
    <x v="498"/>
    <x v="245"/>
    <x v="1"/>
    <x v="1"/>
    <x v="1"/>
    <x v="0"/>
    <x v="5"/>
    <x v="170"/>
    <x v="498"/>
    <x v="90"/>
    <x v="498"/>
    <x v="49"/>
    <x v="2"/>
  </r>
  <r>
    <x v="499"/>
    <x v="386"/>
    <x v="1"/>
    <x v="1"/>
    <x v="10"/>
    <x v="0"/>
    <x v="1"/>
    <x v="467"/>
    <x v="499"/>
    <x v="178"/>
    <x v="499"/>
    <x v="50"/>
    <x v="0"/>
  </r>
  <r>
    <x v="500"/>
    <x v="366"/>
    <x v="0"/>
    <x v="2"/>
    <x v="8"/>
    <x v="1"/>
    <x v="5"/>
    <x v="468"/>
    <x v="500"/>
    <x v="197"/>
    <x v="500"/>
    <x v="51"/>
    <x v="8"/>
  </r>
  <r>
    <x v="501"/>
    <x v="92"/>
    <x v="1"/>
    <x v="7"/>
    <x v="32"/>
    <x v="0"/>
    <x v="5"/>
    <x v="469"/>
    <x v="501"/>
    <x v="182"/>
    <x v="501"/>
    <x v="52"/>
    <x v="1"/>
  </r>
  <r>
    <x v="502"/>
    <x v="387"/>
    <x v="1"/>
    <x v="6"/>
    <x v="13"/>
    <x v="2"/>
    <x v="1"/>
    <x v="470"/>
    <x v="502"/>
    <x v="80"/>
    <x v="502"/>
    <x v="53"/>
    <x v="4"/>
  </r>
  <r>
    <x v="503"/>
    <x v="308"/>
    <x v="0"/>
    <x v="5"/>
    <x v="29"/>
    <x v="2"/>
    <x v="0"/>
    <x v="471"/>
    <x v="503"/>
    <x v="61"/>
    <x v="503"/>
    <x v="54"/>
    <x v="5"/>
  </r>
  <r>
    <x v="504"/>
    <x v="388"/>
    <x v="1"/>
    <x v="2"/>
    <x v="8"/>
    <x v="0"/>
    <x v="2"/>
    <x v="472"/>
    <x v="504"/>
    <x v="109"/>
    <x v="504"/>
    <x v="55"/>
    <x v="5"/>
  </r>
  <r>
    <x v="505"/>
    <x v="343"/>
    <x v="0"/>
    <x v="4"/>
    <x v="9"/>
    <x v="0"/>
    <x v="5"/>
    <x v="473"/>
    <x v="505"/>
    <x v="41"/>
    <x v="505"/>
    <x v="56"/>
    <x v="1"/>
  </r>
  <r>
    <x v="506"/>
    <x v="278"/>
    <x v="1"/>
    <x v="1"/>
    <x v="1"/>
    <x v="0"/>
    <x v="1"/>
    <x v="474"/>
    <x v="506"/>
    <x v="176"/>
    <x v="506"/>
    <x v="55"/>
    <x v="7"/>
  </r>
  <r>
    <x v="507"/>
    <x v="39"/>
    <x v="1"/>
    <x v="5"/>
    <x v="17"/>
    <x v="0"/>
    <x v="2"/>
    <x v="188"/>
    <x v="507"/>
    <x v="194"/>
    <x v="507"/>
    <x v="56"/>
    <x v="1"/>
  </r>
  <r>
    <x v="508"/>
    <x v="389"/>
    <x v="1"/>
    <x v="1"/>
    <x v="1"/>
    <x v="0"/>
    <x v="1"/>
    <x v="475"/>
    <x v="508"/>
    <x v="149"/>
    <x v="508"/>
    <x v="57"/>
    <x v="8"/>
  </r>
  <r>
    <x v="509"/>
    <x v="212"/>
    <x v="1"/>
    <x v="2"/>
    <x v="30"/>
    <x v="0"/>
    <x v="2"/>
    <x v="476"/>
    <x v="509"/>
    <x v="198"/>
    <x v="509"/>
    <x v="58"/>
    <x v="6"/>
  </r>
  <r>
    <x v="510"/>
    <x v="390"/>
    <x v="1"/>
    <x v="3"/>
    <x v="27"/>
    <x v="2"/>
    <x v="3"/>
    <x v="477"/>
    <x v="510"/>
    <x v="0"/>
    <x v="510"/>
    <x v="57"/>
    <x v="2"/>
  </r>
  <r>
    <x v="511"/>
    <x v="391"/>
    <x v="1"/>
    <x v="0"/>
    <x v="28"/>
    <x v="0"/>
    <x v="1"/>
    <x v="478"/>
    <x v="511"/>
    <x v="188"/>
    <x v="511"/>
    <x v="58"/>
    <x v="0"/>
  </r>
  <r>
    <x v="512"/>
    <x v="246"/>
    <x v="0"/>
    <x v="1"/>
    <x v="10"/>
    <x v="0"/>
    <x v="0"/>
    <x v="479"/>
    <x v="512"/>
    <x v="39"/>
    <x v="512"/>
    <x v="57"/>
    <x v="8"/>
  </r>
  <r>
    <x v="513"/>
    <x v="79"/>
    <x v="1"/>
    <x v="5"/>
    <x v="29"/>
    <x v="0"/>
    <x v="5"/>
    <x v="480"/>
    <x v="513"/>
    <x v="39"/>
    <x v="513"/>
    <x v="58"/>
    <x v="1"/>
  </r>
  <r>
    <x v="514"/>
    <x v="392"/>
    <x v="0"/>
    <x v="4"/>
    <x v="11"/>
    <x v="0"/>
    <x v="1"/>
    <x v="481"/>
    <x v="514"/>
    <x v="199"/>
    <x v="514"/>
    <x v="59"/>
    <x v="6"/>
  </r>
  <r>
    <x v="515"/>
    <x v="393"/>
    <x v="0"/>
    <x v="4"/>
    <x v="11"/>
    <x v="0"/>
    <x v="0"/>
    <x v="482"/>
    <x v="515"/>
    <x v="14"/>
    <x v="515"/>
    <x v="58"/>
    <x v="2"/>
  </r>
  <r>
    <x v="516"/>
    <x v="12"/>
    <x v="1"/>
    <x v="0"/>
    <x v="28"/>
    <x v="2"/>
    <x v="0"/>
    <x v="350"/>
    <x v="516"/>
    <x v="42"/>
    <x v="516"/>
    <x v="60"/>
    <x v="2"/>
  </r>
  <r>
    <x v="517"/>
    <x v="394"/>
    <x v="1"/>
    <x v="5"/>
    <x v="6"/>
    <x v="0"/>
    <x v="5"/>
    <x v="483"/>
    <x v="517"/>
    <x v="200"/>
    <x v="517"/>
    <x v="56"/>
    <x v="1"/>
  </r>
  <r>
    <x v="518"/>
    <x v="322"/>
    <x v="1"/>
    <x v="1"/>
    <x v="21"/>
    <x v="0"/>
    <x v="3"/>
    <x v="484"/>
    <x v="518"/>
    <x v="19"/>
    <x v="518"/>
    <x v="60"/>
    <x v="1"/>
  </r>
  <r>
    <x v="519"/>
    <x v="238"/>
    <x v="1"/>
    <x v="4"/>
    <x v="12"/>
    <x v="0"/>
    <x v="0"/>
    <x v="485"/>
    <x v="519"/>
    <x v="181"/>
    <x v="519"/>
    <x v="61"/>
    <x v="1"/>
  </r>
  <r>
    <x v="520"/>
    <x v="395"/>
    <x v="3"/>
    <x v="3"/>
    <x v="7"/>
    <x v="0"/>
    <x v="4"/>
    <x v="486"/>
    <x v="520"/>
    <x v="182"/>
    <x v="520"/>
    <x v="60"/>
    <x v="4"/>
  </r>
  <r>
    <x v="521"/>
    <x v="396"/>
    <x v="1"/>
    <x v="0"/>
    <x v="15"/>
    <x v="2"/>
    <x v="1"/>
    <x v="487"/>
    <x v="521"/>
    <x v="201"/>
    <x v="521"/>
    <x v="61"/>
    <x v="6"/>
  </r>
  <r>
    <x v="522"/>
    <x v="397"/>
    <x v="0"/>
    <x v="1"/>
    <x v="21"/>
    <x v="1"/>
    <x v="1"/>
    <x v="488"/>
    <x v="522"/>
    <x v="190"/>
    <x v="522"/>
    <x v="62"/>
    <x v="8"/>
  </r>
  <r>
    <x v="523"/>
    <x v="279"/>
    <x v="0"/>
    <x v="5"/>
    <x v="29"/>
    <x v="0"/>
    <x v="0"/>
    <x v="489"/>
    <x v="523"/>
    <x v="153"/>
    <x v="523"/>
    <x v="63"/>
    <x v="1"/>
  </r>
  <r>
    <x v="524"/>
    <x v="375"/>
    <x v="0"/>
    <x v="5"/>
    <x v="17"/>
    <x v="0"/>
    <x v="3"/>
    <x v="249"/>
    <x v="524"/>
    <x v="194"/>
    <x v="524"/>
    <x v="64"/>
    <x v="0"/>
  </r>
  <r>
    <x v="525"/>
    <x v="305"/>
    <x v="0"/>
    <x v="0"/>
    <x v="0"/>
    <x v="0"/>
    <x v="2"/>
    <x v="490"/>
    <x v="525"/>
    <x v="101"/>
    <x v="525"/>
    <x v="65"/>
    <x v="2"/>
  </r>
  <r>
    <x v="526"/>
    <x v="398"/>
    <x v="0"/>
    <x v="0"/>
    <x v="0"/>
    <x v="0"/>
    <x v="1"/>
    <x v="491"/>
    <x v="526"/>
    <x v="202"/>
    <x v="526"/>
    <x v="66"/>
    <x v="8"/>
  </r>
  <r>
    <x v="527"/>
    <x v="337"/>
    <x v="1"/>
    <x v="6"/>
    <x v="22"/>
    <x v="0"/>
    <x v="2"/>
    <x v="492"/>
    <x v="527"/>
    <x v="0"/>
    <x v="527"/>
    <x v="67"/>
    <x v="4"/>
  </r>
  <r>
    <x v="528"/>
    <x v="399"/>
    <x v="1"/>
    <x v="4"/>
    <x v="4"/>
    <x v="0"/>
    <x v="1"/>
    <x v="92"/>
    <x v="528"/>
    <x v="155"/>
    <x v="528"/>
    <x v="66"/>
    <x v="1"/>
  </r>
  <r>
    <x v="529"/>
    <x v="400"/>
    <x v="1"/>
    <x v="5"/>
    <x v="17"/>
    <x v="0"/>
    <x v="5"/>
    <x v="493"/>
    <x v="529"/>
    <x v="190"/>
    <x v="529"/>
    <x v="65"/>
    <x v="9"/>
  </r>
  <r>
    <x v="530"/>
    <x v="261"/>
    <x v="1"/>
    <x v="5"/>
    <x v="29"/>
    <x v="2"/>
    <x v="1"/>
    <x v="38"/>
    <x v="530"/>
    <x v="95"/>
    <x v="530"/>
    <x v="64"/>
    <x v="2"/>
  </r>
  <r>
    <x v="531"/>
    <x v="401"/>
    <x v="0"/>
    <x v="1"/>
    <x v="1"/>
    <x v="0"/>
    <x v="4"/>
    <x v="36"/>
    <x v="531"/>
    <x v="0"/>
    <x v="531"/>
    <x v="65"/>
    <x v="9"/>
  </r>
  <r>
    <x v="532"/>
    <x v="402"/>
    <x v="0"/>
    <x v="1"/>
    <x v="10"/>
    <x v="0"/>
    <x v="1"/>
    <x v="494"/>
    <x v="532"/>
    <x v="155"/>
    <x v="532"/>
    <x v="66"/>
    <x v="6"/>
  </r>
  <r>
    <x v="533"/>
    <x v="13"/>
    <x v="1"/>
    <x v="7"/>
    <x v="32"/>
    <x v="0"/>
    <x v="1"/>
    <x v="171"/>
    <x v="533"/>
    <x v="99"/>
    <x v="533"/>
    <x v="65"/>
    <x v="1"/>
  </r>
  <r>
    <x v="534"/>
    <x v="18"/>
    <x v="0"/>
    <x v="2"/>
    <x v="8"/>
    <x v="0"/>
    <x v="3"/>
    <x v="220"/>
    <x v="534"/>
    <x v="75"/>
    <x v="534"/>
    <x v="64"/>
    <x v="1"/>
  </r>
  <r>
    <x v="535"/>
    <x v="199"/>
    <x v="0"/>
    <x v="1"/>
    <x v="21"/>
    <x v="2"/>
    <x v="2"/>
    <x v="495"/>
    <x v="535"/>
    <x v="203"/>
    <x v="535"/>
    <x v="65"/>
    <x v="7"/>
  </r>
  <r>
    <x v="536"/>
    <x v="403"/>
    <x v="1"/>
    <x v="5"/>
    <x v="29"/>
    <x v="2"/>
    <x v="2"/>
    <x v="163"/>
    <x v="536"/>
    <x v="107"/>
    <x v="536"/>
    <x v="66"/>
    <x v="9"/>
  </r>
  <r>
    <x v="537"/>
    <x v="219"/>
    <x v="0"/>
    <x v="6"/>
    <x v="31"/>
    <x v="0"/>
    <x v="4"/>
    <x v="496"/>
    <x v="537"/>
    <x v="101"/>
    <x v="537"/>
    <x v="67"/>
    <x v="1"/>
  </r>
  <r>
    <x v="538"/>
    <x v="88"/>
    <x v="0"/>
    <x v="0"/>
    <x v="0"/>
    <x v="0"/>
    <x v="4"/>
    <x v="497"/>
    <x v="538"/>
    <x v="204"/>
    <x v="538"/>
    <x v="66"/>
    <x v="3"/>
  </r>
  <r>
    <x v="539"/>
    <x v="73"/>
    <x v="1"/>
    <x v="4"/>
    <x v="20"/>
    <x v="0"/>
    <x v="2"/>
    <x v="498"/>
    <x v="539"/>
    <x v="103"/>
    <x v="539"/>
    <x v="67"/>
    <x v="0"/>
  </r>
  <r>
    <x v="540"/>
    <x v="404"/>
    <x v="0"/>
    <x v="1"/>
    <x v="1"/>
    <x v="2"/>
    <x v="1"/>
    <x v="444"/>
    <x v="540"/>
    <x v="98"/>
    <x v="540"/>
    <x v="66"/>
    <x v="1"/>
  </r>
  <r>
    <x v="541"/>
    <x v="405"/>
    <x v="0"/>
    <x v="3"/>
    <x v="7"/>
    <x v="0"/>
    <x v="0"/>
    <x v="499"/>
    <x v="541"/>
    <x v="171"/>
    <x v="541"/>
    <x v="67"/>
    <x v="1"/>
  </r>
  <r>
    <x v="542"/>
    <x v="406"/>
    <x v="1"/>
    <x v="6"/>
    <x v="22"/>
    <x v="0"/>
    <x v="5"/>
    <x v="500"/>
    <x v="542"/>
    <x v="163"/>
    <x v="542"/>
    <x v="68"/>
    <x v="4"/>
  </r>
  <r>
    <x v="543"/>
    <x v="54"/>
    <x v="1"/>
    <x v="2"/>
    <x v="23"/>
    <x v="0"/>
    <x v="5"/>
    <x v="501"/>
    <x v="543"/>
    <x v="205"/>
    <x v="543"/>
    <x v="67"/>
    <x v="3"/>
  </r>
  <r>
    <x v="544"/>
    <x v="407"/>
    <x v="1"/>
    <x v="3"/>
    <x v="27"/>
    <x v="0"/>
    <x v="2"/>
    <x v="77"/>
    <x v="544"/>
    <x v="78"/>
    <x v="544"/>
    <x v="66"/>
    <x v="2"/>
  </r>
  <r>
    <x v="545"/>
    <x v="274"/>
    <x v="0"/>
    <x v="0"/>
    <x v="24"/>
    <x v="0"/>
    <x v="2"/>
    <x v="502"/>
    <x v="545"/>
    <x v="30"/>
    <x v="545"/>
    <x v="67"/>
    <x v="10"/>
  </r>
  <r>
    <x v="546"/>
    <x v="408"/>
    <x v="0"/>
    <x v="4"/>
    <x v="4"/>
    <x v="0"/>
    <x v="3"/>
    <x v="503"/>
    <x v="546"/>
    <x v="199"/>
    <x v="546"/>
    <x v="68"/>
    <x v="2"/>
  </r>
  <r>
    <x v="547"/>
    <x v="409"/>
    <x v="1"/>
    <x v="2"/>
    <x v="8"/>
    <x v="0"/>
    <x v="5"/>
    <x v="222"/>
    <x v="547"/>
    <x v="51"/>
    <x v="547"/>
    <x v="67"/>
    <x v="2"/>
  </r>
  <r>
    <x v="548"/>
    <x v="410"/>
    <x v="0"/>
    <x v="7"/>
    <x v="25"/>
    <x v="0"/>
    <x v="0"/>
    <x v="218"/>
    <x v="548"/>
    <x v="129"/>
    <x v="548"/>
    <x v="66"/>
    <x v="6"/>
  </r>
  <r>
    <x v="549"/>
    <x v="411"/>
    <x v="1"/>
    <x v="5"/>
    <x v="17"/>
    <x v="0"/>
    <x v="1"/>
    <x v="504"/>
    <x v="549"/>
    <x v="106"/>
    <x v="549"/>
    <x v="65"/>
    <x v="5"/>
  </r>
  <r>
    <x v="550"/>
    <x v="412"/>
    <x v="0"/>
    <x v="7"/>
    <x v="26"/>
    <x v="0"/>
    <x v="1"/>
    <x v="505"/>
    <x v="550"/>
    <x v="0"/>
    <x v="550"/>
    <x v="64"/>
    <x v="2"/>
  </r>
  <r>
    <x v="551"/>
    <x v="413"/>
    <x v="0"/>
    <x v="5"/>
    <x v="17"/>
    <x v="0"/>
    <x v="5"/>
    <x v="506"/>
    <x v="551"/>
    <x v="206"/>
    <x v="551"/>
    <x v="63"/>
    <x v="9"/>
  </r>
  <r>
    <x v="552"/>
    <x v="392"/>
    <x v="1"/>
    <x v="7"/>
    <x v="18"/>
    <x v="0"/>
    <x v="3"/>
    <x v="507"/>
    <x v="552"/>
    <x v="61"/>
    <x v="552"/>
    <x v="64"/>
    <x v="3"/>
  </r>
  <r>
    <x v="553"/>
    <x v="160"/>
    <x v="0"/>
    <x v="7"/>
    <x v="26"/>
    <x v="0"/>
    <x v="4"/>
    <x v="508"/>
    <x v="553"/>
    <x v="161"/>
    <x v="553"/>
    <x v="63"/>
    <x v="6"/>
  </r>
  <r>
    <x v="554"/>
    <x v="414"/>
    <x v="0"/>
    <x v="5"/>
    <x v="29"/>
    <x v="0"/>
    <x v="5"/>
    <x v="509"/>
    <x v="554"/>
    <x v="66"/>
    <x v="554"/>
    <x v="64"/>
    <x v="5"/>
  </r>
  <r>
    <x v="555"/>
    <x v="329"/>
    <x v="0"/>
    <x v="0"/>
    <x v="0"/>
    <x v="0"/>
    <x v="2"/>
    <x v="510"/>
    <x v="555"/>
    <x v="207"/>
    <x v="555"/>
    <x v="65"/>
    <x v="6"/>
  </r>
  <r>
    <x v="556"/>
    <x v="415"/>
    <x v="1"/>
    <x v="4"/>
    <x v="20"/>
    <x v="1"/>
    <x v="2"/>
    <x v="511"/>
    <x v="556"/>
    <x v="0"/>
    <x v="556"/>
    <x v="66"/>
    <x v="6"/>
  </r>
  <r>
    <x v="557"/>
    <x v="301"/>
    <x v="2"/>
    <x v="4"/>
    <x v="9"/>
    <x v="0"/>
    <x v="2"/>
    <x v="512"/>
    <x v="557"/>
    <x v="140"/>
    <x v="557"/>
    <x v="65"/>
    <x v="0"/>
  </r>
  <r>
    <x v="558"/>
    <x v="210"/>
    <x v="0"/>
    <x v="2"/>
    <x v="2"/>
    <x v="0"/>
    <x v="2"/>
    <x v="513"/>
    <x v="558"/>
    <x v="110"/>
    <x v="558"/>
    <x v="64"/>
    <x v="2"/>
  </r>
  <r>
    <x v="559"/>
    <x v="416"/>
    <x v="1"/>
    <x v="3"/>
    <x v="27"/>
    <x v="0"/>
    <x v="5"/>
    <x v="514"/>
    <x v="559"/>
    <x v="141"/>
    <x v="559"/>
    <x v="63"/>
    <x v="7"/>
  </r>
  <r>
    <x v="560"/>
    <x v="417"/>
    <x v="1"/>
    <x v="2"/>
    <x v="8"/>
    <x v="0"/>
    <x v="3"/>
    <x v="515"/>
    <x v="560"/>
    <x v="99"/>
    <x v="560"/>
    <x v="62"/>
    <x v="9"/>
  </r>
  <r>
    <x v="561"/>
    <x v="418"/>
    <x v="1"/>
    <x v="4"/>
    <x v="9"/>
    <x v="2"/>
    <x v="4"/>
    <x v="516"/>
    <x v="561"/>
    <x v="207"/>
    <x v="561"/>
    <x v="61"/>
    <x v="0"/>
  </r>
  <r>
    <x v="562"/>
    <x v="236"/>
    <x v="1"/>
    <x v="4"/>
    <x v="4"/>
    <x v="0"/>
    <x v="3"/>
    <x v="517"/>
    <x v="562"/>
    <x v="0"/>
    <x v="562"/>
    <x v="62"/>
    <x v="3"/>
  </r>
  <r>
    <x v="563"/>
    <x v="419"/>
    <x v="1"/>
    <x v="4"/>
    <x v="9"/>
    <x v="0"/>
    <x v="5"/>
    <x v="518"/>
    <x v="563"/>
    <x v="43"/>
    <x v="563"/>
    <x v="61"/>
    <x v="9"/>
  </r>
  <r>
    <x v="564"/>
    <x v="63"/>
    <x v="0"/>
    <x v="0"/>
    <x v="15"/>
    <x v="0"/>
    <x v="0"/>
    <x v="519"/>
    <x v="564"/>
    <x v="78"/>
    <x v="564"/>
    <x v="60"/>
    <x v="3"/>
  </r>
  <r>
    <x v="565"/>
    <x v="82"/>
    <x v="0"/>
    <x v="7"/>
    <x v="32"/>
    <x v="0"/>
    <x v="3"/>
    <x v="520"/>
    <x v="565"/>
    <x v="158"/>
    <x v="565"/>
    <x v="56"/>
    <x v="7"/>
  </r>
  <r>
    <x v="566"/>
    <x v="309"/>
    <x v="1"/>
    <x v="0"/>
    <x v="28"/>
    <x v="0"/>
    <x v="1"/>
    <x v="521"/>
    <x v="566"/>
    <x v="137"/>
    <x v="566"/>
    <x v="55"/>
    <x v="9"/>
  </r>
  <r>
    <x v="567"/>
    <x v="208"/>
    <x v="0"/>
    <x v="0"/>
    <x v="0"/>
    <x v="0"/>
    <x v="4"/>
    <x v="497"/>
    <x v="567"/>
    <x v="0"/>
    <x v="567"/>
    <x v="54"/>
    <x v="3"/>
  </r>
  <r>
    <x v="568"/>
    <x v="415"/>
    <x v="0"/>
    <x v="1"/>
    <x v="1"/>
    <x v="0"/>
    <x v="4"/>
    <x v="410"/>
    <x v="568"/>
    <x v="0"/>
    <x v="568"/>
    <x v="69"/>
    <x v="0"/>
  </r>
  <r>
    <x v="569"/>
    <x v="420"/>
    <x v="0"/>
    <x v="0"/>
    <x v="24"/>
    <x v="0"/>
    <x v="0"/>
    <x v="259"/>
    <x v="569"/>
    <x v="34"/>
    <x v="569"/>
    <x v="54"/>
    <x v="1"/>
  </r>
  <r>
    <x v="570"/>
    <x v="421"/>
    <x v="0"/>
    <x v="7"/>
    <x v="14"/>
    <x v="0"/>
    <x v="1"/>
    <x v="522"/>
    <x v="570"/>
    <x v="0"/>
    <x v="570"/>
    <x v="55"/>
    <x v="2"/>
  </r>
  <r>
    <x v="571"/>
    <x v="295"/>
    <x v="1"/>
    <x v="5"/>
    <x v="29"/>
    <x v="0"/>
    <x v="1"/>
    <x v="506"/>
    <x v="571"/>
    <x v="64"/>
    <x v="571"/>
    <x v="56"/>
    <x v="9"/>
  </r>
  <r>
    <x v="572"/>
    <x v="21"/>
    <x v="0"/>
    <x v="0"/>
    <x v="28"/>
    <x v="0"/>
    <x v="3"/>
    <x v="335"/>
    <x v="572"/>
    <x v="147"/>
    <x v="572"/>
    <x v="60"/>
    <x v="8"/>
  </r>
  <r>
    <x v="573"/>
    <x v="52"/>
    <x v="0"/>
    <x v="3"/>
    <x v="27"/>
    <x v="1"/>
    <x v="0"/>
    <x v="523"/>
    <x v="573"/>
    <x v="208"/>
    <x v="573"/>
    <x v="56"/>
    <x v="6"/>
  </r>
  <r>
    <x v="574"/>
    <x v="422"/>
    <x v="1"/>
    <x v="5"/>
    <x v="29"/>
    <x v="0"/>
    <x v="4"/>
    <x v="119"/>
    <x v="574"/>
    <x v="154"/>
    <x v="574"/>
    <x v="60"/>
    <x v="8"/>
  </r>
  <r>
    <x v="575"/>
    <x v="423"/>
    <x v="0"/>
    <x v="1"/>
    <x v="21"/>
    <x v="0"/>
    <x v="4"/>
    <x v="524"/>
    <x v="575"/>
    <x v="209"/>
    <x v="575"/>
    <x v="61"/>
    <x v="4"/>
  </r>
  <r>
    <x v="576"/>
    <x v="43"/>
    <x v="1"/>
    <x v="4"/>
    <x v="11"/>
    <x v="2"/>
    <x v="2"/>
    <x v="525"/>
    <x v="576"/>
    <x v="22"/>
    <x v="576"/>
    <x v="62"/>
    <x v="6"/>
  </r>
  <r>
    <x v="577"/>
    <x v="165"/>
    <x v="1"/>
    <x v="1"/>
    <x v="1"/>
    <x v="0"/>
    <x v="0"/>
    <x v="526"/>
    <x v="577"/>
    <x v="77"/>
    <x v="577"/>
    <x v="63"/>
    <x v="6"/>
  </r>
  <r>
    <x v="578"/>
    <x v="206"/>
    <x v="1"/>
    <x v="7"/>
    <x v="14"/>
    <x v="2"/>
    <x v="3"/>
    <x v="527"/>
    <x v="578"/>
    <x v="176"/>
    <x v="578"/>
    <x v="64"/>
    <x v="6"/>
  </r>
  <r>
    <x v="579"/>
    <x v="424"/>
    <x v="0"/>
    <x v="6"/>
    <x v="22"/>
    <x v="0"/>
    <x v="1"/>
    <x v="528"/>
    <x v="579"/>
    <x v="37"/>
    <x v="579"/>
    <x v="65"/>
    <x v="7"/>
  </r>
  <r>
    <x v="580"/>
    <x v="206"/>
    <x v="1"/>
    <x v="0"/>
    <x v="0"/>
    <x v="0"/>
    <x v="3"/>
    <x v="529"/>
    <x v="580"/>
    <x v="18"/>
    <x v="580"/>
    <x v="64"/>
    <x v="1"/>
  </r>
  <r>
    <x v="581"/>
    <x v="425"/>
    <x v="0"/>
    <x v="1"/>
    <x v="1"/>
    <x v="0"/>
    <x v="1"/>
    <x v="530"/>
    <x v="581"/>
    <x v="133"/>
    <x v="581"/>
    <x v="65"/>
    <x v="9"/>
  </r>
  <r>
    <x v="582"/>
    <x v="423"/>
    <x v="0"/>
    <x v="7"/>
    <x v="14"/>
    <x v="0"/>
    <x v="2"/>
    <x v="391"/>
    <x v="582"/>
    <x v="20"/>
    <x v="582"/>
    <x v="66"/>
    <x v="8"/>
  </r>
  <r>
    <x v="583"/>
    <x v="426"/>
    <x v="1"/>
    <x v="0"/>
    <x v="24"/>
    <x v="0"/>
    <x v="0"/>
    <x v="531"/>
    <x v="583"/>
    <x v="115"/>
    <x v="583"/>
    <x v="65"/>
    <x v="9"/>
  </r>
  <r>
    <x v="584"/>
    <x v="427"/>
    <x v="0"/>
    <x v="3"/>
    <x v="27"/>
    <x v="0"/>
    <x v="4"/>
    <x v="532"/>
    <x v="584"/>
    <x v="195"/>
    <x v="584"/>
    <x v="64"/>
    <x v="6"/>
  </r>
  <r>
    <x v="585"/>
    <x v="428"/>
    <x v="1"/>
    <x v="6"/>
    <x v="13"/>
    <x v="0"/>
    <x v="2"/>
    <x v="177"/>
    <x v="585"/>
    <x v="19"/>
    <x v="585"/>
    <x v="63"/>
    <x v="1"/>
  </r>
  <r>
    <x v="586"/>
    <x v="228"/>
    <x v="1"/>
    <x v="4"/>
    <x v="5"/>
    <x v="0"/>
    <x v="5"/>
    <x v="533"/>
    <x v="586"/>
    <x v="51"/>
    <x v="586"/>
    <x v="62"/>
    <x v="4"/>
  </r>
  <r>
    <x v="587"/>
    <x v="429"/>
    <x v="0"/>
    <x v="4"/>
    <x v="9"/>
    <x v="0"/>
    <x v="4"/>
    <x v="534"/>
    <x v="587"/>
    <x v="133"/>
    <x v="587"/>
    <x v="61"/>
    <x v="0"/>
  </r>
  <r>
    <x v="588"/>
    <x v="430"/>
    <x v="1"/>
    <x v="4"/>
    <x v="9"/>
    <x v="0"/>
    <x v="4"/>
    <x v="172"/>
    <x v="588"/>
    <x v="127"/>
    <x v="588"/>
    <x v="60"/>
    <x v="4"/>
  </r>
  <r>
    <x v="589"/>
    <x v="431"/>
    <x v="1"/>
    <x v="4"/>
    <x v="5"/>
    <x v="0"/>
    <x v="0"/>
    <x v="535"/>
    <x v="589"/>
    <x v="105"/>
    <x v="589"/>
    <x v="56"/>
    <x v="2"/>
  </r>
  <r>
    <x v="590"/>
    <x v="232"/>
    <x v="0"/>
    <x v="4"/>
    <x v="5"/>
    <x v="2"/>
    <x v="0"/>
    <x v="536"/>
    <x v="590"/>
    <x v="210"/>
    <x v="590"/>
    <x v="60"/>
    <x v="1"/>
  </r>
  <r>
    <x v="591"/>
    <x v="146"/>
    <x v="1"/>
    <x v="3"/>
    <x v="27"/>
    <x v="0"/>
    <x v="0"/>
    <x v="537"/>
    <x v="591"/>
    <x v="71"/>
    <x v="591"/>
    <x v="61"/>
    <x v="1"/>
  </r>
  <r>
    <x v="592"/>
    <x v="202"/>
    <x v="1"/>
    <x v="4"/>
    <x v="11"/>
    <x v="0"/>
    <x v="1"/>
    <x v="538"/>
    <x v="592"/>
    <x v="187"/>
    <x v="592"/>
    <x v="60"/>
    <x v="5"/>
  </r>
  <r>
    <x v="593"/>
    <x v="161"/>
    <x v="0"/>
    <x v="0"/>
    <x v="0"/>
    <x v="0"/>
    <x v="0"/>
    <x v="539"/>
    <x v="593"/>
    <x v="192"/>
    <x v="593"/>
    <x v="56"/>
    <x v="4"/>
  </r>
  <r>
    <x v="594"/>
    <x v="132"/>
    <x v="1"/>
    <x v="5"/>
    <x v="6"/>
    <x v="0"/>
    <x v="5"/>
    <x v="540"/>
    <x v="594"/>
    <x v="0"/>
    <x v="594"/>
    <x v="55"/>
    <x v="8"/>
  </r>
  <r>
    <x v="595"/>
    <x v="416"/>
    <x v="0"/>
    <x v="7"/>
    <x v="14"/>
    <x v="2"/>
    <x v="3"/>
    <x v="541"/>
    <x v="595"/>
    <x v="26"/>
    <x v="595"/>
    <x v="54"/>
    <x v="5"/>
  </r>
  <r>
    <x v="596"/>
    <x v="289"/>
    <x v="0"/>
    <x v="3"/>
    <x v="7"/>
    <x v="2"/>
    <x v="4"/>
    <x v="542"/>
    <x v="596"/>
    <x v="137"/>
    <x v="596"/>
    <x v="55"/>
    <x v="9"/>
  </r>
  <r>
    <x v="597"/>
    <x v="247"/>
    <x v="1"/>
    <x v="4"/>
    <x v="11"/>
    <x v="0"/>
    <x v="5"/>
    <x v="543"/>
    <x v="597"/>
    <x v="60"/>
    <x v="597"/>
    <x v="56"/>
    <x v="9"/>
  </r>
  <r>
    <x v="598"/>
    <x v="231"/>
    <x v="1"/>
    <x v="4"/>
    <x v="11"/>
    <x v="0"/>
    <x v="3"/>
    <x v="544"/>
    <x v="598"/>
    <x v="35"/>
    <x v="598"/>
    <x v="55"/>
    <x v="9"/>
  </r>
  <r>
    <x v="599"/>
    <x v="432"/>
    <x v="0"/>
    <x v="4"/>
    <x v="4"/>
    <x v="0"/>
    <x v="1"/>
    <x v="387"/>
    <x v="599"/>
    <x v="200"/>
    <x v="599"/>
    <x v="54"/>
    <x v="4"/>
  </r>
  <r>
    <x v="600"/>
    <x v="65"/>
    <x v="1"/>
    <x v="4"/>
    <x v="11"/>
    <x v="2"/>
    <x v="1"/>
    <x v="545"/>
    <x v="600"/>
    <x v="77"/>
    <x v="600"/>
    <x v="69"/>
    <x v="5"/>
  </r>
  <r>
    <x v="601"/>
    <x v="14"/>
    <x v="0"/>
    <x v="6"/>
    <x v="22"/>
    <x v="2"/>
    <x v="3"/>
    <x v="546"/>
    <x v="601"/>
    <x v="0"/>
    <x v="601"/>
    <x v="48"/>
    <x v="3"/>
  </r>
  <r>
    <x v="602"/>
    <x v="433"/>
    <x v="1"/>
    <x v="4"/>
    <x v="9"/>
    <x v="0"/>
    <x v="4"/>
    <x v="547"/>
    <x v="602"/>
    <x v="123"/>
    <x v="602"/>
    <x v="70"/>
    <x v="5"/>
  </r>
  <r>
    <x v="603"/>
    <x v="389"/>
    <x v="0"/>
    <x v="4"/>
    <x v="9"/>
    <x v="0"/>
    <x v="0"/>
    <x v="548"/>
    <x v="603"/>
    <x v="160"/>
    <x v="603"/>
    <x v="44"/>
    <x v="2"/>
  </r>
  <r>
    <x v="604"/>
    <x v="38"/>
    <x v="0"/>
    <x v="4"/>
    <x v="11"/>
    <x v="2"/>
    <x v="1"/>
    <x v="549"/>
    <x v="604"/>
    <x v="155"/>
    <x v="604"/>
    <x v="42"/>
    <x v="9"/>
  </r>
  <r>
    <x v="605"/>
    <x v="434"/>
    <x v="0"/>
    <x v="0"/>
    <x v="24"/>
    <x v="0"/>
    <x v="4"/>
    <x v="550"/>
    <x v="605"/>
    <x v="211"/>
    <x v="605"/>
    <x v="41"/>
    <x v="9"/>
  </r>
  <r>
    <x v="606"/>
    <x v="76"/>
    <x v="1"/>
    <x v="4"/>
    <x v="11"/>
    <x v="1"/>
    <x v="2"/>
    <x v="551"/>
    <x v="606"/>
    <x v="157"/>
    <x v="606"/>
    <x v="42"/>
    <x v="3"/>
  </r>
  <r>
    <x v="607"/>
    <x v="251"/>
    <x v="0"/>
    <x v="0"/>
    <x v="28"/>
    <x v="0"/>
    <x v="1"/>
    <x v="520"/>
    <x v="607"/>
    <x v="137"/>
    <x v="607"/>
    <x v="41"/>
    <x v="7"/>
  </r>
  <r>
    <x v="608"/>
    <x v="362"/>
    <x v="1"/>
    <x v="7"/>
    <x v="25"/>
    <x v="0"/>
    <x v="0"/>
    <x v="359"/>
    <x v="608"/>
    <x v="79"/>
    <x v="608"/>
    <x v="40"/>
    <x v="6"/>
  </r>
  <r>
    <x v="609"/>
    <x v="435"/>
    <x v="1"/>
    <x v="2"/>
    <x v="8"/>
    <x v="0"/>
    <x v="4"/>
    <x v="552"/>
    <x v="609"/>
    <x v="86"/>
    <x v="609"/>
    <x v="39"/>
    <x v="2"/>
  </r>
  <r>
    <x v="610"/>
    <x v="11"/>
    <x v="0"/>
    <x v="4"/>
    <x v="4"/>
    <x v="0"/>
    <x v="0"/>
    <x v="469"/>
    <x v="610"/>
    <x v="50"/>
    <x v="610"/>
    <x v="40"/>
    <x v="1"/>
  </r>
  <r>
    <x v="611"/>
    <x v="342"/>
    <x v="1"/>
    <x v="5"/>
    <x v="17"/>
    <x v="0"/>
    <x v="5"/>
    <x v="553"/>
    <x v="611"/>
    <x v="116"/>
    <x v="611"/>
    <x v="39"/>
    <x v="8"/>
  </r>
  <r>
    <x v="612"/>
    <x v="428"/>
    <x v="0"/>
    <x v="3"/>
    <x v="19"/>
    <x v="0"/>
    <x v="5"/>
    <x v="554"/>
    <x v="612"/>
    <x v="53"/>
    <x v="612"/>
    <x v="71"/>
    <x v="4"/>
  </r>
  <r>
    <x v="613"/>
    <x v="436"/>
    <x v="1"/>
    <x v="4"/>
    <x v="9"/>
    <x v="0"/>
    <x v="3"/>
    <x v="409"/>
    <x v="613"/>
    <x v="0"/>
    <x v="613"/>
    <x v="39"/>
    <x v="4"/>
  </r>
  <r>
    <x v="614"/>
    <x v="437"/>
    <x v="1"/>
    <x v="5"/>
    <x v="29"/>
    <x v="2"/>
    <x v="3"/>
    <x v="555"/>
    <x v="614"/>
    <x v="164"/>
    <x v="614"/>
    <x v="40"/>
    <x v="9"/>
  </r>
  <r>
    <x v="615"/>
    <x v="426"/>
    <x v="1"/>
    <x v="1"/>
    <x v="1"/>
    <x v="0"/>
    <x v="2"/>
    <x v="556"/>
    <x v="615"/>
    <x v="173"/>
    <x v="615"/>
    <x v="41"/>
    <x v="5"/>
  </r>
  <r>
    <x v="616"/>
    <x v="211"/>
    <x v="0"/>
    <x v="4"/>
    <x v="12"/>
    <x v="2"/>
    <x v="5"/>
    <x v="557"/>
    <x v="616"/>
    <x v="0"/>
    <x v="616"/>
    <x v="42"/>
    <x v="9"/>
  </r>
  <r>
    <x v="617"/>
    <x v="201"/>
    <x v="1"/>
    <x v="6"/>
    <x v="31"/>
    <x v="0"/>
    <x v="4"/>
    <x v="558"/>
    <x v="617"/>
    <x v="40"/>
    <x v="617"/>
    <x v="44"/>
    <x v="4"/>
  </r>
  <r>
    <x v="618"/>
    <x v="244"/>
    <x v="0"/>
    <x v="5"/>
    <x v="17"/>
    <x v="0"/>
    <x v="1"/>
    <x v="559"/>
    <x v="618"/>
    <x v="42"/>
    <x v="618"/>
    <x v="42"/>
    <x v="3"/>
  </r>
  <r>
    <x v="619"/>
    <x v="423"/>
    <x v="1"/>
    <x v="2"/>
    <x v="30"/>
    <x v="0"/>
    <x v="5"/>
    <x v="560"/>
    <x v="619"/>
    <x v="126"/>
    <x v="619"/>
    <x v="44"/>
    <x v="3"/>
  </r>
  <r>
    <x v="620"/>
    <x v="36"/>
    <x v="1"/>
    <x v="4"/>
    <x v="20"/>
    <x v="1"/>
    <x v="2"/>
    <x v="561"/>
    <x v="620"/>
    <x v="212"/>
    <x v="620"/>
    <x v="42"/>
    <x v="4"/>
  </r>
  <r>
    <x v="621"/>
    <x v="106"/>
    <x v="1"/>
    <x v="4"/>
    <x v="11"/>
    <x v="0"/>
    <x v="3"/>
    <x v="562"/>
    <x v="621"/>
    <x v="213"/>
    <x v="621"/>
    <x v="41"/>
    <x v="6"/>
  </r>
  <r>
    <x v="622"/>
    <x v="423"/>
    <x v="1"/>
    <x v="0"/>
    <x v="24"/>
    <x v="0"/>
    <x v="1"/>
    <x v="563"/>
    <x v="622"/>
    <x v="82"/>
    <x v="622"/>
    <x v="42"/>
    <x v="9"/>
  </r>
  <r>
    <x v="623"/>
    <x v="74"/>
    <x v="1"/>
    <x v="7"/>
    <x v="26"/>
    <x v="1"/>
    <x v="0"/>
    <x v="564"/>
    <x v="623"/>
    <x v="17"/>
    <x v="623"/>
    <x v="44"/>
    <x v="5"/>
  </r>
  <r>
    <x v="624"/>
    <x v="438"/>
    <x v="1"/>
    <x v="3"/>
    <x v="7"/>
    <x v="0"/>
    <x v="0"/>
    <x v="565"/>
    <x v="624"/>
    <x v="214"/>
    <x v="624"/>
    <x v="42"/>
    <x v="9"/>
  </r>
  <r>
    <x v="625"/>
    <x v="119"/>
    <x v="0"/>
    <x v="0"/>
    <x v="28"/>
    <x v="0"/>
    <x v="4"/>
    <x v="566"/>
    <x v="625"/>
    <x v="38"/>
    <x v="625"/>
    <x v="44"/>
    <x v="8"/>
  </r>
  <r>
    <x v="626"/>
    <x v="246"/>
    <x v="1"/>
    <x v="0"/>
    <x v="0"/>
    <x v="2"/>
    <x v="2"/>
    <x v="567"/>
    <x v="626"/>
    <x v="58"/>
    <x v="626"/>
    <x v="42"/>
    <x v="6"/>
  </r>
  <r>
    <x v="627"/>
    <x v="439"/>
    <x v="1"/>
    <x v="2"/>
    <x v="8"/>
    <x v="0"/>
    <x v="3"/>
    <x v="568"/>
    <x v="627"/>
    <x v="167"/>
    <x v="627"/>
    <x v="44"/>
    <x v="5"/>
  </r>
  <r>
    <x v="628"/>
    <x v="440"/>
    <x v="1"/>
    <x v="4"/>
    <x v="11"/>
    <x v="0"/>
    <x v="5"/>
    <x v="569"/>
    <x v="628"/>
    <x v="0"/>
    <x v="628"/>
    <x v="42"/>
    <x v="0"/>
  </r>
  <r>
    <x v="629"/>
    <x v="441"/>
    <x v="0"/>
    <x v="6"/>
    <x v="22"/>
    <x v="2"/>
    <x v="1"/>
    <x v="570"/>
    <x v="629"/>
    <x v="154"/>
    <x v="629"/>
    <x v="41"/>
    <x v="8"/>
  </r>
  <r>
    <x v="630"/>
    <x v="266"/>
    <x v="2"/>
    <x v="2"/>
    <x v="30"/>
    <x v="0"/>
    <x v="1"/>
    <x v="571"/>
    <x v="630"/>
    <x v="215"/>
    <x v="630"/>
    <x v="40"/>
    <x v="3"/>
  </r>
  <r>
    <x v="631"/>
    <x v="442"/>
    <x v="1"/>
    <x v="5"/>
    <x v="29"/>
    <x v="0"/>
    <x v="5"/>
    <x v="572"/>
    <x v="631"/>
    <x v="0"/>
    <x v="631"/>
    <x v="39"/>
    <x v="2"/>
  </r>
  <r>
    <x v="632"/>
    <x v="443"/>
    <x v="1"/>
    <x v="7"/>
    <x v="14"/>
    <x v="0"/>
    <x v="0"/>
    <x v="573"/>
    <x v="632"/>
    <x v="52"/>
    <x v="632"/>
    <x v="40"/>
    <x v="8"/>
  </r>
  <r>
    <x v="633"/>
    <x v="264"/>
    <x v="1"/>
    <x v="7"/>
    <x v="18"/>
    <x v="0"/>
    <x v="4"/>
    <x v="574"/>
    <x v="633"/>
    <x v="8"/>
    <x v="633"/>
    <x v="41"/>
    <x v="0"/>
  </r>
  <r>
    <x v="634"/>
    <x v="398"/>
    <x v="1"/>
    <x v="4"/>
    <x v="12"/>
    <x v="1"/>
    <x v="2"/>
    <x v="575"/>
    <x v="634"/>
    <x v="145"/>
    <x v="634"/>
    <x v="40"/>
    <x v="1"/>
  </r>
  <r>
    <x v="635"/>
    <x v="336"/>
    <x v="1"/>
    <x v="0"/>
    <x v="0"/>
    <x v="0"/>
    <x v="3"/>
    <x v="576"/>
    <x v="635"/>
    <x v="166"/>
    <x v="635"/>
    <x v="39"/>
    <x v="7"/>
  </r>
  <r>
    <x v="636"/>
    <x v="376"/>
    <x v="1"/>
    <x v="7"/>
    <x v="32"/>
    <x v="0"/>
    <x v="0"/>
    <x v="577"/>
    <x v="636"/>
    <x v="182"/>
    <x v="636"/>
    <x v="40"/>
    <x v="3"/>
  </r>
  <r>
    <x v="637"/>
    <x v="444"/>
    <x v="1"/>
    <x v="6"/>
    <x v="13"/>
    <x v="2"/>
    <x v="0"/>
    <x v="578"/>
    <x v="637"/>
    <x v="11"/>
    <x v="637"/>
    <x v="41"/>
    <x v="7"/>
  </r>
  <r>
    <x v="638"/>
    <x v="445"/>
    <x v="1"/>
    <x v="6"/>
    <x v="16"/>
    <x v="0"/>
    <x v="3"/>
    <x v="579"/>
    <x v="638"/>
    <x v="104"/>
    <x v="638"/>
    <x v="40"/>
    <x v="6"/>
  </r>
  <r>
    <x v="639"/>
    <x v="227"/>
    <x v="1"/>
    <x v="0"/>
    <x v="15"/>
    <x v="0"/>
    <x v="1"/>
    <x v="541"/>
    <x v="639"/>
    <x v="88"/>
    <x v="639"/>
    <x v="39"/>
    <x v="5"/>
  </r>
  <r>
    <x v="640"/>
    <x v="446"/>
    <x v="2"/>
    <x v="4"/>
    <x v="20"/>
    <x v="0"/>
    <x v="5"/>
    <x v="580"/>
    <x v="640"/>
    <x v="206"/>
    <x v="640"/>
    <x v="40"/>
    <x v="0"/>
  </r>
  <r>
    <x v="641"/>
    <x v="317"/>
    <x v="0"/>
    <x v="0"/>
    <x v="15"/>
    <x v="0"/>
    <x v="5"/>
    <x v="581"/>
    <x v="641"/>
    <x v="0"/>
    <x v="641"/>
    <x v="39"/>
    <x v="9"/>
  </r>
  <r>
    <x v="642"/>
    <x v="447"/>
    <x v="0"/>
    <x v="4"/>
    <x v="20"/>
    <x v="0"/>
    <x v="3"/>
    <x v="582"/>
    <x v="642"/>
    <x v="132"/>
    <x v="642"/>
    <x v="72"/>
    <x v="6"/>
  </r>
  <r>
    <x v="643"/>
    <x v="448"/>
    <x v="1"/>
    <x v="0"/>
    <x v="28"/>
    <x v="0"/>
    <x v="4"/>
    <x v="583"/>
    <x v="643"/>
    <x v="149"/>
    <x v="643"/>
    <x v="23"/>
    <x v="5"/>
  </r>
  <r>
    <x v="644"/>
    <x v="449"/>
    <x v="0"/>
    <x v="4"/>
    <x v="11"/>
    <x v="0"/>
    <x v="0"/>
    <x v="584"/>
    <x v="644"/>
    <x v="37"/>
    <x v="644"/>
    <x v="72"/>
    <x v="4"/>
  </r>
  <r>
    <x v="645"/>
    <x v="80"/>
    <x v="1"/>
    <x v="5"/>
    <x v="6"/>
    <x v="0"/>
    <x v="4"/>
    <x v="78"/>
    <x v="645"/>
    <x v="79"/>
    <x v="645"/>
    <x v="39"/>
    <x v="3"/>
  </r>
  <r>
    <x v="646"/>
    <x v="340"/>
    <x v="0"/>
    <x v="3"/>
    <x v="7"/>
    <x v="0"/>
    <x v="1"/>
    <x v="585"/>
    <x v="646"/>
    <x v="37"/>
    <x v="646"/>
    <x v="72"/>
    <x v="6"/>
  </r>
  <r>
    <x v="647"/>
    <x v="111"/>
    <x v="0"/>
    <x v="2"/>
    <x v="2"/>
    <x v="0"/>
    <x v="5"/>
    <x v="586"/>
    <x v="647"/>
    <x v="16"/>
    <x v="647"/>
    <x v="39"/>
    <x v="7"/>
  </r>
  <r>
    <x v="648"/>
    <x v="450"/>
    <x v="1"/>
    <x v="5"/>
    <x v="6"/>
    <x v="0"/>
    <x v="2"/>
    <x v="587"/>
    <x v="648"/>
    <x v="128"/>
    <x v="648"/>
    <x v="72"/>
    <x v="4"/>
  </r>
  <r>
    <x v="649"/>
    <x v="451"/>
    <x v="1"/>
    <x v="7"/>
    <x v="18"/>
    <x v="0"/>
    <x v="2"/>
    <x v="14"/>
    <x v="649"/>
    <x v="175"/>
    <x v="649"/>
    <x v="23"/>
    <x v="0"/>
  </r>
  <r>
    <x v="650"/>
    <x v="169"/>
    <x v="1"/>
    <x v="4"/>
    <x v="11"/>
    <x v="0"/>
    <x v="2"/>
    <x v="588"/>
    <x v="650"/>
    <x v="216"/>
    <x v="650"/>
    <x v="72"/>
    <x v="5"/>
  </r>
  <r>
    <x v="651"/>
    <x v="433"/>
    <x v="1"/>
    <x v="7"/>
    <x v="32"/>
    <x v="0"/>
    <x v="4"/>
    <x v="563"/>
    <x v="651"/>
    <x v="10"/>
    <x v="651"/>
    <x v="23"/>
    <x v="9"/>
  </r>
  <r>
    <x v="652"/>
    <x v="452"/>
    <x v="0"/>
    <x v="7"/>
    <x v="32"/>
    <x v="0"/>
    <x v="2"/>
    <x v="589"/>
    <x v="652"/>
    <x v="217"/>
    <x v="652"/>
    <x v="24"/>
    <x v="4"/>
  </r>
  <r>
    <x v="653"/>
    <x v="453"/>
    <x v="1"/>
    <x v="2"/>
    <x v="8"/>
    <x v="0"/>
    <x v="0"/>
    <x v="361"/>
    <x v="653"/>
    <x v="20"/>
    <x v="653"/>
    <x v="25"/>
    <x v="2"/>
  </r>
  <r>
    <x v="654"/>
    <x v="85"/>
    <x v="0"/>
    <x v="0"/>
    <x v="0"/>
    <x v="0"/>
    <x v="0"/>
    <x v="590"/>
    <x v="654"/>
    <x v="2"/>
    <x v="654"/>
    <x v="24"/>
    <x v="0"/>
  </r>
  <r>
    <x v="655"/>
    <x v="454"/>
    <x v="1"/>
    <x v="4"/>
    <x v="12"/>
    <x v="0"/>
    <x v="2"/>
    <x v="591"/>
    <x v="655"/>
    <x v="163"/>
    <x v="655"/>
    <x v="23"/>
    <x v="4"/>
  </r>
  <r>
    <x v="656"/>
    <x v="455"/>
    <x v="1"/>
    <x v="6"/>
    <x v="22"/>
    <x v="0"/>
    <x v="3"/>
    <x v="592"/>
    <x v="656"/>
    <x v="73"/>
    <x v="656"/>
    <x v="24"/>
    <x v="0"/>
  </r>
  <r>
    <x v="657"/>
    <x v="318"/>
    <x v="0"/>
    <x v="0"/>
    <x v="24"/>
    <x v="0"/>
    <x v="5"/>
    <x v="593"/>
    <x v="657"/>
    <x v="0"/>
    <x v="657"/>
    <x v="25"/>
    <x v="4"/>
  </r>
  <r>
    <x v="658"/>
    <x v="192"/>
    <x v="1"/>
    <x v="3"/>
    <x v="19"/>
    <x v="0"/>
    <x v="5"/>
    <x v="594"/>
    <x v="658"/>
    <x v="195"/>
    <x v="658"/>
    <x v="73"/>
    <x v="3"/>
  </r>
  <r>
    <x v="659"/>
    <x v="393"/>
    <x v="1"/>
    <x v="7"/>
    <x v="32"/>
    <x v="0"/>
    <x v="1"/>
    <x v="595"/>
    <x v="659"/>
    <x v="177"/>
    <x v="659"/>
    <x v="25"/>
    <x v="2"/>
  </r>
  <r>
    <x v="660"/>
    <x v="456"/>
    <x v="0"/>
    <x v="0"/>
    <x v="28"/>
    <x v="0"/>
    <x v="2"/>
    <x v="596"/>
    <x v="660"/>
    <x v="24"/>
    <x v="660"/>
    <x v="24"/>
    <x v="5"/>
  </r>
  <r>
    <x v="661"/>
    <x v="457"/>
    <x v="1"/>
    <x v="1"/>
    <x v="1"/>
    <x v="0"/>
    <x v="5"/>
    <x v="597"/>
    <x v="661"/>
    <x v="0"/>
    <x v="661"/>
    <x v="25"/>
    <x v="4"/>
  </r>
  <r>
    <x v="662"/>
    <x v="272"/>
    <x v="3"/>
    <x v="3"/>
    <x v="27"/>
    <x v="0"/>
    <x v="5"/>
    <x v="256"/>
    <x v="662"/>
    <x v="218"/>
    <x v="662"/>
    <x v="24"/>
    <x v="0"/>
  </r>
  <r>
    <x v="663"/>
    <x v="458"/>
    <x v="1"/>
    <x v="6"/>
    <x v="22"/>
    <x v="0"/>
    <x v="4"/>
    <x v="598"/>
    <x v="663"/>
    <x v="0"/>
    <x v="663"/>
    <x v="25"/>
    <x v="2"/>
  </r>
  <r>
    <x v="664"/>
    <x v="459"/>
    <x v="0"/>
    <x v="4"/>
    <x v="12"/>
    <x v="0"/>
    <x v="3"/>
    <x v="599"/>
    <x v="664"/>
    <x v="0"/>
    <x v="664"/>
    <x v="73"/>
    <x v="5"/>
  </r>
  <r>
    <x v="665"/>
    <x v="460"/>
    <x v="0"/>
    <x v="4"/>
    <x v="4"/>
    <x v="0"/>
    <x v="3"/>
    <x v="600"/>
    <x v="665"/>
    <x v="71"/>
    <x v="665"/>
    <x v="25"/>
    <x v="0"/>
  </r>
  <r>
    <x v="666"/>
    <x v="67"/>
    <x v="0"/>
    <x v="6"/>
    <x v="13"/>
    <x v="0"/>
    <x v="1"/>
    <x v="601"/>
    <x v="666"/>
    <x v="189"/>
    <x v="666"/>
    <x v="73"/>
    <x v="2"/>
  </r>
  <r>
    <x v="667"/>
    <x v="135"/>
    <x v="1"/>
    <x v="4"/>
    <x v="12"/>
    <x v="0"/>
    <x v="5"/>
    <x v="602"/>
    <x v="667"/>
    <x v="203"/>
    <x v="667"/>
    <x v="31"/>
    <x v="0"/>
  </r>
  <r>
    <x v="668"/>
    <x v="461"/>
    <x v="1"/>
    <x v="4"/>
    <x v="11"/>
    <x v="0"/>
    <x v="1"/>
    <x v="603"/>
    <x v="668"/>
    <x v="66"/>
    <x v="668"/>
    <x v="32"/>
    <x v="7"/>
  </r>
  <r>
    <x v="669"/>
    <x v="139"/>
    <x v="1"/>
    <x v="6"/>
    <x v="16"/>
    <x v="0"/>
    <x v="4"/>
    <x v="604"/>
    <x v="669"/>
    <x v="145"/>
    <x v="669"/>
    <x v="31"/>
    <x v="1"/>
  </r>
  <r>
    <x v="670"/>
    <x v="435"/>
    <x v="1"/>
    <x v="4"/>
    <x v="9"/>
    <x v="2"/>
    <x v="0"/>
    <x v="605"/>
    <x v="670"/>
    <x v="219"/>
    <x v="670"/>
    <x v="32"/>
    <x v="1"/>
  </r>
  <r>
    <x v="671"/>
    <x v="214"/>
    <x v="0"/>
    <x v="5"/>
    <x v="6"/>
    <x v="2"/>
    <x v="1"/>
    <x v="606"/>
    <x v="671"/>
    <x v="86"/>
    <x v="671"/>
    <x v="74"/>
    <x v="2"/>
  </r>
  <r>
    <x v="672"/>
    <x v="462"/>
    <x v="3"/>
    <x v="4"/>
    <x v="4"/>
    <x v="1"/>
    <x v="4"/>
    <x v="607"/>
    <x v="672"/>
    <x v="67"/>
    <x v="672"/>
    <x v="75"/>
    <x v="9"/>
  </r>
  <r>
    <x v="673"/>
    <x v="463"/>
    <x v="1"/>
    <x v="7"/>
    <x v="18"/>
    <x v="0"/>
    <x v="3"/>
    <x v="608"/>
    <x v="673"/>
    <x v="11"/>
    <x v="673"/>
    <x v="76"/>
    <x v="6"/>
  </r>
  <r>
    <x v="674"/>
    <x v="464"/>
    <x v="0"/>
    <x v="0"/>
    <x v="28"/>
    <x v="0"/>
    <x v="0"/>
    <x v="510"/>
    <x v="674"/>
    <x v="91"/>
    <x v="674"/>
    <x v="75"/>
    <x v="6"/>
  </r>
  <r>
    <x v="675"/>
    <x v="53"/>
    <x v="0"/>
    <x v="1"/>
    <x v="21"/>
    <x v="0"/>
    <x v="1"/>
    <x v="609"/>
    <x v="675"/>
    <x v="175"/>
    <x v="675"/>
    <x v="76"/>
    <x v="0"/>
  </r>
  <r>
    <x v="676"/>
    <x v="465"/>
    <x v="0"/>
    <x v="4"/>
    <x v="11"/>
    <x v="0"/>
    <x v="0"/>
    <x v="413"/>
    <x v="676"/>
    <x v="215"/>
    <x v="676"/>
    <x v="75"/>
    <x v="2"/>
  </r>
  <r>
    <x v="677"/>
    <x v="22"/>
    <x v="0"/>
    <x v="0"/>
    <x v="24"/>
    <x v="0"/>
    <x v="0"/>
    <x v="30"/>
    <x v="677"/>
    <x v="137"/>
    <x v="677"/>
    <x v="74"/>
    <x v="7"/>
  </r>
  <r>
    <x v="678"/>
    <x v="370"/>
    <x v="1"/>
    <x v="1"/>
    <x v="21"/>
    <x v="0"/>
    <x v="5"/>
    <x v="610"/>
    <x v="678"/>
    <x v="12"/>
    <x v="678"/>
    <x v="32"/>
    <x v="3"/>
  </r>
  <r>
    <x v="679"/>
    <x v="466"/>
    <x v="1"/>
    <x v="5"/>
    <x v="17"/>
    <x v="0"/>
    <x v="5"/>
    <x v="611"/>
    <x v="679"/>
    <x v="220"/>
    <x v="679"/>
    <x v="31"/>
    <x v="1"/>
  </r>
  <r>
    <x v="680"/>
    <x v="467"/>
    <x v="0"/>
    <x v="5"/>
    <x v="29"/>
    <x v="0"/>
    <x v="0"/>
    <x v="612"/>
    <x v="680"/>
    <x v="146"/>
    <x v="680"/>
    <x v="73"/>
    <x v="7"/>
  </r>
  <r>
    <x v="681"/>
    <x v="468"/>
    <x v="1"/>
    <x v="6"/>
    <x v="16"/>
    <x v="0"/>
    <x v="0"/>
    <x v="613"/>
    <x v="681"/>
    <x v="25"/>
    <x v="681"/>
    <x v="25"/>
    <x v="6"/>
  </r>
  <r>
    <x v="682"/>
    <x v="445"/>
    <x v="1"/>
    <x v="4"/>
    <x v="5"/>
    <x v="0"/>
    <x v="5"/>
    <x v="614"/>
    <x v="682"/>
    <x v="107"/>
    <x v="682"/>
    <x v="73"/>
    <x v="9"/>
  </r>
  <r>
    <x v="683"/>
    <x v="104"/>
    <x v="1"/>
    <x v="3"/>
    <x v="27"/>
    <x v="0"/>
    <x v="1"/>
    <x v="615"/>
    <x v="683"/>
    <x v="192"/>
    <x v="683"/>
    <x v="31"/>
    <x v="1"/>
  </r>
  <r>
    <x v="684"/>
    <x v="400"/>
    <x v="1"/>
    <x v="1"/>
    <x v="21"/>
    <x v="0"/>
    <x v="4"/>
    <x v="551"/>
    <x v="684"/>
    <x v="101"/>
    <x v="684"/>
    <x v="73"/>
    <x v="3"/>
  </r>
  <r>
    <x v="685"/>
    <x v="206"/>
    <x v="1"/>
    <x v="7"/>
    <x v="26"/>
    <x v="0"/>
    <x v="2"/>
    <x v="616"/>
    <x v="685"/>
    <x v="221"/>
    <x v="685"/>
    <x v="25"/>
    <x v="4"/>
  </r>
  <r>
    <x v="686"/>
    <x v="469"/>
    <x v="0"/>
    <x v="7"/>
    <x v="26"/>
    <x v="0"/>
    <x v="2"/>
    <x v="617"/>
    <x v="686"/>
    <x v="8"/>
    <x v="686"/>
    <x v="73"/>
    <x v="8"/>
  </r>
  <r>
    <x v="687"/>
    <x v="314"/>
    <x v="1"/>
    <x v="6"/>
    <x v="22"/>
    <x v="0"/>
    <x v="3"/>
    <x v="618"/>
    <x v="687"/>
    <x v="112"/>
    <x v="687"/>
    <x v="31"/>
    <x v="10"/>
  </r>
  <r>
    <x v="688"/>
    <x v="266"/>
    <x v="1"/>
    <x v="2"/>
    <x v="30"/>
    <x v="0"/>
    <x v="0"/>
    <x v="619"/>
    <x v="688"/>
    <x v="171"/>
    <x v="688"/>
    <x v="32"/>
    <x v="0"/>
  </r>
  <r>
    <x v="689"/>
    <x v="470"/>
    <x v="0"/>
    <x v="4"/>
    <x v="5"/>
    <x v="0"/>
    <x v="5"/>
    <x v="620"/>
    <x v="689"/>
    <x v="2"/>
    <x v="689"/>
    <x v="74"/>
    <x v="0"/>
  </r>
  <r>
    <x v="690"/>
    <x v="471"/>
    <x v="0"/>
    <x v="0"/>
    <x v="0"/>
    <x v="0"/>
    <x v="4"/>
    <x v="370"/>
    <x v="690"/>
    <x v="184"/>
    <x v="690"/>
    <x v="32"/>
    <x v="5"/>
  </r>
  <r>
    <x v="691"/>
    <x v="472"/>
    <x v="1"/>
    <x v="0"/>
    <x v="24"/>
    <x v="2"/>
    <x v="0"/>
    <x v="621"/>
    <x v="691"/>
    <x v="48"/>
    <x v="691"/>
    <x v="31"/>
    <x v="5"/>
  </r>
  <r>
    <x v="692"/>
    <x v="473"/>
    <x v="0"/>
    <x v="7"/>
    <x v="32"/>
    <x v="0"/>
    <x v="4"/>
    <x v="520"/>
    <x v="692"/>
    <x v="222"/>
    <x v="692"/>
    <x v="73"/>
    <x v="7"/>
  </r>
  <r>
    <x v="693"/>
    <x v="474"/>
    <x v="0"/>
    <x v="6"/>
    <x v="13"/>
    <x v="0"/>
    <x v="5"/>
    <x v="622"/>
    <x v="693"/>
    <x v="110"/>
    <x v="693"/>
    <x v="31"/>
    <x v="6"/>
  </r>
  <r>
    <x v="694"/>
    <x v="475"/>
    <x v="0"/>
    <x v="4"/>
    <x v="9"/>
    <x v="0"/>
    <x v="0"/>
    <x v="623"/>
    <x v="694"/>
    <x v="130"/>
    <x v="694"/>
    <x v="73"/>
    <x v="3"/>
  </r>
  <r>
    <x v="695"/>
    <x v="476"/>
    <x v="0"/>
    <x v="3"/>
    <x v="7"/>
    <x v="0"/>
    <x v="1"/>
    <x v="86"/>
    <x v="695"/>
    <x v="97"/>
    <x v="695"/>
    <x v="31"/>
    <x v="1"/>
  </r>
  <r>
    <x v="696"/>
    <x v="418"/>
    <x v="0"/>
    <x v="6"/>
    <x v="13"/>
    <x v="0"/>
    <x v="0"/>
    <x v="624"/>
    <x v="696"/>
    <x v="223"/>
    <x v="696"/>
    <x v="73"/>
    <x v="8"/>
  </r>
  <r>
    <x v="697"/>
    <x v="320"/>
    <x v="0"/>
    <x v="7"/>
    <x v="25"/>
    <x v="0"/>
    <x v="5"/>
    <x v="625"/>
    <x v="697"/>
    <x v="69"/>
    <x v="697"/>
    <x v="25"/>
    <x v="3"/>
  </r>
  <r>
    <x v="698"/>
    <x v="466"/>
    <x v="1"/>
    <x v="4"/>
    <x v="12"/>
    <x v="2"/>
    <x v="1"/>
    <x v="626"/>
    <x v="698"/>
    <x v="142"/>
    <x v="698"/>
    <x v="24"/>
    <x v="4"/>
  </r>
  <r>
    <x v="699"/>
    <x v="105"/>
    <x v="1"/>
    <x v="7"/>
    <x v="14"/>
    <x v="1"/>
    <x v="1"/>
    <x v="627"/>
    <x v="699"/>
    <x v="35"/>
    <x v="699"/>
    <x v="25"/>
    <x v="6"/>
  </r>
  <r>
    <x v="700"/>
    <x v="477"/>
    <x v="0"/>
    <x v="7"/>
    <x v="26"/>
    <x v="0"/>
    <x v="1"/>
    <x v="360"/>
    <x v="700"/>
    <x v="21"/>
    <x v="700"/>
    <x v="24"/>
    <x v="9"/>
  </r>
  <r>
    <x v="701"/>
    <x v="379"/>
    <x v="0"/>
    <x v="4"/>
    <x v="9"/>
    <x v="0"/>
    <x v="4"/>
    <x v="628"/>
    <x v="701"/>
    <x v="86"/>
    <x v="701"/>
    <x v="25"/>
    <x v="2"/>
  </r>
  <r>
    <x v="702"/>
    <x v="213"/>
    <x v="0"/>
    <x v="0"/>
    <x v="24"/>
    <x v="2"/>
    <x v="3"/>
    <x v="629"/>
    <x v="702"/>
    <x v="63"/>
    <x v="702"/>
    <x v="24"/>
    <x v="5"/>
  </r>
  <r>
    <x v="703"/>
    <x v="478"/>
    <x v="1"/>
    <x v="4"/>
    <x v="20"/>
    <x v="0"/>
    <x v="3"/>
    <x v="630"/>
    <x v="703"/>
    <x v="85"/>
    <x v="703"/>
    <x v="25"/>
    <x v="2"/>
  </r>
  <r>
    <x v="704"/>
    <x v="479"/>
    <x v="1"/>
    <x v="4"/>
    <x v="9"/>
    <x v="0"/>
    <x v="4"/>
    <x v="631"/>
    <x v="704"/>
    <x v="157"/>
    <x v="704"/>
    <x v="73"/>
    <x v="6"/>
  </r>
  <r>
    <x v="705"/>
    <x v="375"/>
    <x v="1"/>
    <x v="1"/>
    <x v="21"/>
    <x v="1"/>
    <x v="0"/>
    <x v="632"/>
    <x v="705"/>
    <x v="131"/>
    <x v="705"/>
    <x v="31"/>
    <x v="0"/>
  </r>
  <r>
    <x v="706"/>
    <x v="90"/>
    <x v="0"/>
    <x v="0"/>
    <x v="28"/>
    <x v="1"/>
    <x v="0"/>
    <x v="633"/>
    <x v="706"/>
    <x v="176"/>
    <x v="706"/>
    <x v="73"/>
    <x v="5"/>
  </r>
  <r>
    <x v="707"/>
    <x v="249"/>
    <x v="0"/>
    <x v="5"/>
    <x v="29"/>
    <x v="0"/>
    <x v="4"/>
    <x v="239"/>
    <x v="707"/>
    <x v="113"/>
    <x v="707"/>
    <x v="25"/>
    <x v="4"/>
  </r>
  <r>
    <x v="708"/>
    <x v="268"/>
    <x v="1"/>
    <x v="6"/>
    <x v="31"/>
    <x v="0"/>
    <x v="0"/>
    <x v="634"/>
    <x v="708"/>
    <x v="63"/>
    <x v="708"/>
    <x v="24"/>
    <x v="8"/>
  </r>
  <r>
    <x v="709"/>
    <x v="419"/>
    <x v="1"/>
    <x v="2"/>
    <x v="30"/>
    <x v="0"/>
    <x v="2"/>
    <x v="635"/>
    <x v="709"/>
    <x v="49"/>
    <x v="709"/>
    <x v="25"/>
    <x v="9"/>
  </r>
  <r>
    <x v="710"/>
    <x v="155"/>
    <x v="0"/>
    <x v="2"/>
    <x v="23"/>
    <x v="0"/>
    <x v="3"/>
    <x v="636"/>
    <x v="710"/>
    <x v="54"/>
    <x v="710"/>
    <x v="73"/>
    <x v="8"/>
  </r>
  <r>
    <x v="711"/>
    <x v="480"/>
    <x v="0"/>
    <x v="3"/>
    <x v="7"/>
    <x v="0"/>
    <x v="2"/>
    <x v="637"/>
    <x v="711"/>
    <x v="137"/>
    <x v="711"/>
    <x v="25"/>
    <x v="4"/>
  </r>
  <r>
    <x v="712"/>
    <x v="311"/>
    <x v="0"/>
    <x v="7"/>
    <x v="18"/>
    <x v="0"/>
    <x v="0"/>
    <x v="638"/>
    <x v="712"/>
    <x v="79"/>
    <x v="712"/>
    <x v="24"/>
    <x v="0"/>
  </r>
  <r>
    <x v="713"/>
    <x v="456"/>
    <x v="1"/>
    <x v="0"/>
    <x v="24"/>
    <x v="0"/>
    <x v="4"/>
    <x v="272"/>
    <x v="713"/>
    <x v="35"/>
    <x v="713"/>
    <x v="23"/>
    <x v="6"/>
  </r>
  <r>
    <x v="714"/>
    <x v="481"/>
    <x v="1"/>
    <x v="0"/>
    <x v="0"/>
    <x v="0"/>
    <x v="0"/>
    <x v="639"/>
    <x v="714"/>
    <x v="166"/>
    <x v="714"/>
    <x v="24"/>
    <x v="7"/>
  </r>
  <r>
    <x v="715"/>
    <x v="482"/>
    <x v="1"/>
    <x v="1"/>
    <x v="10"/>
    <x v="0"/>
    <x v="4"/>
    <x v="640"/>
    <x v="715"/>
    <x v="200"/>
    <x v="715"/>
    <x v="23"/>
    <x v="3"/>
  </r>
  <r>
    <x v="716"/>
    <x v="483"/>
    <x v="1"/>
    <x v="5"/>
    <x v="29"/>
    <x v="0"/>
    <x v="4"/>
    <x v="641"/>
    <x v="716"/>
    <x v="85"/>
    <x v="716"/>
    <x v="24"/>
    <x v="8"/>
  </r>
  <r>
    <x v="717"/>
    <x v="319"/>
    <x v="1"/>
    <x v="1"/>
    <x v="1"/>
    <x v="0"/>
    <x v="4"/>
    <x v="642"/>
    <x v="717"/>
    <x v="156"/>
    <x v="717"/>
    <x v="23"/>
    <x v="3"/>
  </r>
  <r>
    <x v="718"/>
    <x v="399"/>
    <x v="1"/>
    <x v="4"/>
    <x v="12"/>
    <x v="0"/>
    <x v="1"/>
    <x v="643"/>
    <x v="718"/>
    <x v="159"/>
    <x v="718"/>
    <x v="72"/>
    <x v="10"/>
  </r>
  <r>
    <x v="719"/>
    <x v="185"/>
    <x v="1"/>
    <x v="2"/>
    <x v="23"/>
    <x v="0"/>
    <x v="2"/>
    <x v="644"/>
    <x v="719"/>
    <x v="0"/>
    <x v="719"/>
    <x v="39"/>
    <x v="8"/>
  </r>
  <r>
    <x v="720"/>
    <x v="426"/>
    <x v="1"/>
    <x v="1"/>
    <x v="21"/>
    <x v="0"/>
    <x v="1"/>
    <x v="645"/>
    <x v="720"/>
    <x v="212"/>
    <x v="720"/>
    <x v="40"/>
    <x v="3"/>
  </r>
  <r>
    <x v="721"/>
    <x v="484"/>
    <x v="0"/>
    <x v="4"/>
    <x v="11"/>
    <x v="2"/>
    <x v="5"/>
    <x v="646"/>
    <x v="721"/>
    <x v="204"/>
    <x v="721"/>
    <x v="41"/>
    <x v="8"/>
  </r>
  <r>
    <x v="722"/>
    <x v="237"/>
    <x v="0"/>
    <x v="4"/>
    <x v="9"/>
    <x v="0"/>
    <x v="1"/>
    <x v="647"/>
    <x v="722"/>
    <x v="39"/>
    <x v="722"/>
    <x v="42"/>
    <x v="5"/>
  </r>
  <r>
    <x v="723"/>
    <x v="485"/>
    <x v="0"/>
    <x v="2"/>
    <x v="23"/>
    <x v="0"/>
    <x v="3"/>
    <x v="648"/>
    <x v="723"/>
    <x v="77"/>
    <x v="723"/>
    <x v="41"/>
    <x v="1"/>
  </r>
  <r>
    <x v="724"/>
    <x v="338"/>
    <x v="0"/>
    <x v="7"/>
    <x v="18"/>
    <x v="0"/>
    <x v="1"/>
    <x v="649"/>
    <x v="724"/>
    <x v="109"/>
    <x v="724"/>
    <x v="42"/>
    <x v="6"/>
  </r>
  <r>
    <x v="725"/>
    <x v="486"/>
    <x v="3"/>
    <x v="5"/>
    <x v="29"/>
    <x v="0"/>
    <x v="5"/>
    <x v="650"/>
    <x v="725"/>
    <x v="2"/>
    <x v="725"/>
    <x v="41"/>
    <x v="2"/>
  </r>
  <r>
    <x v="726"/>
    <x v="404"/>
    <x v="0"/>
    <x v="4"/>
    <x v="20"/>
    <x v="0"/>
    <x v="1"/>
    <x v="323"/>
    <x v="726"/>
    <x v="0"/>
    <x v="726"/>
    <x v="42"/>
    <x v="4"/>
  </r>
  <r>
    <x v="727"/>
    <x v="257"/>
    <x v="1"/>
    <x v="5"/>
    <x v="6"/>
    <x v="0"/>
    <x v="2"/>
    <x v="651"/>
    <x v="727"/>
    <x v="154"/>
    <x v="727"/>
    <x v="41"/>
    <x v="10"/>
  </r>
  <r>
    <x v="728"/>
    <x v="192"/>
    <x v="1"/>
    <x v="4"/>
    <x v="4"/>
    <x v="0"/>
    <x v="4"/>
    <x v="652"/>
    <x v="728"/>
    <x v="0"/>
    <x v="728"/>
    <x v="42"/>
    <x v="8"/>
  </r>
  <r>
    <x v="729"/>
    <x v="417"/>
    <x v="0"/>
    <x v="4"/>
    <x v="20"/>
    <x v="0"/>
    <x v="3"/>
    <x v="653"/>
    <x v="729"/>
    <x v="65"/>
    <x v="729"/>
    <x v="41"/>
    <x v="2"/>
  </r>
  <r>
    <x v="730"/>
    <x v="286"/>
    <x v="1"/>
    <x v="4"/>
    <x v="9"/>
    <x v="0"/>
    <x v="1"/>
    <x v="654"/>
    <x v="730"/>
    <x v="207"/>
    <x v="730"/>
    <x v="40"/>
    <x v="5"/>
  </r>
  <r>
    <x v="731"/>
    <x v="487"/>
    <x v="0"/>
    <x v="5"/>
    <x v="17"/>
    <x v="0"/>
    <x v="3"/>
    <x v="655"/>
    <x v="731"/>
    <x v="42"/>
    <x v="731"/>
    <x v="39"/>
    <x v="8"/>
  </r>
  <r>
    <x v="732"/>
    <x v="488"/>
    <x v="0"/>
    <x v="3"/>
    <x v="19"/>
    <x v="0"/>
    <x v="4"/>
    <x v="656"/>
    <x v="732"/>
    <x v="216"/>
    <x v="732"/>
    <x v="72"/>
    <x v="4"/>
  </r>
  <r>
    <x v="733"/>
    <x v="484"/>
    <x v="1"/>
    <x v="7"/>
    <x v="32"/>
    <x v="0"/>
    <x v="2"/>
    <x v="657"/>
    <x v="733"/>
    <x v="183"/>
    <x v="733"/>
    <x v="39"/>
    <x v="6"/>
  </r>
  <r>
    <x v="734"/>
    <x v="423"/>
    <x v="0"/>
    <x v="0"/>
    <x v="0"/>
    <x v="0"/>
    <x v="5"/>
    <x v="658"/>
    <x v="734"/>
    <x v="224"/>
    <x v="734"/>
    <x v="72"/>
    <x v="1"/>
  </r>
  <r>
    <x v="735"/>
    <x v="489"/>
    <x v="0"/>
    <x v="5"/>
    <x v="6"/>
    <x v="0"/>
    <x v="1"/>
    <x v="659"/>
    <x v="735"/>
    <x v="225"/>
    <x v="735"/>
    <x v="39"/>
    <x v="1"/>
  </r>
  <r>
    <x v="736"/>
    <x v="323"/>
    <x v="1"/>
    <x v="0"/>
    <x v="24"/>
    <x v="0"/>
    <x v="2"/>
    <x v="660"/>
    <x v="736"/>
    <x v="0"/>
    <x v="736"/>
    <x v="72"/>
    <x v="0"/>
  </r>
  <r>
    <x v="737"/>
    <x v="490"/>
    <x v="1"/>
    <x v="5"/>
    <x v="29"/>
    <x v="1"/>
    <x v="4"/>
    <x v="661"/>
    <x v="737"/>
    <x v="32"/>
    <x v="737"/>
    <x v="23"/>
    <x v="3"/>
  </r>
  <r>
    <x v="738"/>
    <x v="228"/>
    <x v="1"/>
    <x v="0"/>
    <x v="24"/>
    <x v="0"/>
    <x v="0"/>
    <x v="662"/>
    <x v="738"/>
    <x v="149"/>
    <x v="738"/>
    <x v="72"/>
    <x v="2"/>
  </r>
  <r>
    <x v="739"/>
    <x v="268"/>
    <x v="1"/>
    <x v="0"/>
    <x v="24"/>
    <x v="0"/>
    <x v="0"/>
    <x v="663"/>
    <x v="739"/>
    <x v="178"/>
    <x v="739"/>
    <x v="23"/>
    <x v="0"/>
  </r>
  <r>
    <x v="740"/>
    <x v="491"/>
    <x v="0"/>
    <x v="0"/>
    <x v="15"/>
    <x v="0"/>
    <x v="2"/>
    <x v="70"/>
    <x v="740"/>
    <x v="216"/>
    <x v="740"/>
    <x v="72"/>
    <x v="3"/>
  </r>
  <r>
    <x v="741"/>
    <x v="78"/>
    <x v="0"/>
    <x v="6"/>
    <x v="31"/>
    <x v="2"/>
    <x v="5"/>
    <x v="664"/>
    <x v="741"/>
    <x v="58"/>
    <x v="741"/>
    <x v="23"/>
    <x v="3"/>
  </r>
  <r>
    <x v="742"/>
    <x v="102"/>
    <x v="1"/>
    <x v="2"/>
    <x v="30"/>
    <x v="0"/>
    <x v="4"/>
    <x v="185"/>
    <x v="742"/>
    <x v="0"/>
    <x v="742"/>
    <x v="24"/>
    <x v="3"/>
  </r>
  <r>
    <x v="743"/>
    <x v="119"/>
    <x v="0"/>
    <x v="7"/>
    <x v="25"/>
    <x v="0"/>
    <x v="5"/>
    <x v="665"/>
    <x v="743"/>
    <x v="52"/>
    <x v="743"/>
    <x v="23"/>
    <x v="9"/>
  </r>
  <r>
    <x v="744"/>
    <x v="198"/>
    <x v="1"/>
    <x v="6"/>
    <x v="22"/>
    <x v="0"/>
    <x v="3"/>
    <x v="517"/>
    <x v="744"/>
    <x v="11"/>
    <x v="744"/>
    <x v="72"/>
    <x v="3"/>
  </r>
  <r>
    <x v="745"/>
    <x v="25"/>
    <x v="0"/>
    <x v="5"/>
    <x v="17"/>
    <x v="0"/>
    <x v="4"/>
    <x v="666"/>
    <x v="745"/>
    <x v="40"/>
    <x v="745"/>
    <x v="23"/>
    <x v="8"/>
  </r>
  <r>
    <x v="746"/>
    <x v="241"/>
    <x v="0"/>
    <x v="0"/>
    <x v="0"/>
    <x v="2"/>
    <x v="0"/>
    <x v="667"/>
    <x v="746"/>
    <x v="120"/>
    <x v="746"/>
    <x v="72"/>
    <x v="0"/>
  </r>
  <r>
    <x v="747"/>
    <x v="220"/>
    <x v="0"/>
    <x v="7"/>
    <x v="32"/>
    <x v="0"/>
    <x v="4"/>
    <x v="668"/>
    <x v="747"/>
    <x v="105"/>
    <x v="747"/>
    <x v="23"/>
    <x v="4"/>
  </r>
  <r>
    <x v="748"/>
    <x v="91"/>
    <x v="1"/>
    <x v="1"/>
    <x v="10"/>
    <x v="0"/>
    <x v="0"/>
    <x v="669"/>
    <x v="748"/>
    <x v="83"/>
    <x v="748"/>
    <x v="72"/>
    <x v="3"/>
  </r>
  <r>
    <x v="749"/>
    <x v="492"/>
    <x v="1"/>
    <x v="3"/>
    <x v="7"/>
    <x v="0"/>
    <x v="2"/>
    <x v="534"/>
    <x v="749"/>
    <x v="226"/>
    <x v="749"/>
    <x v="39"/>
    <x v="0"/>
  </r>
  <r>
    <x v="750"/>
    <x v="79"/>
    <x v="1"/>
    <x v="4"/>
    <x v="20"/>
    <x v="0"/>
    <x v="0"/>
    <x v="670"/>
    <x v="750"/>
    <x v="0"/>
    <x v="750"/>
    <x v="40"/>
    <x v="8"/>
  </r>
  <r>
    <x v="751"/>
    <x v="91"/>
    <x v="2"/>
    <x v="1"/>
    <x v="21"/>
    <x v="0"/>
    <x v="3"/>
    <x v="671"/>
    <x v="751"/>
    <x v="8"/>
    <x v="751"/>
    <x v="39"/>
    <x v="4"/>
  </r>
  <r>
    <x v="752"/>
    <x v="146"/>
    <x v="1"/>
    <x v="3"/>
    <x v="7"/>
    <x v="0"/>
    <x v="5"/>
    <x v="672"/>
    <x v="752"/>
    <x v="156"/>
    <x v="752"/>
    <x v="40"/>
    <x v="2"/>
  </r>
  <r>
    <x v="753"/>
    <x v="253"/>
    <x v="1"/>
    <x v="0"/>
    <x v="0"/>
    <x v="0"/>
    <x v="5"/>
    <x v="673"/>
    <x v="753"/>
    <x v="0"/>
    <x v="753"/>
    <x v="41"/>
    <x v="5"/>
  </r>
  <r>
    <x v="754"/>
    <x v="111"/>
    <x v="2"/>
    <x v="4"/>
    <x v="12"/>
    <x v="0"/>
    <x v="2"/>
    <x v="674"/>
    <x v="754"/>
    <x v="227"/>
    <x v="754"/>
    <x v="40"/>
    <x v="9"/>
  </r>
  <r>
    <x v="755"/>
    <x v="162"/>
    <x v="0"/>
    <x v="5"/>
    <x v="6"/>
    <x v="1"/>
    <x v="1"/>
    <x v="675"/>
    <x v="755"/>
    <x v="66"/>
    <x v="755"/>
    <x v="39"/>
    <x v="10"/>
  </r>
  <r>
    <x v="756"/>
    <x v="415"/>
    <x v="1"/>
    <x v="3"/>
    <x v="27"/>
    <x v="0"/>
    <x v="2"/>
    <x v="676"/>
    <x v="756"/>
    <x v="200"/>
    <x v="756"/>
    <x v="40"/>
    <x v="2"/>
  </r>
  <r>
    <x v="757"/>
    <x v="133"/>
    <x v="1"/>
    <x v="7"/>
    <x v="32"/>
    <x v="0"/>
    <x v="3"/>
    <x v="59"/>
    <x v="757"/>
    <x v="77"/>
    <x v="757"/>
    <x v="41"/>
    <x v="9"/>
  </r>
  <r>
    <x v="758"/>
    <x v="493"/>
    <x v="1"/>
    <x v="5"/>
    <x v="29"/>
    <x v="0"/>
    <x v="4"/>
    <x v="677"/>
    <x v="758"/>
    <x v="212"/>
    <x v="758"/>
    <x v="77"/>
    <x v="0"/>
  </r>
  <r>
    <x v="759"/>
    <x v="494"/>
    <x v="1"/>
    <x v="5"/>
    <x v="17"/>
    <x v="1"/>
    <x v="2"/>
    <x v="678"/>
    <x v="759"/>
    <x v="78"/>
    <x v="759"/>
    <x v="54"/>
    <x v="2"/>
  </r>
  <r>
    <x v="760"/>
    <x v="495"/>
    <x v="0"/>
    <x v="4"/>
    <x v="20"/>
    <x v="0"/>
    <x v="3"/>
    <x v="679"/>
    <x v="760"/>
    <x v="34"/>
    <x v="760"/>
    <x v="78"/>
    <x v="5"/>
  </r>
  <r>
    <x v="761"/>
    <x v="496"/>
    <x v="0"/>
    <x v="6"/>
    <x v="16"/>
    <x v="0"/>
    <x v="4"/>
    <x v="680"/>
    <x v="761"/>
    <x v="2"/>
    <x v="761"/>
    <x v="54"/>
    <x v="9"/>
  </r>
  <r>
    <x v="762"/>
    <x v="252"/>
    <x v="0"/>
    <x v="6"/>
    <x v="13"/>
    <x v="0"/>
    <x v="0"/>
    <x v="681"/>
    <x v="762"/>
    <x v="46"/>
    <x v="762"/>
    <x v="78"/>
    <x v="1"/>
  </r>
  <r>
    <x v="763"/>
    <x v="119"/>
    <x v="1"/>
    <x v="2"/>
    <x v="8"/>
    <x v="0"/>
    <x v="4"/>
    <x v="682"/>
    <x v="763"/>
    <x v="157"/>
    <x v="763"/>
    <x v="54"/>
    <x v="8"/>
  </r>
  <r>
    <x v="764"/>
    <x v="497"/>
    <x v="1"/>
    <x v="4"/>
    <x v="11"/>
    <x v="0"/>
    <x v="0"/>
    <x v="183"/>
    <x v="764"/>
    <x v="106"/>
    <x v="764"/>
    <x v="77"/>
    <x v="0"/>
  </r>
  <r>
    <x v="765"/>
    <x v="498"/>
    <x v="0"/>
    <x v="7"/>
    <x v="32"/>
    <x v="0"/>
    <x v="5"/>
    <x v="683"/>
    <x v="765"/>
    <x v="0"/>
    <x v="765"/>
    <x v="41"/>
    <x v="9"/>
  </r>
  <r>
    <x v="766"/>
    <x v="69"/>
    <x v="1"/>
    <x v="2"/>
    <x v="30"/>
    <x v="0"/>
    <x v="4"/>
    <x v="684"/>
    <x v="766"/>
    <x v="226"/>
    <x v="766"/>
    <x v="77"/>
    <x v="8"/>
  </r>
  <r>
    <x v="767"/>
    <x v="18"/>
    <x v="0"/>
    <x v="5"/>
    <x v="17"/>
    <x v="0"/>
    <x v="0"/>
    <x v="685"/>
    <x v="767"/>
    <x v="2"/>
    <x v="767"/>
    <x v="41"/>
    <x v="9"/>
  </r>
  <r>
    <x v="768"/>
    <x v="499"/>
    <x v="1"/>
    <x v="0"/>
    <x v="24"/>
    <x v="0"/>
    <x v="2"/>
    <x v="686"/>
    <x v="768"/>
    <x v="135"/>
    <x v="768"/>
    <x v="77"/>
    <x v="9"/>
  </r>
  <r>
    <x v="769"/>
    <x v="500"/>
    <x v="2"/>
    <x v="5"/>
    <x v="17"/>
    <x v="0"/>
    <x v="3"/>
    <x v="687"/>
    <x v="769"/>
    <x v="217"/>
    <x v="769"/>
    <x v="41"/>
    <x v="2"/>
  </r>
  <r>
    <x v="770"/>
    <x v="22"/>
    <x v="0"/>
    <x v="4"/>
    <x v="20"/>
    <x v="0"/>
    <x v="2"/>
    <x v="688"/>
    <x v="770"/>
    <x v="78"/>
    <x v="770"/>
    <x v="40"/>
    <x v="6"/>
  </r>
  <r>
    <x v="771"/>
    <x v="390"/>
    <x v="1"/>
    <x v="5"/>
    <x v="6"/>
    <x v="0"/>
    <x v="5"/>
    <x v="689"/>
    <x v="771"/>
    <x v="38"/>
    <x v="771"/>
    <x v="39"/>
    <x v="0"/>
  </r>
  <r>
    <x v="772"/>
    <x v="162"/>
    <x v="1"/>
    <x v="4"/>
    <x v="4"/>
    <x v="0"/>
    <x v="4"/>
    <x v="690"/>
    <x v="772"/>
    <x v="228"/>
    <x v="772"/>
    <x v="40"/>
    <x v="2"/>
  </r>
  <r>
    <x v="773"/>
    <x v="273"/>
    <x v="0"/>
    <x v="0"/>
    <x v="15"/>
    <x v="0"/>
    <x v="0"/>
    <x v="691"/>
    <x v="773"/>
    <x v="201"/>
    <x v="773"/>
    <x v="39"/>
    <x v="3"/>
  </r>
  <r>
    <x v="774"/>
    <x v="335"/>
    <x v="0"/>
    <x v="5"/>
    <x v="6"/>
    <x v="0"/>
    <x v="4"/>
    <x v="692"/>
    <x v="774"/>
    <x v="119"/>
    <x v="774"/>
    <x v="40"/>
    <x v="2"/>
  </r>
  <r>
    <x v="775"/>
    <x v="35"/>
    <x v="1"/>
    <x v="4"/>
    <x v="9"/>
    <x v="0"/>
    <x v="4"/>
    <x v="693"/>
    <x v="775"/>
    <x v="174"/>
    <x v="775"/>
    <x v="39"/>
    <x v="9"/>
  </r>
  <r>
    <x v="776"/>
    <x v="452"/>
    <x v="3"/>
    <x v="6"/>
    <x v="31"/>
    <x v="1"/>
    <x v="0"/>
    <x v="209"/>
    <x v="776"/>
    <x v="74"/>
    <x v="776"/>
    <x v="40"/>
    <x v="8"/>
  </r>
  <r>
    <x v="777"/>
    <x v="303"/>
    <x v="0"/>
    <x v="2"/>
    <x v="8"/>
    <x v="0"/>
    <x v="5"/>
    <x v="694"/>
    <x v="777"/>
    <x v="96"/>
    <x v="777"/>
    <x v="39"/>
    <x v="6"/>
  </r>
  <r>
    <x v="778"/>
    <x v="247"/>
    <x v="1"/>
    <x v="2"/>
    <x v="23"/>
    <x v="2"/>
    <x v="2"/>
    <x v="695"/>
    <x v="778"/>
    <x v="31"/>
    <x v="778"/>
    <x v="40"/>
    <x v="7"/>
  </r>
  <r>
    <x v="779"/>
    <x v="501"/>
    <x v="1"/>
    <x v="3"/>
    <x v="27"/>
    <x v="0"/>
    <x v="1"/>
    <x v="353"/>
    <x v="779"/>
    <x v="0"/>
    <x v="779"/>
    <x v="39"/>
    <x v="9"/>
  </r>
  <r>
    <x v="780"/>
    <x v="502"/>
    <x v="0"/>
    <x v="2"/>
    <x v="23"/>
    <x v="0"/>
    <x v="1"/>
    <x v="696"/>
    <x v="780"/>
    <x v="145"/>
    <x v="780"/>
    <x v="72"/>
    <x v="1"/>
  </r>
  <r>
    <x v="781"/>
    <x v="503"/>
    <x v="1"/>
    <x v="7"/>
    <x v="26"/>
    <x v="0"/>
    <x v="2"/>
    <x v="697"/>
    <x v="781"/>
    <x v="169"/>
    <x v="781"/>
    <x v="23"/>
    <x v="3"/>
  </r>
  <r>
    <x v="782"/>
    <x v="504"/>
    <x v="0"/>
    <x v="6"/>
    <x v="22"/>
    <x v="0"/>
    <x v="1"/>
    <x v="698"/>
    <x v="782"/>
    <x v="110"/>
    <x v="782"/>
    <x v="24"/>
    <x v="1"/>
  </r>
  <r>
    <x v="783"/>
    <x v="32"/>
    <x v="1"/>
    <x v="0"/>
    <x v="28"/>
    <x v="0"/>
    <x v="2"/>
    <x v="699"/>
    <x v="783"/>
    <x v="42"/>
    <x v="783"/>
    <x v="25"/>
    <x v="3"/>
  </r>
  <r>
    <x v="784"/>
    <x v="117"/>
    <x v="1"/>
    <x v="4"/>
    <x v="5"/>
    <x v="0"/>
    <x v="4"/>
    <x v="700"/>
    <x v="784"/>
    <x v="210"/>
    <x v="784"/>
    <x v="73"/>
    <x v="8"/>
  </r>
  <r>
    <x v="785"/>
    <x v="2"/>
    <x v="0"/>
    <x v="1"/>
    <x v="10"/>
    <x v="0"/>
    <x v="1"/>
    <x v="701"/>
    <x v="785"/>
    <x v="99"/>
    <x v="785"/>
    <x v="31"/>
    <x v="6"/>
  </r>
  <r>
    <x v="786"/>
    <x v="505"/>
    <x v="2"/>
    <x v="7"/>
    <x v="14"/>
    <x v="0"/>
    <x v="1"/>
    <x v="702"/>
    <x v="786"/>
    <x v="0"/>
    <x v="786"/>
    <x v="73"/>
    <x v="9"/>
  </r>
  <r>
    <x v="787"/>
    <x v="451"/>
    <x v="1"/>
    <x v="0"/>
    <x v="28"/>
    <x v="0"/>
    <x v="2"/>
    <x v="703"/>
    <x v="787"/>
    <x v="145"/>
    <x v="787"/>
    <x v="25"/>
    <x v="6"/>
  </r>
  <r>
    <x v="788"/>
    <x v="369"/>
    <x v="0"/>
    <x v="0"/>
    <x v="0"/>
    <x v="0"/>
    <x v="4"/>
    <x v="704"/>
    <x v="788"/>
    <x v="220"/>
    <x v="788"/>
    <x v="73"/>
    <x v="0"/>
  </r>
  <r>
    <x v="789"/>
    <x v="506"/>
    <x v="1"/>
    <x v="1"/>
    <x v="1"/>
    <x v="0"/>
    <x v="0"/>
    <x v="705"/>
    <x v="789"/>
    <x v="92"/>
    <x v="789"/>
    <x v="25"/>
    <x v="1"/>
  </r>
  <r>
    <x v="790"/>
    <x v="507"/>
    <x v="0"/>
    <x v="4"/>
    <x v="11"/>
    <x v="0"/>
    <x v="3"/>
    <x v="360"/>
    <x v="790"/>
    <x v="0"/>
    <x v="790"/>
    <x v="24"/>
    <x v="9"/>
  </r>
  <r>
    <x v="791"/>
    <x v="508"/>
    <x v="1"/>
    <x v="7"/>
    <x v="18"/>
    <x v="2"/>
    <x v="0"/>
    <x v="706"/>
    <x v="791"/>
    <x v="72"/>
    <x v="791"/>
    <x v="25"/>
    <x v="4"/>
  </r>
  <r>
    <x v="792"/>
    <x v="53"/>
    <x v="0"/>
    <x v="7"/>
    <x v="14"/>
    <x v="0"/>
    <x v="5"/>
    <x v="707"/>
    <x v="792"/>
    <x v="154"/>
    <x v="792"/>
    <x v="73"/>
    <x v="0"/>
  </r>
  <r>
    <x v="793"/>
    <x v="160"/>
    <x v="0"/>
    <x v="3"/>
    <x v="3"/>
    <x v="0"/>
    <x v="4"/>
    <x v="708"/>
    <x v="793"/>
    <x v="24"/>
    <x v="793"/>
    <x v="31"/>
    <x v="2"/>
  </r>
  <r>
    <x v="794"/>
    <x v="469"/>
    <x v="1"/>
    <x v="4"/>
    <x v="11"/>
    <x v="0"/>
    <x v="2"/>
    <x v="709"/>
    <x v="794"/>
    <x v="0"/>
    <x v="794"/>
    <x v="73"/>
    <x v="5"/>
  </r>
  <r>
    <x v="795"/>
    <x v="509"/>
    <x v="0"/>
    <x v="5"/>
    <x v="29"/>
    <x v="1"/>
    <x v="5"/>
    <x v="710"/>
    <x v="795"/>
    <x v="17"/>
    <x v="795"/>
    <x v="25"/>
    <x v="0"/>
  </r>
  <r>
    <x v="796"/>
    <x v="163"/>
    <x v="1"/>
    <x v="1"/>
    <x v="10"/>
    <x v="0"/>
    <x v="3"/>
    <x v="711"/>
    <x v="796"/>
    <x v="93"/>
    <x v="796"/>
    <x v="24"/>
    <x v="9"/>
  </r>
  <r>
    <x v="797"/>
    <x v="510"/>
    <x v="0"/>
    <x v="7"/>
    <x v="25"/>
    <x v="0"/>
    <x v="1"/>
    <x v="564"/>
    <x v="797"/>
    <x v="124"/>
    <x v="797"/>
    <x v="23"/>
    <x v="5"/>
  </r>
  <r>
    <x v="798"/>
    <x v="511"/>
    <x v="1"/>
    <x v="2"/>
    <x v="23"/>
    <x v="0"/>
    <x v="4"/>
    <x v="712"/>
    <x v="798"/>
    <x v="40"/>
    <x v="798"/>
    <x v="72"/>
    <x v="0"/>
  </r>
  <r>
    <x v="799"/>
    <x v="512"/>
    <x v="0"/>
    <x v="1"/>
    <x v="21"/>
    <x v="0"/>
    <x v="5"/>
    <x v="713"/>
    <x v="799"/>
    <x v="142"/>
    <x v="799"/>
    <x v="23"/>
    <x v="2"/>
  </r>
  <r>
    <x v="800"/>
    <x v="291"/>
    <x v="1"/>
    <x v="2"/>
    <x v="2"/>
    <x v="2"/>
    <x v="3"/>
    <x v="350"/>
    <x v="800"/>
    <x v="0"/>
    <x v="800"/>
    <x v="72"/>
    <x v="2"/>
  </r>
  <r>
    <x v="801"/>
    <x v="513"/>
    <x v="1"/>
    <x v="4"/>
    <x v="5"/>
    <x v="0"/>
    <x v="1"/>
    <x v="714"/>
    <x v="801"/>
    <x v="62"/>
    <x v="801"/>
    <x v="39"/>
    <x v="3"/>
  </r>
  <r>
    <x v="802"/>
    <x v="514"/>
    <x v="0"/>
    <x v="7"/>
    <x v="32"/>
    <x v="0"/>
    <x v="5"/>
    <x v="715"/>
    <x v="802"/>
    <x v="183"/>
    <x v="802"/>
    <x v="79"/>
    <x v="4"/>
  </r>
  <r>
    <x v="803"/>
    <x v="515"/>
    <x v="3"/>
    <x v="3"/>
    <x v="19"/>
    <x v="0"/>
    <x v="5"/>
    <x v="716"/>
    <x v="803"/>
    <x v="89"/>
    <x v="803"/>
    <x v="39"/>
    <x v="9"/>
  </r>
  <r>
    <x v="804"/>
    <x v="516"/>
    <x v="1"/>
    <x v="0"/>
    <x v="24"/>
    <x v="0"/>
    <x v="3"/>
    <x v="717"/>
    <x v="804"/>
    <x v="25"/>
    <x v="804"/>
    <x v="80"/>
    <x v="3"/>
  </r>
  <r>
    <x v="805"/>
    <x v="289"/>
    <x v="1"/>
    <x v="2"/>
    <x v="30"/>
    <x v="0"/>
    <x v="0"/>
    <x v="718"/>
    <x v="805"/>
    <x v="202"/>
    <x v="805"/>
    <x v="61"/>
    <x v="3"/>
  </r>
  <r>
    <x v="806"/>
    <x v="191"/>
    <x v="1"/>
    <x v="1"/>
    <x v="1"/>
    <x v="0"/>
    <x v="2"/>
    <x v="719"/>
    <x v="806"/>
    <x v="124"/>
    <x v="806"/>
    <x v="80"/>
    <x v="5"/>
  </r>
  <r>
    <x v="807"/>
    <x v="342"/>
    <x v="1"/>
    <x v="1"/>
    <x v="21"/>
    <x v="0"/>
    <x v="2"/>
    <x v="720"/>
    <x v="807"/>
    <x v="211"/>
    <x v="807"/>
    <x v="61"/>
    <x v="0"/>
  </r>
  <r>
    <x v="808"/>
    <x v="364"/>
    <x v="0"/>
    <x v="0"/>
    <x v="0"/>
    <x v="0"/>
    <x v="5"/>
    <x v="721"/>
    <x v="808"/>
    <x v="29"/>
    <x v="808"/>
    <x v="62"/>
    <x v="9"/>
  </r>
  <r>
    <x v="809"/>
    <x v="139"/>
    <x v="1"/>
    <x v="4"/>
    <x v="11"/>
    <x v="0"/>
    <x v="2"/>
    <x v="722"/>
    <x v="809"/>
    <x v="170"/>
    <x v="809"/>
    <x v="61"/>
    <x v="1"/>
  </r>
  <r>
    <x v="810"/>
    <x v="517"/>
    <x v="1"/>
    <x v="1"/>
    <x v="1"/>
    <x v="0"/>
    <x v="3"/>
    <x v="723"/>
    <x v="810"/>
    <x v="86"/>
    <x v="810"/>
    <x v="62"/>
    <x v="6"/>
  </r>
  <r>
    <x v="811"/>
    <x v="518"/>
    <x v="1"/>
    <x v="5"/>
    <x v="6"/>
    <x v="0"/>
    <x v="0"/>
    <x v="724"/>
    <x v="811"/>
    <x v="229"/>
    <x v="811"/>
    <x v="63"/>
    <x v="5"/>
  </r>
  <r>
    <x v="812"/>
    <x v="236"/>
    <x v="1"/>
    <x v="4"/>
    <x v="9"/>
    <x v="0"/>
    <x v="5"/>
    <x v="676"/>
    <x v="812"/>
    <x v="151"/>
    <x v="812"/>
    <x v="62"/>
    <x v="2"/>
  </r>
  <r>
    <x v="813"/>
    <x v="170"/>
    <x v="0"/>
    <x v="1"/>
    <x v="21"/>
    <x v="0"/>
    <x v="4"/>
    <x v="320"/>
    <x v="813"/>
    <x v="230"/>
    <x v="813"/>
    <x v="63"/>
    <x v="7"/>
  </r>
  <r>
    <x v="814"/>
    <x v="519"/>
    <x v="0"/>
    <x v="5"/>
    <x v="29"/>
    <x v="0"/>
    <x v="5"/>
    <x v="725"/>
    <x v="814"/>
    <x v="0"/>
    <x v="814"/>
    <x v="64"/>
    <x v="9"/>
  </r>
  <r>
    <x v="815"/>
    <x v="464"/>
    <x v="1"/>
    <x v="7"/>
    <x v="26"/>
    <x v="0"/>
    <x v="5"/>
    <x v="632"/>
    <x v="815"/>
    <x v="152"/>
    <x v="815"/>
    <x v="65"/>
    <x v="0"/>
  </r>
  <r>
    <x v="816"/>
    <x v="520"/>
    <x v="0"/>
    <x v="3"/>
    <x v="19"/>
    <x v="0"/>
    <x v="4"/>
    <x v="726"/>
    <x v="816"/>
    <x v="219"/>
    <x v="816"/>
    <x v="81"/>
    <x v="1"/>
  </r>
  <r>
    <x v="817"/>
    <x v="521"/>
    <x v="1"/>
    <x v="0"/>
    <x v="28"/>
    <x v="2"/>
    <x v="5"/>
    <x v="727"/>
    <x v="817"/>
    <x v="67"/>
    <x v="817"/>
    <x v="67"/>
    <x v="2"/>
  </r>
  <r>
    <x v="818"/>
    <x v="230"/>
    <x v="0"/>
    <x v="4"/>
    <x v="5"/>
    <x v="0"/>
    <x v="3"/>
    <x v="219"/>
    <x v="818"/>
    <x v="157"/>
    <x v="818"/>
    <x v="81"/>
    <x v="5"/>
  </r>
  <r>
    <x v="819"/>
    <x v="202"/>
    <x v="0"/>
    <x v="0"/>
    <x v="24"/>
    <x v="0"/>
    <x v="0"/>
    <x v="728"/>
    <x v="819"/>
    <x v="231"/>
    <x v="819"/>
    <x v="63"/>
    <x v="6"/>
  </r>
  <r>
    <x v="820"/>
    <x v="237"/>
    <x v="0"/>
    <x v="5"/>
    <x v="29"/>
    <x v="0"/>
    <x v="3"/>
    <x v="729"/>
    <x v="820"/>
    <x v="228"/>
    <x v="820"/>
    <x v="81"/>
    <x v="9"/>
  </r>
  <r>
    <x v="821"/>
    <x v="466"/>
    <x v="1"/>
    <x v="4"/>
    <x v="11"/>
    <x v="0"/>
    <x v="0"/>
    <x v="730"/>
    <x v="821"/>
    <x v="149"/>
    <x v="821"/>
    <x v="67"/>
    <x v="2"/>
  </r>
  <r>
    <x v="822"/>
    <x v="300"/>
    <x v="0"/>
    <x v="0"/>
    <x v="28"/>
    <x v="2"/>
    <x v="3"/>
    <x v="731"/>
    <x v="822"/>
    <x v="230"/>
    <x v="822"/>
    <x v="81"/>
    <x v="4"/>
  </r>
  <r>
    <x v="823"/>
    <x v="522"/>
    <x v="0"/>
    <x v="0"/>
    <x v="28"/>
    <x v="0"/>
    <x v="3"/>
    <x v="732"/>
    <x v="823"/>
    <x v="44"/>
    <x v="823"/>
    <x v="63"/>
    <x v="4"/>
  </r>
  <r>
    <x v="824"/>
    <x v="155"/>
    <x v="2"/>
    <x v="7"/>
    <x v="14"/>
    <x v="0"/>
    <x v="3"/>
    <x v="733"/>
    <x v="824"/>
    <x v="188"/>
    <x v="824"/>
    <x v="62"/>
    <x v="9"/>
  </r>
  <r>
    <x v="825"/>
    <x v="326"/>
    <x v="1"/>
    <x v="1"/>
    <x v="1"/>
    <x v="0"/>
    <x v="4"/>
    <x v="396"/>
    <x v="825"/>
    <x v="35"/>
    <x v="825"/>
    <x v="63"/>
    <x v="4"/>
  </r>
  <r>
    <x v="826"/>
    <x v="257"/>
    <x v="1"/>
    <x v="0"/>
    <x v="0"/>
    <x v="0"/>
    <x v="4"/>
    <x v="470"/>
    <x v="826"/>
    <x v="182"/>
    <x v="826"/>
    <x v="81"/>
    <x v="4"/>
  </r>
  <r>
    <x v="827"/>
    <x v="523"/>
    <x v="1"/>
    <x v="0"/>
    <x v="15"/>
    <x v="0"/>
    <x v="4"/>
    <x v="140"/>
    <x v="827"/>
    <x v="221"/>
    <x v="827"/>
    <x v="63"/>
    <x v="2"/>
  </r>
  <r>
    <x v="828"/>
    <x v="102"/>
    <x v="0"/>
    <x v="2"/>
    <x v="30"/>
    <x v="0"/>
    <x v="5"/>
    <x v="734"/>
    <x v="828"/>
    <x v="77"/>
    <x v="828"/>
    <x v="62"/>
    <x v="6"/>
  </r>
  <r>
    <x v="829"/>
    <x v="251"/>
    <x v="0"/>
    <x v="0"/>
    <x v="24"/>
    <x v="2"/>
    <x v="4"/>
    <x v="735"/>
    <x v="829"/>
    <x v="165"/>
    <x v="829"/>
    <x v="61"/>
    <x v="3"/>
  </r>
  <r>
    <x v="830"/>
    <x v="326"/>
    <x v="0"/>
    <x v="6"/>
    <x v="16"/>
    <x v="0"/>
    <x v="0"/>
    <x v="736"/>
    <x v="830"/>
    <x v="84"/>
    <x v="830"/>
    <x v="62"/>
    <x v="1"/>
  </r>
  <r>
    <x v="831"/>
    <x v="524"/>
    <x v="1"/>
    <x v="0"/>
    <x v="28"/>
    <x v="0"/>
    <x v="4"/>
    <x v="296"/>
    <x v="831"/>
    <x v="86"/>
    <x v="831"/>
    <x v="61"/>
    <x v="3"/>
  </r>
  <r>
    <x v="832"/>
    <x v="430"/>
    <x v="1"/>
    <x v="4"/>
    <x v="20"/>
    <x v="0"/>
    <x v="3"/>
    <x v="2"/>
    <x v="832"/>
    <x v="141"/>
    <x v="832"/>
    <x v="2"/>
    <x v="2"/>
  </r>
  <r>
    <x v="833"/>
    <x v="525"/>
    <x v="1"/>
    <x v="4"/>
    <x v="5"/>
    <x v="0"/>
    <x v="2"/>
    <x v="737"/>
    <x v="833"/>
    <x v="65"/>
    <x v="833"/>
    <x v="23"/>
    <x v="9"/>
  </r>
  <r>
    <x v="834"/>
    <x v="526"/>
    <x v="0"/>
    <x v="7"/>
    <x v="18"/>
    <x v="0"/>
    <x v="4"/>
    <x v="738"/>
    <x v="834"/>
    <x v="34"/>
    <x v="834"/>
    <x v="2"/>
    <x v="3"/>
  </r>
  <r>
    <x v="835"/>
    <x v="6"/>
    <x v="1"/>
    <x v="0"/>
    <x v="28"/>
    <x v="0"/>
    <x v="1"/>
    <x v="739"/>
    <x v="835"/>
    <x v="180"/>
    <x v="835"/>
    <x v="23"/>
    <x v="5"/>
  </r>
  <r>
    <x v="836"/>
    <x v="346"/>
    <x v="0"/>
    <x v="1"/>
    <x v="21"/>
    <x v="0"/>
    <x v="4"/>
    <x v="565"/>
    <x v="836"/>
    <x v="101"/>
    <x v="836"/>
    <x v="24"/>
    <x v="9"/>
  </r>
  <r>
    <x v="837"/>
    <x v="205"/>
    <x v="1"/>
    <x v="0"/>
    <x v="24"/>
    <x v="0"/>
    <x v="3"/>
    <x v="740"/>
    <x v="837"/>
    <x v="202"/>
    <x v="837"/>
    <x v="23"/>
    <x v="0"/>
  </r>
  <r>
    <x v="838"/>
    <x v="527"/>
    <x v="1"/>
    <x v="7"/>
    <x v="26"/>
    <x v="0"/>
    <x v="0"/>
    <x v="86"/>
    <x v="838"/>
    <x v="195"/>
    <x v="838"/>
    <x v="2"/>
    <x v="1"/>
  </r>
  <r>
    <x v="839"/>
    <x v="95"/>
    <x v="0"/>
    <x v="3"/>
    <x v="7"/>
    <x v="0"/>
    <x v="1"/>
    <x v="741"/>
    <x v="839"/>
    <x v="193"/>
    <x v="839"/>
    <x v="23"/>
    <x v="4"/>
  </r>
  <r>
    <x v="840"/>
    <x v="282"/>
    <x v="1"/>
    <x v="4"/>
    <x v="9"/>
    <x v="0"/>
    <x v="1"/>
    <x v="742"/>
    <x v="840"/>
    <x v="134"/>
    <x v="840"/>
    <x v="2"/>
    <x v="0"/>
  </r>
  <r>
    <x v="841"/>
    <x v="131"/>
    <x v="0"/>
    <x v="3"/>
    <x v="19"/>
    <x v="0"/>
    <x v="0"/>
    <x v="298"/>
    <x v="841"/>
    <x v="66"/>
    <x v="841"/>
    <x v="23"/>
    <x v="4"/>
  </r>
  <r>
    <x v="842"/>
    <x v="528"/>
    <x v="0"/>
    <x v="4"/>
    <x v="9"/>
    <x v="0"/>
    <x v="3"/>
    <x v="373"/>
    <x v="842"/>
    <x v="140"/>
    <x v="842"/>
    <x v="2"/>
    <x v="8"/>
  </r>
  <r>
    <x v="843"/>
    <x v="529"/>
    <x v="0"/>
    <x v="1"/>
    <x v="1"/>
    <x v="0"/>
    <x v="3"/>
    <x v="743"/>
    <x v="843"/>
    <x v="0"/>
    <x v="843"/>
    <x v="23"/>
    <x v="7"/>
  </r>
  <r>
    <x v="844"/>
    <x v="19"/>
    <x v="0"/>
    <x v="4"/>
    <x v="12"/>
    <x v="0"/>
    <x v="5"/>
    <x v="744"/>
    <x v="844"/>
    <x v="104"/>
    <x v="844"/>
    <x v="2"/>
    <x v="6"/>
  </r>
  <r>
    <x v="845"/>
    <x v="530"/>
    <x v="0"/>
    <x v="0"/>
    <x v="0"/>
    <x v="0"/>
    <x v="0"/>
    <x v="745"/>
    <x v="845"/>
    <x v="126"/>
    <x v="845"/>
    <x v="23"/>
    <x v="3"/>
  </r>
  <r>
    <x v="846"/>
    <x v="318"/>
    <x v="1"/>
    <x v="4"/>
    <x v="11"/>
    <x v="0"/>
    <x v="3"/>
    <x v="746"/>
    <x v="846"/>
    <x v="200"/>
    <x v="846"/>
    <x v="2"/>
    <x v="2"/>
  </r>
  <r>
    <x v="847"/>
    <x v="282"/>
    <x v="1"/>
    <x v="1"/>
    <x v="21"/>
    <x v="0"/>
    <x v="4"/>
    <x v="747"/>
    <x v="168"/>
    <x v="44"/>
    <x v="847"/>
    <x v="23"/>
    <x v="2"/>
  </r>
  <r>
    <x v="848"/>
    <x v="531"/>
    <x v="0"/>
    <x v="7"/>
    <x v="26"/>
    <x v="0"/>
    <x v="4"/>
    <x v="574"/>
    <x v="847"/>
    <x v="0"/>
    <x v="848"/>
    <x v="2"/>
    <x v="0"/>
  </r>
  <r>
    <x v="849"/>
    <x v="345"/>
    <x v="0"/>
    <x v="3"/>
    <x v="3"/>
    <x v="1"/>
    <x v="1"/>
    <x v="748"/>
    <x v="848"/>
    <x v="0"/>
    <x v="849"/>
    <x v="61"/>
    <x v="0"/>
  </r>
  <r>
    <x v="850"/>
    <x v="532"/>
    <x v="0"/>
    <x v="4"/>
    <x v="9"/>
    <x v="0"/>
    <x v="4"/>
    <x v="294"/>
    <x v="849"/>
    <x v="14"/>
    <x v="850"/>
    <x v="62"/>
    <x v="2"/>
  </r>
  <r>
    <x v="851"/>
    <x v="125"/>
    <x v="1"/>
    <x v="2"/>
    <x v="2"/>
    <x v="0"/>
    <x v="2"/>
    <x v="53"/>
    <x v="850"/>
    <x v="7"/>
    <x v="851"/>
    <x v="61"/>
    <x v="1"/>
  </r>
  <r>
    <x v="852"/>
    <x v="429"/>
    <x v="1"/>
    <x v="4"/>
    <x v="4"/>
    <x v="0"/>
    <x v="3"/>
    <x v="749"/>
    <x v="851"/>
    <x v="72"/>
    <x v="852"/>
    <x v="2"/>
    <x v="2"/>
  </r>
  <r>
    <x v="853"/>
    <x v="533"/>
    <x v="0"/>
    <x v="5"/>
    <x v="6"/>
    <x v="0"/>
    <x v="4"/>
    <x v="750"/>
    <x v="852"/>
    <x v="121"/>
    <x v="853"/>
    <x v="23"/>
    <x v="2"/>
  </r>
  <r>
    <x v="854"/>
    <x v="534"/>
    <x v="0"/>
    <x v="4"/>
    <x v="12"/>
    <x v="0"/>
    <x v="3"/>
    <x v="751"/>
    <x v="853"/>
    <x v="178"/>
    <x v="854"/>
    <x v="24"/>
    <x v="4"/>
  </r>
  <r>
    <x v="855"/>
    <x v="535"/>
    <x v="3"/>
    <x v="4"/>
    <x v="9"/>
    <x v="0"/>
    <x v="4"/>
    <x v="475"/>
    <x v="854"/>
    <x v="53"/>
    <x v="855"/>
    <x v="25"/>
    <x v="8"/>
  </r>
  <r>
    <x v="856"/>
    <x v="357"/>
    <x v="0"/>
    <x v="4"/>
    <x v="5"/>
    <x v="0"/>
    <x v="0"/>
    <x v="752"/>
    <x v="855"/>
    <x v="88"/>
    <x v="856"/>
    <x v="24"/>
    <x v="1"/>
  </r>
  <r>
    <x v="857"/>
    <x v="52"/>
    <x v="1"/>
    <x v="7"/>
    <x v="32"/>
    <x v="0"/>
    <x v="4"/>
    <x v="753"/>
    <x v="856"/>
    <x v="217"/>
    <x v="857"/>
    <x v="25"/>
    <x v="4"/>
  </r>
  <r>
    <x v="858"/>
    <x v="536"/>
    <x v="1"/>
    <x v="7"/>
    <x v="18"/>
    <x v="0"/>
    <x v="0"/>
    <x v="754"/>
    <x v="857"/>
    <x v="101"/>
    <x v="858"/>
    <x v="24"/>
    <x v="6"/>
  </r>
  <r>
    <x v="859"/>
    <x v="420"/>
    <x v="0"/>
    <x v="4"/>
    <x v="5"/>
    <x v="0"/>
    <x v="3"/>
    <x v="755"/>
    <x v="858"/>
    <x v="31"/>
    <x v="859"/>
    <x v="23"/>
    <x v="1"/>
  </r>
  <r>
    <x v="860"/>
    <x v="537"/>
    <x v="0"/>
    <x v="5"/>
    <x v="6"/>
    <x v="1"/>
    <x v="0"/>
    <x v="756"/>
    <x v="859"/>
    <x v="50"/>
    <x v="860"/>
    <x v="24"/>
    <x v="4"/>
  </r>
  <r>
    <x v="861"/>
    <x v="344"/>
    <x v="1"/>
    <x v="0"/>
    <x v="28"/>
    <x v="0"/>
    <x v="3"/>
    <x v="757"/>
    <x v="860"/>
    <x v="23"/>
    <x v="861"/>
    <x v="23"/>
    <x v="2"/>
  </r>
  <r>
    <x v="862"/>
    <x v="538"/>
    <x v="0"/>
    <x v="7"/>
    <x v="25"/>
    <x v="0"/>
    <x v="1"/>
    <x v="758"/>
    <x v="861"/>
    <x v="138"/>
    <x v="862"/>
    <x v="24"/>
    <x v="4"/>
  </r>
  <r>
    <x v="863"/>
    <x v="539"/>
    <x v="0"/>
    <x v="0"/>
    <x v="24"/>
    <x v="0"/>
    <x v="5"/>
    <x v="315"/>
    <x v="862"/>
    <x v="128"/>
    <x v="863"/>
    <x v="23"/>
    <x v="0"/>
  </r>
  <r>
    <x v="864"/>
    <x v="411"/>
    <x v="1"/>
    <x v="0"/>
    <x v="15"/>
    <x v="0"/>
    <x v="4"/>
    <x v="759"/>
    <x v="863"/>
    <x v="39"/>
    <x v="864"/>
    <x v="24"/>
    <x v="1"/>
  </r>
  <r>
    <x v="865"/>
    <x v="375"/>
    <x v="0"/>
    <x v="7"/>
    <x v="26"/>
    <x v="2"/>
    <x v="2"/>
    <x v="760"/>
    <x v="864"/>
    <x v="176"/>
    <x v="865"/>
    <x v="23"/>
    <x v="2"/>
  </r>
  <r>
    <x v="866"/>
    <x v="389"/>
    <x v="1"/>
    <x v="4"/>
    <x v="11"/>
    <x v="0"/>
    <x v="2"/>
    <x v="652"/>
    <x v="865"/>
    <x v="52"/>
    <x v="866"/>
    <x v="24"/>
    <x v="8"/>
  </r>
  <r>
    <x v="867"/>
    <x v="312"/>
    <x v="1"/>
    <x v="4"/>
    <x v="11"/>
    <x v="0"/>
    <x v="5"/>
    <x v="761"/>
    <x v="866"/>
    <x v="0"/>
    <x v="867"/>
    <x v="25"/>
    <x v="4"/>
  </r>
  <r>
    <x v="868"/>
    <x v="540"/>
    <x v="1"/>
    <x v="5"/>
    <x v="29"/>
    <x v="0"/>
    <x v="1"/>
    <x v="762"/>
    <x v="867"/>
    <x v="154"/>
    <x v="868"/>
    <x v="24"/>
    <x v="5"/>
  </r>
  <r>
    <x v="869"/>
    <x v="536"/>
    <x v="1"/>
    <x v="1"/>
    <x v="10"/>
    <x v="0"/>
    <x v="3"/>
    <x v="18"/>
    <x v="868"/>
    <x v="183"/>
    <x v="869"/>
    <x v="23"/>
    <x v="8"/>
  </r>
  <r>
    <x v="870"/>
    <x v="541"/>
    <x v="0"/>
    <x v="0"/>
    <x v="15"/>
    <x v="0"/>
    <x v="0"/>
    <x v="607"/>
    <x v="869"/>
    <x v="51"/>
    <x v="870"/>
    <x v="24"/>
    <x v="9"/>
  </r>
  <r>
    <x v="871"/>
    <x v="542"/>
    <x v="0"/>
    <x v="6"/>
    <x v="13"/>
    <x v="0"/>
    <x v="4"/>
    <x v="763"/>
    <x v="870"/>
    <x v="201"/>
    <x v="871"/>
    <x v="23"/>
    <x v="0"/>
  </r>
  <r>
    <x v="872"/>
    <x v="148"/>
    <x v="1"/>
    <x v="3"/>
    <x v="19"/>
    <x v="0"/>
    <x v="2"/>
    <x v="764"/>
    <x v="871"/>
    <x v="29"/>
    <x v="872"/>
    <x v="24"/>
    <x v="0"/>
  </r>
  <r>
    <x v="873"/>
    <x v="474"/>
    <x v="1"/>
    <x v="0"/>
    <x v="15"/>
    <x v="0"/>
    <x v="1"/>
    <x v="765"/>
    <x v="872"/>
    <x v="85"/>
    <x v="873"/>
    <x v="23"/>
    <x v="1"/>
  </r>
  <r>
    <x v="874"/>
    <x v="211"/>
    <x v="0"/>
    <x v="4"/>
    <x v="5"/>
    <x v="0"/>
    <x v="4"/>
    <x v="766"/>
    <x v="873"/>
    <x v="38"/>
    <x v="874"/>
    <x v="24"/>
    <x v="8"/>
  </r>
  <r>
    <x v="875"/>
    <x v="127"/>
    <x v="0"/>
    <x v="4"/>
    <x v="20"/>
    <x v="0"/>
    <x v="2"/>
    <x v="767"/>
    <x v="874"/>
    <x v="29"/>
    <x v="875"/>
    <x v="23"/>
    <x v="4"/>
  </r>
  <r>
    <x v="876"/>
    <x v="276"/>
    <x v="1"/>
    <x v="2"/>
    <x v="30"/>
    <x v="0"/>
    <x v="1"/>
    <x v="768"/>
    <x v="875"/>
    <x v="0"/>
    <x v="876"/>
    <x v="24"/>
    <x v="2"/>
  </r>
  <r>
    <x v="877"/>
    <x v="411"/>
    <x v="0"/>
    <x v="3"/>
    <x v="19"/>
    <x v="0"/>
    <x v="0"/>
    <x v="769"/>
    <x v="876"/>
    <x v="130"/>
    <x v="877"/>
    <x v="25"/>
    <x v="3"/>
  </r>
  <r>
    <x v="878"/>
    <x v="213"/>
    <x v="1"/>
    <x v="4"/>
    <x v="9"/>
    <x v="0"/>
    <x v="5"/>
    <x v="565"/>
    <x v="877"/>
    <x v="18"/>
    <x v="878"/>
    <x v="24"/>
    <x v="9"/>
  </r>
  <r>
    <x v="879"/>
    <x v="379"/>
    <x v="1"/>
    <x v="6"/>
    <x v="22"/>
    <x v="0"/>
    <x v="0"/>
    <x v="770"/>
    <x v="878"/>
    <x v="0"/>
    <x v="879"/>
    <x v="23"/>
    <x v="9"/>
  </r>
  <r>
    <x v="880"/>
    <x v="543"/>
    <x v="1"/>
    <x v="6"/>
    <x v="31"/>
    <x v="0"/>
    <x v="3"/>
    <x v="771"/>
    <x v="879"/>
    <x v="180"/>
    <x v="880"/>
    <x v="24"/>
    <x v="1"/>
  </r>
  <r>
    <x v="881"/>
    <x v="355"/>
    <x v="1"/>
    <x v="2"/>
    <x v="2"/>
    <x v="2"/>
    <x v="0"/>
    <x v="772"/>
    <x v="880"/>
    <x v="216"/>
    <x v="881"/>
    <x v="25"/>
    <x v="6"/>
  </r>
  <r>
    <x v="882"/>
    <x v="544"/>
    <x v="1"/>
    <x v="4"/>
    <x v="5"/>
    <x v="0"/>
    <x v="3"/>
    <x v="93"/>
    <x v="881"/>
    <x v="138"/>
    <x v="882"/>
    <x v="82"/>
    <x v="0"/>
  </r>
  <r>
    <x v="883"/>
    <x v="310"/>
    <x v="0"/>
    <x v="4"/>
    <x v="5"/>
    <x v="2"/>
    <x v="1"/>
    <x v="773"/>
    <x v="882"/>
    <x v="202"/>
    <x v="883"/>
    <x v="25"/>
    <x v="6"/>
  </r>
  <r>
    <x v="884"/>
    <x v="432"/>
    <x v="0"/>
    <x v="5"/>
    <x v="29"/>
    <x v="0"/>
    <x v="3"/>
    <x v="774"/>
    <x v="883"/>
    <x v="33"/>
    <x v="884"/>
    <x v="82"/>
    <x v="7"/>
  </r>
  <r>
    <x v="885"/>
    <x v="545"/>
    <x v="0"/>
    <x v="4"/>
    <x v="20"/>
    <x v="0"/>
    <x v="2"/>
    <x v="775"/>
    <x v="884"/>
    <x v="227"/>
    <x v="885"/>
    <x v="25"/>
    <x v="8"/>
  </r>
  <r>
    <x v="886"/>
    <x v="546"/>
    <x v="1"/>
    <x v="3"/>
    <x v="7"/>
    <x v="0"/>
    <x v="5"/>
    <x v="274"/>
    <x v="885"/>
    <x v="3"/>
    <x v="886"/>
    <x v="24"/>
    <x v="1"/>
  </r>
  <r>
    <x v="887"/>
    <x v="399"/>
    <x v="1"/>
    <x v="6"/>
    <x v="13"/>
    <x v="1"/>
    <x v="0"/>
    <x v="776"/>
    <x v="886"/>
    <x v="0"/>
    <x v="887"/>
    <x v="23"/>
    <x v="9"/>
  </r>
  <r>
    <x v="888"/>
    <x v="498"/>
    <x v="1"/>
    <x v="4"/>
    <x v="5"/>
    <x v="0"/>
    <x v="0"/>
    <x v="777"/>
    <x v="887"/>
    <x v="96"/>
    <x v="888"/>
    <x v="24"/>
    <x v="4"/>
  </r>
  <r>
    <x v="889"/>
    <x v="547"/>
    <x v="0"/>
    <x v="6"/>
    <x v="16"/>
    <x v="2"/>
    <x v="4"/>
    <x v="778"/>
    <x v="888"/>
    <x v="98"/>
    <x v="889"/>
    <x v="23"/>
    <x v="0"/>
  </r>
  <r>
    <x v="890"/>
    <x v="404"/>
    <x v="0"/>
    <x v="2"/>
    <x v="23"/>
    <x v="0"/>
    <x v="2"/>
    <x v="779"/>
    <x v="889"/>
    <x v="141"/>
    <x v="890"/>
    <x v="83"/>
    <x v="6"/>
  </r>
  <r>
    <x v="891"/>
    <x v="529"/>
    <x v="1"/>
    <x v="5"/>
    <x v="17"/>
    <x v="0"/>
    <x v="2"/>
    <x v="780"/>
    <x v="890"/>
    <x v="147"/>
    <x v="891"/>
    <x v="25"/>
    <x v="0"/>
  </r>
  <r>
    <x v="892"/>
    <x v="260"/>
    <x v="1"/>
    <x v="5"/>
    <x v="6"/>
    <x v="1"/>
    <x v="3"/>
    <x v="781"/>
    <x v="891"/>
    <x v="151"/>
    <x v="892"/>
    <x v="83"/>
    <x v="5"/>
  </r>
  <r>
    <x v="893"/>
    <x v="548"/>
    <x v="0"/>
    <x v="0"/>
    <x v="0"/>
    <x v="0"/>
    <x v="0"/>
    <x v="782"/>
    <x v="892"/>
    <x v="14"/>
    <x v="893"/>
    <x v="25"/>
    <x v="9"/>
  </r>
  <r>
    <x v="894"/>
    <x v="484"/>
    <x v="1"/>
    <x v="3"/>
    <x v="19"/>
    <x v="0"/>
    <x v="1"/>
    <x v="783"/>
    <x v="893"/>
    <x v="8"/>
    <x v="894"/>
    <x v="82"/>
    <x v="1"/>
  </r>
  <r>
    <x v="895"/>
    <x v="29"/>
    <x v="1"/>
    <x v="4"/>
    <x v="5"/>
    <x v="0"/>
    <x v="1"/>
    <x v="784"/>
    <x v="894"/>
    <x v="23"/>
    <x v="895"/>
    <x v="25"/>
    <x v="2"/>
  </r>
  <r>
    <x v="896"/>
    <x v="549"/>
    <x v="1"/>
    <x v="6"/>
    <x v="31"/>
    <x v="0"/>
    <x v="3"/>
    <x v="785"/>
    <x v="895"/>
    <x v="173"/>
    <x v="896"/>
    <x v="83"/>
    <x v="2"/>
  </r>
  <r>
    <x v="897"/>
    <x v="550"/>
    <x v="1"/>
    <x v="5"/>
    <x v="29"/>
    <x v="1"/>
    <x v="1"/>
    <x v="786"/>
    <x v="896"/>
    <x v="46"/>
    <x v="897"/>
    <x v="25"/>
    <x v="4"/>
  </r>
  <r>
    <x v="898"/>
    <x v="306"/>
    <x v="0"/>
    <x v="4"/>
    <x v="9"/>
    <x v="0"/>
    <x v="3"/>
    <x v="787"/>
    <x v="897"/>
    <x v="123"/>
    <x v="898"/>
    <x v="84"/>
    <x v="8"/>
  </r>
  <r>
    <x v="899"/>
    <x v="407"/>
    <x v="0"/>
    <x v="4"/>
    <x v="4"/>
    <x v="0"/>
    <x v="2"/>
    <x v="788"/>
    <x v="898"/>
    <x v="4"/>
    <x v="899"/>
    <x v="67"/>
    <x v="0"/>
  </r>
  <r>
    <x v="900"/>
    <x v="394"/>
    <x v="3"/>
    <x v="4"/>
    <x v="20"/>
    <x v="0"/>
    <x v="3"/>
    <x v="431"/>
    <x v="899"/>
    <x v="22"/>
    <x v="900"/>
    <x v="68"/>
    <x v="8"/>
  </r>
  <r>
    <x v="901"/>
    <x v="62"/>
    <x v="1"/>
    <x v="4"/>
    <x v="11"/>
    <x v="0"/>
    <x v="4"/>
    <x v="789"/>
    <x v="900"/>
    <x v="232"/>
    <x v="901"/>
    <x v="67"/>
    <x v="6"/>
  </r>
  <r>
    <x v="902"/>
    <x v="17"/>
    <x v="2"/>
    <x v="4"/>
    <x v="5"/>
    <x v="0"/>
    <x v="4"/>
    <x v="790"/>
    <x v="901"/>
    <x v="123"/>
    <x v="902"/>
    <x v="84"/>
    <x v="1"/>
  </r>
  <r>
    <x v="903"/>
    <x v="551"/>
    <x v="0"/>
    <x v="7"/>
    <x v="25"/>
    <x v="0"/>
    <x v="0"/>
    <x v="425"/>
    <x v="902"/>
    <x v="38"/>
    <x v="903"/>
    <x v="67"/>
    <x v="4"/>
  </r>
  <r>
    <x v="904"/>
    <x v="494"/>
    <x v="1"/>
    <x v="0"/>
    <x v="28"/>
    <x v="0"/>
    <x v="0"/>
    <x v="791"/>
    <x v="903"/>
    <x v="80"/>
    <x v="904"/>
    <x v="68"/>
    <x v="2"/>
  </r>
  <r>
    <x v="905"/>
    <x v="61"/>
    <x v="0"/>
    <x v="5"/>
    <x v="29"/>
    <x v="0"/>
    <x v="0"/>
    <x v="792"/>
    <x v="904"/>
    <x v="9"/>
    <x v="905"/>
    <x v="67"/>
    <x v="2"/>
  </r>
  <r>
    <x v="906"/>
    <x v="268"/>
    <x v="0"/>
    <x v="5"/>
    <x v="6"/>
    <x v="0"/>
    <x v="5"/>
    <x v="756"/>
    <x v="905"/>
    <x v="148"/>
    <x v="906"/>
    <x v="68"/>
    <x v="4"/>
  </r>
  <r>
    <x v="907"/>
    <x v="212"/>
    <x v="0"/>
    <x v="0"/>
    <x v="24"/>
    <x v="0"/>
    <x v="5"/>
    <x v="581"/>
    <x v="906"/>
    <x v="84"/>
    <x v="907"/>
    <x v="67"/>
    <x v="9"/>
  </r>
  <r>
    <x v="908"/>
    <x v="552"/>
    <x v="1"/>
    <x v="6"/>
    <x v="22"/>
    <x v="0"/>
    <x v="1"/>
    <x v="414"/>
    <x v="907"/>
    <x v="154"/>
    <x v="908"/>
    <x v="68"/>
    <x v="0"/>
  </r>
  <r>
    <x v="909"/>
    <x v="209"/>
    <x v="0"/>
    <x v="0"/>
    <x v="0"/>
    <x v="0"/>
    <x v="0"/>
    <x v="793"/>
    <x v="908"/>
    <x v="0"/>
    <x v="909"/>
    <x v="67"/>
    <x v="8"/>
  </r>
  <r>
    <x v="910"/>
    <x v="156"/>
    <x v="1"/>
    <x v="3"/>
    <x v="19"/>
    <x v="0"/>
    <x v="2"/>
    <x v="510"/>
    <x v="909"/>
    <x v="70"/>
    <x v="910"/>
    <x v="84"/>
    <x v="6"/>
  </r>
  <r>
    <x v="911"/>
    <x v="553"/>
    <x v="0"/>
    <x v="6"/>
    <x v="16"/>
    <x v="0"/>
    <x v="5"/>
    <x v="794"/>
    <x v="910"/>
    <x v="220"/>
    <x v="911"/>
    <x v="67"/>
    <x v="3"/>
  </r>
  <r>
    <x v="912"/>
    <x v="37"/>
    <x v="1"/>
    <x v="3"/>
    <x v="27"/>
    <x v="0"/>
    <x v="0"/>
    <x v="795"/>
    <x v="911"/>
    <x v="103"/>
    <x v="912"/>
    <x v="84"/>
    <x v="2"/>
  </r>
  <r>
    <x v="913"/>
    <x v="554"/>
    <x v="0"/>
    <x v="0"/>
    <x v="24"/>
    <x v="0"/>
    <x v="3"/>
    <x v="7"/>
    <x v="912"/>
    <x v="23"/>
    <x v="913"/>
    <x v="25"/>
    <x v="4"/>
  </r>
  <r>
    <x v="914"/>
    <x v="555"/>
    <x v="0"/>
    <x v="7"/>
    <x v="32"/>
    <x v="0"/>
    <x v="5"/>
    <x v="796"/>
    <x v="913"/>
    <x v="210"/>
    <x v="914"/>
    <x v="84"/>
    <x v="2"/>
  </r>
  <r>
    <x v="915"/>
    <x v="140"/>
    <x v="1"/>
    <x v="0"/>
    <x v="28"/>
    <x v="0"/>
    <x v="4"/>
    <x v="797"/>
    <x v="914"/>
    <x v="231"/>
    <x v="915"/>
    <x v="67"/>
    <x v="1"/>
  </r>
  <r>
    <x v="916"/>
    <x v="556"/>
    <x v="0"/>
    <x v="6"/>
    <x v="16"/>
    <x v="0"/>
    <x v="2"/>
    <x v="197"/>
    <x v="915"/>
    <x v="48"/>
    <x v="916"/>
    <x v="68"/>
    <x v="5"/>
  </r>
  <r>
    <x v="917"/>
    <x v="361"/>
    <x v="0"/>
    <x v="1"/>
    <x v="1"/>
    <x v="2"/>
    <x v="0"/>
    <x v="798"/>
    <x v="916"/>
    <x v="147"/>
    <x v="917"/>
    <x v="67"/>
    <x v="5"/>
  </r>
  <r>
    <x v="918"/>
    <x v="239"/>
    <x v="0"/>
    <x v="2"/>
    <x v="8"/>
    <x v="1"/>
    <x v="2"/>
    <x v="799"/>
    <x v="917"/>
    <x v="149"/>
    <x v="918"/>
    <x v="68"/>
    <x v="6"/>
  </r>
  <r>
    <x v="919"/>
    <x v="488"/>
    <x v="0"/>
    <x v="4"/>
    <x v="9"/>
    <x v="0"/>
    <x v="1"/>
    <x v="800"/>
    <x v="918"/>
    <x v="222"/>
    <x v="919"/>
    <x v="85"/>
    <x v="0"/>
  </r>
  <r>
    <x v="920"/>
    <x v="461"/>
    <x v="0"/>
    <x v="5"/>
    <x v="17"/>
    <x v="0"/>
    <x v="5"/>
    <x v="801"/>
    <x v="919"/>
    <x v="108"/>
    <x v="920"/>
    <x v="68"/>
    <x v="9"/>
  </r>
  <r>
    <x v="921"/>
    <x v="557"/>
    <x v="0"/>
    <x v="7"/>
    <x v="25"/>
    <x v="1"/>
    <x v="1"/>
    <x v="802"/>
    <x v="920"/>
    <x v="0"/>
    <x v="921"/>
    <x v="85"/>
    <x v="6"/>
  </r>
  <r>
    <x v="922"/>
    <x v="558"/>
    <x v="0"/>
    <x v="5"/>
    <x v="17"/>
    <x v="0"/>
    <x v="3"/>
    <x v="803"/>
    <x v="921"/>
    <x v="186"/>
    <x v="922"/>
    <x v="86"/>
    <x v="3"/>
  </r>
  <r>
    <x v="923"/>
    <x v="41"/>
    <x v="0"/>
    <x v="5"/>
    <x v="17"/>
    <x v="2"/>
    <x v="5"/>
    <x v="804"/>
    <x v="922"/>
    <x v="59"/>
    <x v="923"/>
    <x v="87"/>
    <x v="3"/>
  </r>
  <r>
    <x v="924"/>
    <x v="522"/>
    <x v="0"/>
    <x v="0"/>
    <x v="28"/>
    <x v="1"/>
    <x v="3"/>
    <x v="805"/>
    <x v="923"/>
    <x v="179"/>
    <x v="924"/>
    <x v="88"/>
    <x v="4"/>
  </r>
  <r>
    <x v="925"/>
    <x v="559"/>
    <x v="1"/>
    <x v="4"/>
    <x v="11"/>
    <x v="2"/>
    <x v="1"/>
    <x v="169"/>
    <x v="924"/>
    <x v="196"/>
    <x v="925"/>
    <x v="87"/>
    <x v="8"/>
  </r>
  <r>
    <x v="926"/>
    <x v="104"/>
    <x v="1"/>
    <x v="6"/>
    <x v="31"/>
    <x v="0"/>
    <x v="1"/>
    <x v="806"/>
    <x v="925"/>
    <x v="167"/>
    <x v="926"/>
    <x v="88"/>
    <x v="6"/>
  </r>
  <r>
    <x v="927"/>
    <x v="560"/>
    <x v="0"/>
    <x v="7"/>
    <x v="32"/>
    <x v="2"/>
    <x v="1"/>
    <x v="807"/>
    <x v="926"/>
    <x v="163"/>
    <x v="927"/>
    <x v="87"/>
    <x v="5"/>
  </r>
  <r>
    <x v="928"/>
    <x v="561"/>
    <x v="0"/>
    <x v="3"/>
    <x v="3"/>
    <x v="0"/>
    <x v="3"/>
    <x v="808"/>
    <x v="927"/>
    <x v="59"/>
    <x v="928"/>
    <x v="88"/>
    <x v="9"/>
  </r>
  <r>
    <x v="929"/>
    <x v="29"/>
    <x v="1"/>
    <x v="6"/>
    <x v="13"/>
    <x v="0"/>
    <x v="2"/>
    <x v="809"/>
    <x v="928"/>
    <x v="107"/>
    <x v="929"/>
    <x v="89"/>
    <x v="5"/>
  </r>
  <r>
    <x v="930"/>
    <x v="145"/>
    <x v="1"/>
    <x v="4"/>
    <x v="20"/>
    <x v="2"/>
    <x v="4"/>
    <x v="810"/>
    <x v="929"/>
    <x v="219"/>
    <x v="930"/>
    <x v="88"/>
    <x v="1"/>
  </r>
  <r>
    <x v="931"/>
    <x v="562"/>
    <x v="0"/>
    <x v="5"/>
    <x v="17"/>
    <x v="0"/>
    <x v="1"/>
    <x v="811"/>
    <x v="930"/>
    <x v="233"/>
    <x v="931"/>
    <x v="89"/>
    <x v="4"/>
  </r>
  <r>
    <x v="932"/>
    <x v="80"/>
    <x v="1"/>
    <x v="1"/>
    <x v="1"/>
    <x v="0"/>
    <x v="3"/>
    <x v="812"/>
    <x v="931"/>
    <x v="140"/>
    <x v="932"/>
    <x v="90"/>
    <x v="5"/>
  </r>
  <r>
    <x v="933"/>
    <x v="91"/>
    <x v="1"/>
    <x v="7"/>
    <x v="14"/>
    <x v="0"/>
    <x v="4"/>
    <x v="813"/>
    <x v="932"/>
    <x v="109"/>
    <x v="933"/>
    <x v="91"/>
    <x v="8"/>
  </r>
  <r>
    <x v="934"/>
    <x v="212"/>
    <x v="1"/>
    <x v="4"/>
    <x v="5"/>
    <x v="0"/>
    <x v="5"/>
    <x v="814"/>
    <x v="933"/>
    <x v="34"/>
    <x v="934"/>
    <x v="92"/>
    <x v="5"/>
  </r>
  <r>
    <x v="935"/>
    <x v="525"/>
    <x v="2"/>
    <x v="6"/>
    <x v="31"/>
    <x v="0"/>
    <x v="2"/>
    <x v="815"/>
    <x v="934"/>
    <x v="27"/>
    <x v="935"/>
    <x v="93"/>
    <x v="1"/>
  </r>
  <r>
    <x v="936"/>
    <x v="546"/>
    <x v="1"/>
    <x v="4"/>
    <x v="9"/>
    <x v="0"/>
    <x v="4"/>
    <x v="816"/>
    <x v="935"/>
    <x v="7"/>
    <x v="936"/>
    <x v="94"/>
    <x v="3"/>
  </r>
  <r>
    <x v="937"/>
    <x v="170"/>
    <x v="0"/>
    <x v="1"/>
    <x v="10"/>
    <x v="0"/>
    <x v="2"/>
    <x v="817"/>
    <x v="936"/>
    <x v="21"/>
    <x v="937"/>
    <x v="95"/>
    <x v="5"/>
  </r>
  <r>
    <x v="938"/>
    <x v="38"/>
    <x v="0"/>
    <x v="4"/>
    <x v="20"/>
    <x v="0"/>
    <x v="0"/>
    <x v="818"/>
    <x v="937"/>
    <x v="0"/>
    <x v="938"/>
    <x v="94"/>
    <x v="6"/>
  </r>
  <r>
    <x v="939"/>
    <x v="111"/>
    <x v="1"/>
    <x v="7"/>
    <x v="25"/>
    <x v="2"/>
    <x v="2"/>
    <x v="819"/>
    <x v="938"/>
    <x v="23"/>
    <x v="939"/>
    <x v="93"/>
    <x v="6"/>
  </r>
  <r>
    <x v="940"/>
    <x v="509"/>
    <x v="0"/>
    <x v="6"/>
    <x v="13"/>
    <x v="0"/>
    <x v="1"/>
    <x v="129"/>
    <x v="939"/>
    <x v="110"/>
    <x v="940"/>
    <x v="94"/>
    <x v="7"/>
  </r>
  <r>
    <x v="941"/>
    <x v="92"/>
    <x v="1"/>
    <x v="7"/>
    <x v="32"/>
    <x v="0"/>
    <x v="2"/>
    <x v="407"/>
    <x v="940"/>
    <x v="4"/>
    <x v="941"/>
    <x v="93"/>
    <x v="0"/>
  </r>
  <r>
    <x v="942"/>
    <x v="425"/>
    <x v="0"/>
    <x v="3"/>
    <x v="3"/>
    <x v="0"/>
    <x v="3"/>
    <x v="81"/>
    <x v="941"/>
    <x v="63"/>
    <x v="942"/>
    <x v="94"/>
    <x v="4"/>
  </r>
  <r>
    <x v="943"/>
    <x v="107"/>
    <x v="0"/>
    <x v="5"/>
    <x v="17"/>
    <x v="2"/>
    <x v="2"/>
    <x v="820"/>
    <x v="942"/>
    <x v="23"/>
    <x v="943"/>
    <x v="95"/>
    <x v="6"/>
  </r>
  <r>
    <x v="944"/>
    <x v="399"/>
    <x v="1"/>
    <x v="4"/>
    <x v="4"/>
    <x v="0"/>
    <x v="5"/>
    <x v="821"/>
    <x v="943"/>
    <x v="15"/>
    <x v="944"/>
    <x v="96"/>
    <x v="1"/>
  </r>
  <r>
    <x v="945"/>
    <x v="137"/>
    <x v="1"/>
    <x v="4"/>
    <x v="20"/>
    <x v="2"/>
    <x v="3"/>
    <x v="822"/>
    <x v="944"/>
    <x v="165"/>
    <x v="945"/>
    <x v="97"/>
    <x v="4"/>
  </r>
  <r>
    <x v="946"/>
    <x v="563"/>
    <x v="0"/>
    <x v="4"/>
    <x v="20"/>
    <x v="0"/>
    <x v="2"/>
    <x v="823"/>
    <x v="945"/>
    <x v="0"/>
    <x v="946"/>
    <x v="96"/>
    <x v="0"/>
  </r>
  <r>
    <x v="947"/>
    <x v="400"/>
    <x v="1"/>
    <x v="1"/>
    <x v="21"/>
    <x v="0"/>
    <x v="5"/>
    <x v="824"/>
    <x v="946"/>
    <x v="8"/>
    <x v="947"/>
    <x v="97"/>
    <x v="9"/>
  </r>
  <r>
    <x v="948"/>
    <x v="84"/>
    <x v="0"/>
    <x v="5"/>
    <x v="29"/>
    <x v="0"/>
    <x v="3"/>
    <x v="825"/>
    <x v="947"/>
    <x v="154"/>
    <x v="948"/>
    <x v="98"/>
    <x v="1"/>
  </r>
  <r>
    <x v="949"/>
    <x v="104"/>
    <x v="0"/>
    <x v="3"/>
    <x v="19"/>
    <x v="0"/>
    <x v="3"/>
    <x v="826"/>
    <x v="948"/>
    <x v="155"/>
    <x v="949"/>
    <x v="99"/>
    <x v="7"/>
  </r>
  <r>
    <x v="950"/>
    <x v="560"/>
    <x v="0"/>
    <x v="3"/>
    <x v="7"/>
    <x v="0"/>
    <x v="5"/>
    <x v="827"/>
    <x v="949"/>
    <x v="107"/>
    <x v="950"/>
    <x v="100"/>
    <x v="2"/>
  </r>
  <r>
    <x v="951"/>
    <x v="286"/>
    <x v="2"/>
    <x v="3"/>
    <x v="7"/>
    <x v="0"/>
    <x v="5"/>
    <x v="828"/>
    <x v="950"/>
    <x v="0"/>
    <x v="951"/>
    <x v="101"/>
    <x v="1"/>
  </r>
  <r>
    <x v="952"/>
    <x v="337"/>
    <x v="0"/>
    <x v="4"/>
    <x v="20"/>
    <x v="0"/>
    <x v="4"/>
    <x v="829"/>
    <x v="951"/>
    <x v="209"/>
    <x v="952"/>
    <x v="102"/>
    <x v="2"/>
  </r>
  <r>
    <x v="953"/>
    <x v="254"/>
    <x v="0"/>
    <x v="1"/>
    <x v="10"/>
    <x v="0"/>
    <x v="5"/>
    <x v="326"/>
    <x v="952"/>
    <x v="134"/>
    <x v="953"/>
    <x v="101"/>
    <x v="1"/>
  </r>
  <r>
    <x v="954"/>
    <x v="413"/>
    <x v="1"/>
    <x v="0"/>
    <x v="15"/>
    <x v="0"/>
    <x v="4"/>
    <x v="830"/>
    <x v="953"/>
    <x v="101"/>
    <x v="954"/>
    <x v="100"/>
    <x v="0"/>
  </r>
  <r>
    <x v="955"/>
    <x v="262"/>
    <x v="0"/>
    <x v="0"/>
    <x v="15"/>
    <x v="0"/>
    <x v="0"/>
    <x v="831"/>
    <x v="954"/>
    <x v="42"/>
    <x v="955"/>
    <x v="99"/>
    <x v="3"/>
  </r>
  <r>
    <x v="956"/>
    <x v="564"/>
    <x v="1"/>
    <x v="7"/>
    <x v="14"/>
    <x v="0"/>
    <x v="1"/>
    <x v="832"/>
    <x v="955"/>
    <x v="144"/>
    <x v="956"/>
    <x v="98"/>
    <x v="3"/>
  </r>
  <r>
    <x v="957"/>
    <x v="565"/>
    <x v="1"/>
    <x v="4"/>
    <x v="9"/>
    <x v="0"/>
    <x v="2"/>
    <x v="833"/>
    <x v="956"/>
    <x v="76"/>
    <x v="957"/>
    <x v="97"/>
    <x v="2"/>
  </r>
  <r>
    <x v="958"/>
    <x v="441"/>
    <x v="1"/>
    <x v="4"/>
    <x v="5"/>
    <x v="0"/>
    <x v="3"/>
    <x v="834"/>
    <x v="957"/>
    <x v="218"/>
    <x v="958"/>
    <x v="96"/>
    <x v="2"/>
  </r>
  <r>
    <x v="959"/>
    <x v="273"/>
    <x v="0"/>
    <x v="2"/>
    <x v="30"/>
    <x v="0"/>
    <x v="4"/>
    <x v="835"/>
    <x v="958"/>
    <x v="127"/>
    <x v="959"/>
    <x v="97"/>
    <x v="7"/>
  </r>
  <r>
    <x v="960"/>
    <x v="566"/>
    <x v="0"/>
    <x v="4"/>
    <x v="11"/>
    <x v="2"/>
    <x v="2"/>
    <x v="836"/>
    <x v="959"/>
    <x v="7"/>
    <x v="960"/>
    <x v="98"/>
    <x v="6"/>
  </r>
  <r>
    <x v="961"/>
    <x v="567"/>
    <x v="0"/>
    <x v="3"/>
    <x v="19"/>
    <x v="0"/>
    <x v="5"/>
    <x v="837"/>
    <x v="960"/>
    <x v="161"/>
    <x v="961"/>
    <x v="99"/>
    <x v="1"/>
  </r>
  <r>
    <x v="962"/>
    <x v="568"/>
    <x v="0"/>
    <x v="6"/>
    <x v="16"/>
    <x v="0"/>
    <x v="5"/>
    <x v="326"/>
    <x v="961"/>
    <x v="10"/>
    <x v="962"/>
    <x v="100"/>
    <x v="1"/>
  </r>
  <r>
    <x v="963"/>
    <x v="424"/>
    <x v="0"/>
    <x v="0"/>
    <x v="24"/>
    <x v="0"/>
    <x v="2"/>
    <x v="838"/>
    <x v="962"/>
    <x v="174"/>
    <x v="963"/>
    <x v="101"/>
    <x v="1"/>
  </r>
  <r>
    <x v="964"/>
    <x v="560"/>
    <x v="1"/>
    <x v="6"/>
    <x v="31"/>
    <x v="0"/>
    <x v="5"/>
    <x v="839"/>
    <x v="963"/>
    <x v="74"/>
    <x v="964"/>
    <x v="103"/>
    <x v="8"/>
  </r>
  <r>
    <x v="965"/>
    <x v="232"/>
    <x v="1"/>
    <x v="0"/>
    <x v="28"/>
    <x v="0"/>
    <x v="0"/>
    <x v="64"/>
    <x v="964"/>
    <x v="149"/>
    <x v="965"/>
    <x v="101"/>
    <x v="6"/>
  </r>
  <r>
    <x v="966"/>
    <x v="259"/>
    <x v="1"/>
    <x v="2"/>
    <x v="23"/>
    <x v="0"/>
    <x v="3"/>
    <x v="840"/>
    <x v="965"/>
    <x v="186"/>
    <x v="966"/>
    <x v="103"/>
    <x v="9"/>
  </r>
  <r>
    <x v="967"/>
    <x v="569"/>
    <x v="0"/>
    <x v="6"/>
    <x v="22"/>
    <x v="0"/>
    <x v="0"/>
    <x v="841"/>
    <x v="966"/>
    <x v="19"/>
    <x v="967"/>
    <x v="101"/>
    <x v="2"/>
  </r>
  <r>
    <x v="968"/>
    <x v="138"/>
    <x v="0"/>
    <x v="7"/>
    <x v="32"/>
    <x v="0"/>
    <x v="4"/>
    <x v="842"/>
    <x v="967"/>
    <x v="30"/>
    <x v="968"/>
    <x v="100"/>
    <x v="3"/>
  </r>
  <r>
    <x v="969"/>
    <x v="570"/>
    <x v="0"/>
    <x v="7"/>
    <x v="25"/>
    <x v="0"/>
    <x v="2"/>
    <x v="190"/>
    <x v="968"/>
    <x v="191"/>
    <x v="969"/>
    <x v="99"/>
    <x v="5"/>
  </r>
  <r>
    <x v="970"/>
    <x v="6"/>
    <x v="1"/>
    <x v="3"/>
    <x v="7"/>
    <x v="0"/>
    <x v="0"/>
    <x v="843"/>
    <x v="969"/>
    <x v="234"/>
    <x v="970"/>
    <x v="100"/>
    <x v="6"/>
  </r>
  <r>
    <x v="971"/>
    <x v="331"/>
    <x v="1"/>
    <x v="1"/>
    <x v="10"/>
    <x v="0"/>
    <x v="1"/>
    <x v="844"/>
    <x v="970"/>
    <x v="222"/>
    <x v="971"/>
    <x v="101"/>
    <x v="5"/>
  </r>
  <r>
    <x v="972"/>
    <x v="571"/>
    <x v="0"/>
    <x v="2"/>
    <x v="23"/>
    <x v="2"/>
    <x v="4"/>
    <x v="845"/>
    <x v="971"/>
    <x v="213"/>
    <x v="972"/>
    <x v="103"/>
    <x v="9"/>
  </r>
  <r>
    <x v="973"/>
    <x v="466"/>
    <x v="0"/>
    <x v="4"/>
    <x v="20"/>
    <x v="0"/>
    <x v="5"/>
    <x v="613"/>
    <x v="972"/>
    <x v="56"/>
    <x v="973"/>
    <x v="104"/>
    <x v="6"/>
  </r>
  <r>
    <x v="974"/>
    <x v="572"/>
    <x v="1"/>
    <x v="4"/>
    <x v="9"/>
    <x v="0"/>
    <x v="0"/>
    <x v="846"/>
    <x v="973"/>
    <x v="20"/>
    <x v="974"/>
    <x v="105"/>
    <x v="5"/>
  </r>
  <r>
    <x v="975"/>
    <x v="573"/>
    <x v="1"/>
    <x v="6"/>
    <x v="16"/>
    <x v="2"/>
    <x v="3"/>
    <x v="847"/>
    <x v="974"/>
    <x v="67"/>
    <x v="975"/>
    <x v="104"/>
    <x v="9"/>
  </r>
  <r>
    <x v="976"/>
    <x v="236"/>
    <x v="1"/>
    <x v="3"/>
    <x v="7"/>
    <x v="0"/>
    <x v="3"/>
    <x v="382"/>
    <x v="975"/>
    <x v="70"/>
    <x v="976"/>
    <x v="105"/>
    <x v="3"/>
  </r>
  <r>
    <x v="977"/>
    <x v="574"/>
    <x v="0"/>
    <x v="4"/>
    <x v="9"/>
    <x v="0"/>
    <x v="3"/>
    <x v="211"/>
    <x v="976"/>
    <x v="30"/>
    <x v="977"/>
    <x v="104"/>
    <x v="0"/>
  </r>
  <r>
    <x v="978"/>
    <x v="575"/>
    <x v="1"/>
    <x v="7"/>
    <x v="26"/>
    <x v="0"/>
    <x v="0"/>
    <x v="848"/>
    <x v="977"/>
    <x v="99"/>
    <x v="978"/>
    <x v="105"/>
    <x v="2"/>
  </r>
  <r>
    <x v="979"/>
    <x v="145"/>
    <x v="1"/>
    <x v="3"/>
    <x v="27"/>
    <x v="0"/>
    <x v="0"/>
    <x v="666"/>
    <x v="978"/>
    <x v="35"/>
    <x v="979"/>
    <x v="99"/>
    <x v="8"/>
  </r>
  <r>
    <x v="980"/>
    <x v="282"/>
    <x v="1"/>
    <x v="0"/>
    <x v="0"/>
    <x v="0"/>
    <x v="3"/>
    <x v="849"/>
    <x v="979"/>
    <x v="137"/>
    <x v="980"/>
    <x v="106"/>
    <x v="8"/>
  </r>
  <r>
    <x v="981"/>
    <x v="328"/>
    <x v="0"/>
    <x v="5"/>
    <x v="6"/>
    <x v="2"/>
    <x v="5"/>
    <x v="850"/>
    <x v="980"/>
    <x v="0"/>
    <x v="981"/>
    <x v="104"/>
    <x v="2"/>
  </r>
  <r>
    <x v="982"/>
    <x v="93"/>
    <x v="1"/>
    <x v="4"/>
    <x v="20"/>
    <x v="0"/>
    <x v="4"/>
    <x v="851"/>
    <x v="981"/>
    <x v="107"/>
    <x v="982"/>
    <x v="107"/>
    <x v="3"/>
  </r>
  <r>
    <x v="983"/>
    <x v="346"/>
    <x v="1"/>
    <x v="4"/>
    <x v="20"/>
    <x v="0"/>
    <x v="1"/>
    <x v="852"/>
    <x v="982"/>
    <x v="59"/>
    <x v="983"/>
    <x v="104"/>
    <x v="9"/>
  </r>
  <r>
    <x v="984"/>
    <x v="299"/>
    <x v="0"/>
    <x v="2"/>
    <x v="23"/>
    <x v="0"/>
    <x v="2"/>
    <x v="853"/>
    <x v="983"/>
    <x v="70"/>
    <x v="984"/>
    <x v="106"/>
    <x v="3"/>
  </r>
  <r>
    <x v="985"/>
    <x v="408"/>
    <x v="0"/>
    <x v="7"/>
    <x v="25"/>
    <x v="0"/>
    <x v="2"/>
    <x v="854"/>
    <x v="984"/>
    <x v="164"/>
    <x v="985"/>
    <x v="104"/>
    <x v="6"/>
  </r>
  <r>
    <x v="986"/>
    <x v="501"/>
    <x v="0"/>
    <x v="2"/>
    <x v="30"/>
    <x v="2"/>
    <x v="0"/>
    <x v="813"/>
    <x v="985"/>
    <x v="94"/>
    <x v="986"/>
    <x v="108"/>
    <x v="8"/>
  </r>
  <r>
    <x v="987"/>
    <x v="273"/>
    <x v="1"/>
    <x v="0"/>
    <x v="24"/>
    <x v="0"/>
    <x v="0"/>
    <x v="855"/>
    <x v="986"/>
    <x v="53"/>
    <x v="987"/>
    <x v="97"/>
    <x v="0"/>
  </r>
  <r>
    <x v="988"/>
    <x v="576"/>
    <x v="0"/>
    <x v="6"/>
    <x v="22"/>
    <x v="0"/>
    <x v="3"/>
    <x v="109"/>
    <x v="987"/>
    <x v="160"/>
    <x v="988"/>
    <x v="108"/>
    <x v="0"/>
  </r>
  <r>
    <x v="989"/>
    <x v="215"/>
    <x v="1"/>
    <x v="5"/>
    <x v="6"/>
    <x v="0"/>
    <x v="2"/>
    <x v="856"/>
    <x v="988"/>
    <x v="235"/>
    <x v="989"/>
    <x v="97"/>
    <x v="2"/>
  </r>
  <r>
    <x v="990"/>
    <x v="403"/>
    <x v="1"/>
    <x v="5"/>
    <x v="6"/>
    <x v="0"/>
    <x v="1"/>
    <x v="7"/>
    <x v="989"/>
    <x v="75"/>
    <x v="990"/>
    <x v="109"/>
    <x v="4"/>
  </r>
  <r>
    <x v="991"/>
    <x v="577"/>
    <x v="1"/>
    <x v="2"/>
    <x v="23"/>
    <x v="0"/>
    <x v="1"/>
    <x v="857"/>
    <x v="990"/>
    <x v="0"/>
    <x v="991"/>
    <x v="110"/>
    <x v="1"/>
  </r>
  <r>
    <x v="992"/>
    <x v="388"/>
    <x v="1"/>
    <x v="6"/>
    <x v="31"/>
    <x v="0"/>
    <x v="5"/>
    <x v="858"/>
    <x v="991"/>
    <x v="157"/>
    <x v="992"/>
    <x v="111"/>
    <x v="1"/>
  </r>
  <r>
    <x v="993"/>
    <x v="364"/>
    <x v="1"/>
    <x v="3"/>
    <x v="7"/>
    <x v="0"/>
    <x v="0"/>
    <x v="699"/>
    <x v="992"/>
    <x v="116"/>
    <x v="993"/>
    <x v="112"/>
    <x v="3"/>
  </r>
  <r>
    <x v="994"/>
    <x v="483"/>
    <x v="0"/>
    <x v="0"/>
    <x v="28"/>
    <x v="0"/>
    <x v="2"/>
    <x v="859"/>
    <x v="993"/>
    <x v="151"/>
    <x v="994"/>
    <x v="111"/>
    <x v="3"/>
  </r>
  <r>
    <x v="995"/>
    <x v="578"/>
    <x v="1"/>
    <x v="4"/>
    <x v="5"/>
    <x v="0"/>
    <x v="5"/>
    <x v="172"/>
    <x v="994"/>
    <x v="159"/>
    <x v="995"/>
    <x v="112"/>
    <x v="4"/>
  </r>
  <r>
    <x v="996"/>
    <x v="182"/>
    <x v="1"/>
    <x v="1"/>
    <x v="10"/>
    <x v="0"/>
    <x v="1"/>
    <x v="860"/>
    <x v="995"/>
    <x v="2"/>
    <x v="996"/>
    <x v="113"/>
    <x v="9"/>
  </r>
  <r>
    <x v="997"/>
    <x v="24"/>
    <x v="1"/>
    <x v="4"/>
    <x v="11"/>
    <x v="0"/>
    <x v="3"/>
    <x v="861"/>
    <x v="996"/>
    <x v="135"/>
    <x v="997"/>
    <x v="112"/>
    <x v="4"/>
  </r>
  <r>
    <x v="998"/>
    <x v="179"/>
    <x v="0"/>
    <x v="1"/>
    <x v="21"/>
    <x v="0"/>
    <x v="2"/>
    <x v="862"/>
    <x v="997"/>
    <x v="112"/>
    <x v="998"/>
    <x v="114"/>
    <x v="7"/>
  </r>
  <r>
    <x v="999"/>
    <x v="541"/>
    <x v="0"/>
    <x v="0"/>
    <x v="0"/>
    <x v="0"/>
    <x v="5"/>
    <x v="863"/>
    <x v="998"/>
    <x v="236"/>
    <x v="999"/>
    <x v="112"/>
    <x v="8"/>
  </r>
</pivotCacheRecords>
</file>

<file path=xl/pivotCache/pivotCacheRecords7.xml><?xml version="1.0" encoding="utf-8"?>
<pivotCacheRecords xmlns="http://schemas.openxmlformats.org/spreadsheetml/2006/main" xmlns:r="http://schemas.openxmlformats.org/officeDocument/2006/relationships" count="1000">
  <r>
    <x v="0"/>
    <x v="0"/>
    <x v="0"/>
    <x v="0"/>
    <x v="0"/>
    <x v="0"/>
    <x v="0"/>
    <x v="0"/>
    <x v="0"/>
    <x v="0"/>
    <x v="0"/>
    <x v="0"/>
    <x v="0"/>
    <x v="0"/>
  </r>
  <r>
    <x v="1"/>
    <x v="1"/>
    <x v="1"/>
    <x v="1"/>
    <x v="1"/>
    <x v="1"/>
    <x v="0"/>
    <x v="1"/>
    <x v="1"/>
    <x v="1"/>
    <x v="1"/>
    <x v="1"/>
    <x v="1"/>
    <x v="1"/>
  </r>
  <r>
    <x v="2"/>
    <x v="2"/>
    <x v="1"/>
    <x v="2"/>
    <x v="2"/>
    <x v="0"/>
    <x v="1"/>
    <x v="2"/>
    <x v="2"/>
    <x v="2"/>
    <x v="2"/>
    <x v="2"/>
    <x v="2"/>
    <x v="0"/>
  </r>
  <r>
    <x v="3"/>
    <x v="3"/>
    <x v="1"/>
    <x v="3"/>
    <x v="3"/>
    <x v="0"/>
    <x v="2"/>
    <x v="3"/>
    <x v="3"/>
    <x v="3"/>
    <x v="3"/>
    <x v="1"/>
    <x v="3"/>
    <x v="2"/>
  </r>
  <r>
    <x v="4"/>
    <x v="4"/>
    <x v="0"/>
    <x v="4"/>
    <x v="4"/>
    <x v="0"/>
    <x v="3"/>
    <x v="4"/>
    <x v="4"/>
    <x v="4"/>
    <x v="4"/>
    <x v="2"/>
    <x v="1"/>
    <x v="1"/>
  </r>
  <r>
    <x v="5"/>
    <x v="5"/>
    <x v="0"/>
    <x v="4"/>
    <x v="5"/>
    <x v="0"/>
    <x v="3"/>
    <x v="5"/>
    <x v="5"/>
    <x v="5"/>
    <x v="5"/>
    <x v="1"/>
    <x v="2"/>
    <x v="0"/>
  </r>
  <r>
    <x v="6"/>
    <x v="6"/>
    <x v="0"/>
    <x v="4"/>
    <x v="5"/>
    <x v="2"/>
    <x v="2"/>
    <x v="6"/>
    <x v="6"/>
    <x v="6"/>
    <x v="6"/>
    <x v="2"/>
    <x v="0"/>
    <x v="0"/>
  </r>
  <r>
    <x v="7"/>
    <x v="7"/>
    <x v="1"/>
    <x v="5"/>
    <x v="6"/>
    <x v="0"/>
    <x v="0"/>
    <x v="7"/>
    <x v="7"/>
    <x v="7"/>
    <x v="7"/>
    <x v="1"/>
    <x v="4"/>
    <x v="2"/>
  </r>
  <r>
    <x v="8"/>
    <x v="8"/>
    <x v="1"/>
    <x v="3"/>
    <x v="7"/>
    <x v="0"/>
    <x v="3"/>
    <x v="8"/>
    <x v="8"/>
    <x v="8"/>
    <x v="8"/>
    <x v="0"/>
    <x v="5"/>
    <x v="0"/>
  </r>
  <r>
    <x v="9"/>
    <x v="9"/>
    <x v="1"/>
    <x v="2"/>
    <x v="8"/>
    <x v="0"/>
    <x v="4"/>
    <x v="9"/>
    <x v="9"/>
    <x v="9"/>
    <x v="9"/>
    <x v="1"/>
    <x v="6"/>
    <x v="0"/>
  </r>
  <r>
    <x v="10"/>
    <x v="10"/>
    <x v="1"/>
    <x v="4"/>
    <x v="9"/>
    <x v="1"/>
    <x v="1"/>
    <x v="10"/>
    <x v="10"/>
    <x v="10"/>
    <x v="10"/>
    <x v="0"/>
    <x v="6"/>
    <x v="0"/>
  </r>
  <r>
    <x v="11"/>
    <x v="11"/>
    <x v="1"/>
    <x v="1"/>
    <x v="10"/>
    <x v="0"/>
    <x v="3"/>
    <x v="11"/>
    <x v="11"/>
    <x v="11"/>
    <x v="11"/>
    <x v="1"/>
    <x v="7"/>
    <x v="1"/>
  </r>
  <r>
    <x v="12"/>
    <x v="12"/>
    <x v="1"/>
    <x v="5"/>
    <x v="6"/>
    <x v="2"/>
    <x v="0"/>
    <x v="12"/>
    <x v="12"/>
    <x v="12"/>
    <x v="12"/>
    <x v="2"/>
    <x v="7"/>
    <x v="1"/>
  </r>
  <r>
    <x v="13"/>
    <x v="13"/>
    <x v="1"/>
    <x v="4"/>
    <x v="11"/>
    <x v="0"/>
    <x v="0"/>
    <x v="13"/>
    <x v="13"/>
    <x v="13"/>
    <x v="13"/>
    <x v="1"/>
    <x v="4"/>
    <x v="2"/>
  </r>
  <r>
    <x v="14"/>
    <x v="14"/>
    <x v="0"/>
    <x v="4"/>
    <x v="5"/>
    <x v="0"/>
    <x v="3"/>
    <x v="14"/>
    <x v="14"/>
    <x v="14"/>
    <x v="14"/>
    <x v="2"/>
    <x v="0"/>
    <x v="0"/>
  </r>
  <r>
    <x v="15"/>
    <x v="15"/>
    <x v="1"/>
    <x v="4"/>
    <x v="12"/>
    <x v="0"/>
    <x v="1"/>
    <x v="15"/>
    <x v="15"/>
    <x v="10"/>
    <x v="15"/>
    <x v="1"/>
    <x v="1"/>
    <x v="1"/>
  </r>
  <r>
    <x v="16"/>
    <x v="16"/>
    <x v="1"/>
    <x v="6"/>
    <x v="13"/>
    <x v="0"/>
    <x v="3"/>
    <x v="16"/>
    <x v="16"/>
    <x v="15"/>
    <x v="16"/>
    <x v="0"/>
    <x v="5"/>
    <x v="0"/>
  </r>
  <r>
    <x v="17"/>
    <x v="17"/>
    <x v="0"/>
    <x v="7"/>
    <x v="14"/>
    <x v="0"/>
    <x v="5"/>
    <x v="17"/>
    <x v="17"/>
    <x v="16"/>
    <x v="17"/>
    <x v="3"/>
    <x v="8"/>
    <x v="2"/>
  </r>
  <r>
    <x v="18"/>
    <x v="18"/>
    <x v="0"/>
    <x v="0"/>
    <x v="15"/>
    <x v="0"/>
    <x v="3"/>
    <x v="18"/>
    <x v="18"/>
    <x v="17"/>
    <x v="18"/>
    <x v="0"/>
    <x v="8"/>
    <x v="2"/>
  </r>
  <r>
    <x v="19"/>
    <x v="19"/>
    <x v="1"/>
    <x v="6"/>
    <x v="13"/>
    <x v="0"/>
    <x v="5"/>
    <x v="19"/>
    <x v="19"/>
    <x v="18"/>
    <x v="19"/>
    <x v="1"/>
    <x v="8"/>
    <x v="2"/>
  </r>
  <r>
    <x v="20"/>
    <x v="20"/>
    <x v="0"/>
    <x v="3"/>
    <x v="3"/>
    <x v="2"/>
    <x v="2"/>
    <x v="20"/>
    <x v="20"/>
    <x v="19"/>
    <x v="20"/>
    <x v="0"/>
    <x v="0"/>
    <x v="0"/>
  </r>
  <r>
    <x v="21"/>
    <x v="21"/>
    <x v="0"/>
    <x v="4"/>
    <x v="9"/>
    <x v="2"/>
    <x v="0"/>
    <x v="21"/>
    <x v="21"/>
    <x v="20"/>
    <x v="21"/>
    <x v="1"/>
    <x v="0"/>
    <x v="0"/>
  </r>
  <r>
    <x v="22"/>
    <x v="22"/>
    <x v="1"/>
    <x v="6"/>
    <x v="16"/>
    <x v="2"/>
    <x v="5"/>
    <x v="22"/>
    <x v="22"/>
    <x v="13"/>
    <x v="22"/>
    <x v="0"/>
    <x v="9"/>
    <x v="1"/>
  </r>
  <r>
    <x v="23"/>
    <x v="23"/>
    <x v="1"/>
    <x v="0"/>
    <x v="15"/>
    <x v="0"/>
    <x v="3"/>
    <x v="23"/>
    <x v="23"/>
    <x v="21"/>
    <x v="23"/>
    <x v="1"/>
    <x v="2"/>
    <x v="0"/>
  </r>
  <r>
    <x v="24"/>
    <x v="24"/>
    <x v="0"/>
    <x v="0"/>
    <x v="15"/>
    <x v="0"/>
    <x v="2"/>
    <x v="24"/>
    <x v="24"/>
    <x v="22"/>
    <x v="24"/>
    <x v="0"/>
    <x v="5"/>
    <x v="0"/>
  </r>
  <r>
    <x v="25"/>
    <x v="25"/>
    <x v="1"/>
    <x v="5"/>
    <x v="17"/>
    <x v="0"/>
    <x v="0"/>
    <x v="25"/>
    <x v="25"/>
    <x v="23"/>
    <x v="25"/>
    <x v="1"/>
    <x v="6"/>
    <x v="0"/>
  </r>
  <r>
    <x v="26"/>
    <x v="26"/>
    <x v="1"/>
    <x v="4"/>
    <x v="4"/>
    <x v="0"/>
    <x v="1"/>
    <x v="26"/>
    <x v="26"/>
    <x v="4"/>
    <x v="26"/>
    <x v="2"/>
    <x v="9"/>
    <x v="1"/>
  </r>
  <r>
    <x v="27"/>
    <x v="27"/>
    <x v="1"/>
    <x v="7"/>
    <x v="18"/>
    <x v="0"/>
    <x v="3"/>
    <x v="27"/>
    <x v="27"/>
    <x v="24"/>
    <x v="27"/>
    <x v="1"/>
    <x v="8"/>
    <x v="2"/>
  </r>
  <r>
    <x v="28"/>
    <x v="28"/>
    <x v="0"/>
    <x v="3"/>
    <x v="19"/>
    <x v="0"/>
    <x v="3"/>
    <x v="28"/>
    <x v="28"/>
    <x v="25"/>
    <x v="28"/>
    <x v="0"/>
    <x v="5"/>
    <x v="0"/>
  </r>
  <r>
    <x v="29"/>
    <x v="29"/>
    <x v="0"/>
    <x v="4"/>
    <x v="4"/>
    <x v="0"/>
    <x v="0"/>
    <x v="29"/>
    <x v="29"/>
    <x v="26"/>
    <x v="29"/>
    <x v="3"/>
    <x v="0"/>
    <x v="0"/>
  </r>
  <r>
    <x v="30"/>
    <x v="30"/>
    <x v="0"/>
    <x v="3"/>
    <x v="7"/>
    <x v="0"/>
    <x v="5"/>
    <x v="30"/>
    <x v="30"/>
    <x v="27"/>
    <x v="30"/>
    <x v="0"/>
    <x v="7"/>
    <x v="1"/>
  </r>
  <r>
    <x v="31"/>
    <x v="31"/>
    <x v="0"/>
    <x v="4"/>
    <x v="20"/>
    <x v="2"/>
    <x v="2"/>
    <x v="31"/>
    <x v="31"/>
    <x v="28"/>
    <x v="31"/>
    <x v="1"/>
    <x v="9"/>
    <x v="1"/>
  </r>
  <r>
    <x v="32"/>
    <x v="32"/>
    <x v="1"/>
    <x v="4"/>
    <x v="9"/>
    <x v="0"/>
    <x v="1"/>
    <x v="32"/>
    <x v="32"/>
    <x v="16"/>
    <x v="32"/>
    <x v="0"/>
    <x v="8"/>
    <x v="2"/>
  </r>
  <r>
    <x v="33"/>
    <x v="33"/>
    <x v="2"/>
    <x v="1"/>
    <x v="21"/>
    <x v="0"/>
    <x v="4"/>
    <x v="33"/>
    <x v="33"/>
    <x v="29"/>
    <x v="33"/>
    <x v="3"/>
    <x v="5"/>
    <x v="0"/>
  </r>
  <r>
    <x v="34"/>
    <x v="34"/>
    <x v="1"/>
    <x v="1"/>
    <x v="21"/>
    <x v="0"/>
    <x v="3"/>
    <x v="34"/>
    <x v="34"/>
    <x v="30"/>
    <x v="34"/>
    <x v="0"/>
    <x v="8"/>
    <x v="2"/>
  </r>
  <r>
    <x v="35"/>
    <x v="35"/>
    <x v="0"/>
    <x v="5"/>
    <x v="17"/>
    <x v="0"/>
    <x v="4"/>
    <x v="35"/>
    <x v="35"/>
    <x v="0"/>
    <x v="35"/>
    <x v="1"/>
    <x v="5"/>
    <x v="0"/>
  </r>
  <r>
    <x v="36"/>
    <x v="36"/>
    <x v="0"/>
    <x v="6"/>
    <x v="22"/>
    <x v="2"/>
    <x v="3"/>
    <x v="36"/>
    <x v="36"/>
    <x v="9"/>
    <x v="36"/>
    <x v="2"/>
    <x v="9"/>
    <x v="1"/>
  </r>
  <r>
    <x v="37"/>
    <x v="37"/>
    <x v="0"/>
    <x v="4"/>
    <x v="5"/>
    <x v="0"/>
    <x v="5"/>
    <x v="37"/>
    <x v="37"/>
    <x v="31"/>
    <x v="37"/>
    <x v="1"/>
    <x v="5"/>
    <x v="0"/>
  </r>
  <r>
    <x v="38"/>
    <x v="38"/>
    <x v="0"/>
    <x v="2"/>
    <x v="23"/>
    <x v="2"/>
    <x v="5"/>
    <x v="38"/>
    <x v="38"/>
    <x v="0"/>
    <x v="38"/>
    <x v="0"/>
    <x v="2"/>
    <x v="0"/>
  </r>
  <r>
    <x v="39"/>
    <x v="39"/>
    <x v="0"/>
    <x v="0"/>
    <x v="24"/>
    <x v="0"/>
    <x v="5"/>
    <x v="39"/>
    <x v="39"/>
    <x v="32"/>
    <x v="39"/>
    <x v="1"/>
    <x v="9"/>
    <x v="1"/>
  </r>
  <r>
    <x v="40"/>
    <x v="40"/>
    <x v="0"/>
    <x v="4"/>
    <x v="20"/>
    <x v="0"/>
    <x v="0"/>
    <x v="40"/>
    <x v="40"/>
    <x v="33"/>
    <x v="40"/>
    <x v="2"/>
    <x v="6"/>
    <x v="0"/>
  </r>
  <r>
    <x v="41"/>
    <x v="41"/>
    <x v="1"/>
    <x v="7"/>
    <x v="18"/>
    <x v="0"/>
    <x v="0"/>
    <x v="41"/>
    <x v="41"/>
    <x v="34"/>
    <x v="41"/>
    <x v="1"/>
    <x v="9"/>
    <x v="1"/>
  </r>
  <r>
    <x v="42"/>
    <x v="42"/>
    <x v="1"/>
    <x v="4"/>
    <x v="9"/>
    <x v="0"/>
    <x v="1"/>
    <x v="42"/>
    <x v="42"/>
    <x v="35"/>
    <x v="42"/>
    <x v="0"/>
    <x v="8"/>
    <x v="2"/>
  </r>
  <r>
    <x v="43"/>
    <x v="43"/>
    <x v="1"/>
    <x v="1"/>
    <x v="1"/>
    <x v="0"/>
    <x v="5"/>
    <x v="43"/>
    <x v="43"/>
    <x v="36"/>
    <x v="43"/>
    <x v="3"/>
    <x v="10"/>
    <x v="0"/>
  </r>
  <r>
    <x v="44"/>
    <x v="44"/>
    <x v="1"/>
    <x v="6"/>
    <x v="16"/>
    <x v="0"/>
    <x v="4"/>
    <x v="44"/>
    <x v="44"/>
    <x v="37"/>
    <x v="44"/>
    <x v="0"/>
    <x v="5"/>
    <x v="0"/>
  </r>
  <r>
    <x v="45"/>
    <x v="45"/>
    <x v="1"/>
    <x v="3"/>
    <x v="3"/>
    <x v="0"/>
    <x v="5"/>
    <x v="45"/>
    <x v="45"/>
    <x v="38"/>
    <x v="45"/>
    <x v="3"/>
    <x v="7"/>
    <x v="1"/>
  </r>
  <r>
    <x v="46"/>
    <x v="46"/>
    <x v="1"/>
    <x v="6"/>
    <x v="13"/>
    <x v="0"/>
    <x v="5"/>
    <x v="46"/>
    <x v="46"/>
    <x v="39"/>
    <x v="46"/>
    <x v="0"/>
    <x v="6"/>
    <x v="0"/>
  </r>
  <r>
    <x v="47"/>
    <x v="47"/>
    <x v="1"/>
    <x v="7"/>
    <x v="25"/>
    <x v="0"/>
    <x v="0"/>
    <x v="47"/>
    <x v="47"/>
    <x v="40"/>
    <x v="47"/>
    <x v="1"/>
    <x v="6"/>
    <x v="0"/>
  </r>
  <r>
    <x v="48"/>
    <x v="48"/>
    <x v="0"/>
    <x v="7"/>
    <x v="26"/>
    <x v="0"/>
    <x v="4"/>
    <x v="48"/>
    <x v="48"/>
    <x v="15"/>
    <x v="48"/>
    <x v="0"/>
    <x v="3"/>
    <x v="2"/>
  </r>
  <r>
    <x v="49"/>
    <x v="49"/>
    <x v="1"/>
    <x v="4"/>
    <x v="11"/>
    <x v="0"/>
    <x v="3"/>
    <x v="49"/>
    <x v="49"/>
    <x v="41"/>
    <x v="49"/>
    <x v="3"/>
    <x v="5"/>
    <x v="0"/>
  </r>
  <r>
    <x v="50"/>
    <x v="50"/>
    <x v="1"/>
    <x v="1"/>
    <x v="10"/>
    <x v="2"/>
    <x v="1"/>
    <x v="50"/>
    <x v="50"/>
    <x v="32"/>
    <x v="50"/>
    <x v="4"/>
    <x v="9"/>
    <x v="1"/>
  </r>
  <r>
    <x v="51"/>
    <x v="51"/>
    <x v="1"/>
    <x v="5"/>
    <x v="17"/>
    <x v="0"/>
    <x v="1"/>
    <x v="51"/>
    <x v="51"/>
    <x v="42"/>
    <x v="51"/>
    <x v="3"/>
    <x v="6"/>
    <x v="0"/>
  </r>
  <r>
    <x v="52"/>
    <x v="52"/>
    <x v="1"/>
    <x v="1"/>
    <x v="10"/>
    <x v="0"/>
    <x v="2"/>
    <x v="52"/>
    <x v="52"/>
    <x v="31"/>
    <x v="52"/>
    <x v="4"/>
    <x v="6"/>
    <x v="0"/>
  </r>
  <r>
    <x v="53"/>
    <x v="53"/>
    <x v="0"/>
    <x v="5"/>
    <x v="6"/>
    <x v="0"/>
    <x v="3"/>
    <x v="53"/>
    <x v="53"/>
    <x v="0"/>
    <x v="53"/>
    <x v="5"/>
    <x v="1"/>
    <x v="1"/>
  </r>
  <r>
    <x v="54"/>
    <x v="54"/>
    <x v="0"/>
    <x v="3"/>
    <x v="27"/>
    <x v="0"/>
    <x v="2"/>
    <x v="54"/>
    <x v="54"/>
    <x v="43"/>
    <x v="54"/>
    <x v="6"/>
    <x v="0"/>
    <x v="0"/>
  </r>
  <r>
    <x v="55"/>
    <x v="55"/>
    <x v="0"/>
    <x v="1"/>
    <x v="21"/>
    <x v="0"/>
    <x v="5"/>
    <x v="55"/>
    <x v="55"/>
    <x v="44"/>
    <x v="55"/>
    <x v="7"/>
    <x v="6"/>
    <x v="0"/>
  </r>
  <r>
    <x v="56"/>
    <x v="56"/>
    <x v="1"/>
    <x v="4"/>
    <x v="5"/>
    <x v="0"/>
    <x v="5"/>
    <x v="56"/>
    <x v="56"/>
    <x v="45"/>
    <x v="56"/>
    <x v="6"/>
    <x v="10"/>
    <x v="0"/>
  </r>
  <r>
    <x v="57"/>
    <x v="57"/>
    <x v="0"/>
    <x v="4"/>
    <x v="9"/>
    <x v="0"/>
    <x v="1"/>
    <x v="57"/>
    <x v="57"/>
    <x v="0"/>
    <x v="57"/>
    <x v="7"/>
    <x v="2"/>
    <x v="0"/>
  </r>
  <r>
    <x v="58"/>
    <x v="58"/>
    <x v="1"/>
    <x v="4"/>
    <x v="20"/>
    <x v="0"/>
    <x v="1"/>
    <x v="58"/>
    <x v="58"/>
    <x v="46"/>
    <x v="58"/>
    <x v="6"/>
    <x v="9"/>
    <x v="1"/>
  </r>
  <r>
    <x v="59"/>
    <x v="59"/>
    <x v="1"/>
    <x v="0"/>
    <x v="28"/>
    <x v="0"/>
    <x v="1"/>
    <x v="59"/>
    <x v="59"/>
    <x v="47"/>
    <x v="59"/>
    <x v="7"/>
    <x v="9"/>
    <x v="1"/>
  </r>
  <r>
    <x v="60"/>
    <x v="34"/>
    <x v="2"/>
    <x v="0"/>
    <x v="15"/>
    <x v="0"/>
    <x v="3"/>
    <x v="60"/>
    <x v="60"/>
    <x v="48"/>
    <x v="60"/>
    <x v="6"/>
    <x v="5"/>
    <x v="0"/>
  </r>
  <r>
    <x v="61"/>
    <x v="60"/>
    <x v="0"/>
    <x v="6"/>
    <x v="16"/>
    <x v="0"/>
    <x v="1"/>
    <x v="61"/>
    <x v="61"/>
    <x v="49"/>
    <x v="61"/>
    <x v="7"/>
    <x v="8"/>
    <x v="2"/>
  </r>
  <r>
    <x v="62"/>
    <x v="61"/>
    <x v="0"/>
    <x v="5"/>
    <x v="6"/>
    <x v="0"/>
    <x v="5"/>
    <x v="62"/>
    <x v="62"/>
    <x v="22"/>
    <x v="62"/>
    <x v="8"/>
    <x v="2"/>
    <x v="0"/>
  </r>
  <r>
    <x v="63"/>
    <x v="62"/>
    <x v="0"/>
    <x v="0"/>
    <x v="24"/>
    <x v="0"/>
    <x v="2"/>
    <x v="63"/>
    <x v="63"/>
    <x v="50"/>
    <x v="63"/>
    <x v="9"/>
    <x v="10"/>
    <x v="0"/>
  </r>
  <r>
    <x v="64"/>
    <x v="63"/>
    <x v="0"/>
    <x v="6"/>
    <x v="22"/>
    <x v="2"/>
    <x v="0"/>
    <x v="64"/>
    <x v="64"/>
    <x v="51"/>
    <x v="64"/>
    <x v="10"/>
    <x v="6"/>
    <x v="0"/>
  </r>
  <r>
    <x v="65"/>
    <x v="64"/>
    <x v="0"/>
    <x v="7"/>
    <x v="18"/>
    <x v="1"/>
    <x v="0"/>
    <x v="65"/>
    <x v="65"/>
    <x v="52"/>
    <x v="65"/>
    <x v="11"/>
    <x v="5"/>
    <x v="0"/>
  </r>
  <r>
    <x v="66"/>
    <x v="65"/>
    <x v="1"/>
    <x v="4"/>
    <x v="9"/>
    <x v="0"/>
    <x v="1"/>
    <x v="66"/>
    <x v="66"/>
    <x v="53"/>
    <x v="66"/>
    <x v="12"/>
    <x v="0"/>
    <x v="0"/>
  </r>
  <r>
    <x v="67"/>
    <x v="66"/>
    <x v="1"/>
    <x v="5"/>
    <x v="29"/>
    <x v="0"/>
    <x v="0"/>
    <x v="67"/>
    <x v="67"/>
    <x v="23"/>
    <x v="67"/>
    <x v="11"/>
    <x v="6"/>
    <x v="0"/>
  </r>
  <r>
    <x v="68"/>
    <x v="47"/>
    <x v="1"/>
    <x v="4"/>
    <x v="9"/>
    <x v="0"/>
    <x v="3"/>
    <x v="68"/>
    <x v="68"/>
    <x v="54"/>
    <x v="68"/>
    <x v="10"/>
    <x v="9"/>
    <x v="1"/>
  </r>
  <r>
    <x v="69"/>
    <x v="67"/>
    <x v="1"/>
    <x v="1"/>
    <x v="21"/>
    <x v="0"/>
    <x v="3"/>
    <x v="69"/>
    <x v="69"/>
    <x v="55"/>
    <x v="69"/>
    <x v="9"/>
    <x v="4"/>
    <x v="2"/>
  </r>
  <r>
    <x v="70"/>
    <x v="68"/>
    <x v="1"/>
    <x v="5"/>
    <x v="29"/>
    <x v="0"/>
    <x v="4"/>
    <x v="70"/>
    <x v="70"/>
    <x v="56"/>
    <x v="70"/>
    <x v="8"/>
    <x v="3"/>
    <x v="2"/>
  </r>
  <r>
    <x v="71"/>
    <x v="69"/>
    <x v="0"/>
    <x v="4"/>
    <x v="9"/>
    <x v="0"/>
    <x v="3"/>
    <x v="71"/>
    <x v="71"/>
    <x v="57"/>
    <x v="71"/>
    <x v="7"/>
    <x v="6"/>
    <x v="0"/>
  </r>
  <r>
    <x v="72"/>
    <x v="70"/>
    <x v="0"/>
    <x v="4"/>
    <x v="11"/>
    <x v="0"/>
    <x v="3"/>
    <x v="72"/>
    <x v="72"/>
    <x v="58"/>
    <x v="72"/>
    <x v="6"/>
    <x v="9"/>
    <x v="1"/>
  </r>
  <r>
    <x v="73"/>
    <x v="71"/>
    <x v="1"/>
    <x v="5"/>
    <x v="29"/>
    <x v="0"/>
    <x v="0"/>
    <x v="73"/>
    <x v="73"/>
    <x v="26"/>
    <x v="73"/>
    <x v="7"/>
    <x v="0"/>
    <x v="0"/>
  </r>
  <r>
    <x v="74"/>
    <x v="72"/>
    <x v="0"/>
    <x v="2"/>
    <x v="2"/>
    <x v="0"/>
    <x v="5"/>
    <x v="74"/>
    <x v="74"/>
    <x v="59"/>
    <x v="74"/>
    <x v="6"/>
    <x v="3"/>
    <x v="2"/>
  </r>
  <r>
    <x v="75"/>
    <x v="73"/>
    <x v="1"/>
    <x v="2"/>
    <x v="8"/>
    <x v="0"/>
    <x v="5"/>
    <x v="75"/>
    <x v="75"/>
    <x v="24"/>
    <x v="75"/>
    <x v="5"/>
    <x v="4"/>
    <x v="2"/>
  </r>
  <r>
    <x v="76"/>
    <x v="74"/>
    <x v="0"/>
    <x v="5"/>
    <x v="17"/>
    <x v="0"/>
    <x v="5"/>
    <x v="76"/>
    <x v="76"/>
    <x v="60"/>
    <x v="76"/>
    <x v="4"/>
    <x v="9"/>
    <x v="1"/>
  </r>
  <r>
    <x v="77"/>
    <x v="75"/>
    <x v="1"/>
    <x v="4"/>
    <x v="5"/>
    <x v="0"/>
    <x v="2"/>
    <x v="77"/>
    <x v="77"/>
    <x v="8"/>
    <x v="77"/>
    <x v="3"/>
    <x v="2"/>
    <x v="0"/>
  </r>
  <r>
    <x v="78"/>
    <x v="76"/>
    <x v="1"/>
    <x v="0"/>
    <x v="0"/>
    <x v="2"/>
    <x v="0"/>
    <x v="78"/>
    <x v="78"/>
    <x v="52"/>
    <x v="78"/>
    <x v="4"/>
    <x v="3"/>
    <x v="2"/>
  </r>
  <r>
    <x v="79"/>
    <x v="77"/>
    <x v="1"/>
    <x v="4"/>
    <x v="12"/>
    <x v="0"/>
    <x v="3"/>
    <x v="79"/>
    <x v="79"/>
    <x v="61"/>
    <x v="79"/>
    <x v="5"/>
    <x v="8"/>
    <x v="2"/>
  </r>
  <r>
    <x v="80"/>
    <x v="78"/>
    <x v="0"/>
    <x v="5"/>
    <x v="6"/>
    <x v="0"/>
    <x v="5"/>
    <x v="80"/>
    <x v="80"/>
    <x v="62"/>
    <x v="80"/>
    <x v="6"/>
    <x v="6"/>
    <x v="0"/>
  </r>
  <r>
    <x v="81"/>
    <x v="79"/>
    <x v="1"/>
    <x v="3"/>
    <x v="7"/>
    <x v="0"/>
    <x v="5"/>
    <x v="81"/>
    <x v="81"/>
    <x v="63"/>
    <x v="81"/>
    <x v="5"/>
    <x v="4"/>
    <x v="2"/>
  </r>
  <r>
    <x v="82"/>
    <x v="80"/>
    <x v="0"/>
    <x v="0"/>
    <x v="24"/>
    <x v="0"/>
    <x v="4"/>
    <x v="82"/>
    <x v="82"/>
    <x v="64"/>
    <x v="82"/>
    <x v="4"/>
    <x v="3"/>
    <x v="2"/>
  </r>
  <r>
    <x v="83"/>
    <x v="81"/>
    <x v="0"/>
    <x v="4"/>
    <x v="4"/>
    <x v="0"/>
    <x v="4"/>
    <x v="83"/>
    <x v="83"/>
    <x v="65"/>
    <x v="83"/>
    <x v="5"/>
    <x v="5"/>
    <x v="0"/>
  </r>
  <r>
    <x v="84"/>
    <x v="82"/>
    <x v="1"/>
    <x v="6"/>
    <x v="16"/>
    <x v="0"/>
    <x v="5"/>
    <x v="84"/>
    <x v="84"/>
    <x v="66"/>
    <x v="84"/>
    <x v="6"/>
    <x v="8"/>
    <x v="2"/>
  </r>
  <r>
    <x v="85"/>
    <x v="83"/>
    <x v="1"/>
    <x v="0"/>
    <x v="24"/>
    <x v="0"/>
    <x v="4"/>
    <x v="85"/>
    <x v="85"/>
    <x v="32"/>
    <x v="85"/>
    <x v="7"/>
    <x v="0"/>
    <x v="0"/>
  </r>
  <r>
    <x v="86"/>
    <x v="84"/>
    <x v="3"/>
    <x v="2"/>
    <x v="30"/>
    <x v="0"/>
    <x v="0"/>
    <x v="86"/>
    <x v="86"/>
    <x v="67"/>
    <x v="86"/>
    <x v="8"/>
    <x v="1"/>
    <x v="1"/>
  </r>
  <r>
    <x v="87"/>
    <x v="85"/>
    <x v="1"/>
    <x v="3"/>
    <x v="7"/>
    <x v="0"/>
    <x v="5"/>
    <x v="87"/>
    <x v="87"/>
    <x v="68"/>
    <x v="87"/>
    <x v="9"/>
    <x v="9"/>
    <x v="1"/>
  </r>
  <r>
    <x v="88"/>
    <x v="86"/>
    <x v="1"/>
    <x v="5"/>
    <x v="6"/>
    <x v="0"/>
    <x v="2"/>
    <x v="88"/>
    <x v="88"/>
    <x v="0"/>
    <x v="88"/>
    <x v="10"/>
    <x v="1"/>
    <x v="1"/>
  </r>
  <r>
    <x v="89"/>
    <x v="87"/>
    <x v="1"/>
    <x v="7"/>
    <x v="25"/>
    <x v="2"/>
    <x v="5"/>
    <x v="89"/>
    <x v="89"/>
    <x v="69"/>
    <x v="89"/>
    <x v="9"/>
    <x v="3"/>
    <x v="2"/>
  </r>
  <r>
    <x v="90"/>
    <x v="88"/>
    <x v="1"/>
    <x v="4"/>
    <x v="12"/>
    <x v="0"/>
    <x v="1"/>
    <x v="90"/>
    <x v="90"/>
    <x v="70"/>
    <x v="90"/>
    <x v="10"/>
    <x v="2"/>
    <x v="0"/>
  </r>
  <r>
    <x v="91"/>
    <x v="89"/>
    <x v="0"/>
    <x v="2"/>
    <x v="30"/>
    <x v="1"/>
    <x v="0"/>
    <x v="91"/>
    <x v="91"/>
    <x v="71"/>
    <x v="91"/>
    <x v="11"/>
    <x v="4"/>
    <x v="2"/>
  </r>
  <r>
    <x v="92"/>
    <x v="90"/>
    <x v="0"/>
    <x v="2"/>
    <x v="30"/>
    <x v="0"/>
    <x v="3"/>
    <x v="92"/>
    <x v="92"/>
    <x v="61"/>
    <x v="92"/>
    <x v="12"/>
    <x v="1"/>
    <x v="1"/>
  </r>
  <r>
    <x v="93"/>
    <x v="91"/>
    <x v="1"/>
    <x v="7"/>
    <x v="14"/>
    <x v="0"/>
    <x v="0"/>
    <x v="93"/>
    <x v="93"/>
    <x v="40"/>
    <x v="93"/>
    <x v="13"/>
    <x v="0"/>
    <x v="0"/>
  </r>
  <r>
    <x v="94"/>
    <x v="92"/>
    <x v="1"/>
    <x v="5"/>
    <x v="29"/>
    <x v="0"/>
    <x v="0"/>
    <x v="94"/>
    <x v="94"/>
    <x v="72"/>
    <x v="94"/>
    <x v="12"/>
    <x v="0"/>
    <x v="0"/>
  </r>
  <r>
    <x v="95"/>
    <x v="93"/>
    <x v="1"/>
    <x v="7"/>
    <x v="25"/>
    <x v="0"/>
    <x v="1"/>
    <x v="95"/>
    <x v="95"/>
    <x v="0"/>
    <x v="95"/>
    <x v="11"/>
    <x v="3"/>
    <x v="2"/>
  </r>
  <r>
    <x v="96"/>
    <x v="55"/>
    <x v="3"/>
    <x v="7"/>
    <x v="25"/>
    <x v="2"/>
    <x v="3"/>
    <x v="96"/>
    <x v="96"/>
    <x v="48"/>
    <x v="96"/>
    <x v="10"/>
    <x v="7"/>
    <x v="1"/>
  </r>
  <r>
    <x v="97"/>
    <x v="94"/>
    <x v="1"/>
    <x v="0"/>
    <x v="0"/>
    <x v="0"/>
    <x v="3"/>
    <x v="97"/>
    <x v="97"/>
    <x v="73"/>
    <x v="97"/>
    <x v="9"/>
    <x v="4"/>
    <x v="2"/>
  </r>
  <r>
    <x v="98"/>
    <x v="95"/>
    <x v="2"/>
    <x v="4"/>
    <x v="4"/>
    <x v="0"/>
    <x v="2"/>
    <x v="98"/>
    <x v="98"/>
    <x v="74"/>
    <x v="98"/>
    <x v="8"/>
    <x v="4"/>
    <x v="2"/>
  </r>
  <r>
    <x v="99"/>
    <x v="96"/>
    <x v="0"/>
    <x v="4"/>
    <x v="9"/>
    <x v="0"/>
    <x v="2"/>
    <x v="99"/>
    <x v="99"/>
    <x v="60"/>
    <x v="99"/>
    <x v="9"/>
    <x v="1"/>
    <x v="1"/>
  </r>
  <r>
    <x v="100"/>
    <x v="97"/>
    <x v="1"/>
    <x v="4"/>
    <x v="11"/>
    <x v="2"/>
    <x v="5"/>
    <x v="100"/>
    <x v="100"/>
    <x v="8"/>
    <x v="100"/>
    <x v="10"/>
    <x v="6"/>
    <x v="0"/>
  </r>
  <r>
    <x v="101"/>
    <x v="98"/>
    <x v="0"/>
    <x v="3"/>
    <x v="27"/>
    <x v="0"/>
    <x v="4"/>
    <x v="101"/>
    <x v="101"/>
    <x v="75"/>
    <x v="101"/>
    <x v="9"/>
    <x v="3"/>
    <x v="2"/>
  </r>
  <r>
    <x v="102"/>
    <x v="99"/>
    <x v="0"/>
    <x v="6"/>
    <x v="16"/>
    <x v="2"/>
    <x v="0"/>
    <x v="102"/>
    <x v="102"/>
    <x v="41"/>
    <x v="102"/>
    <x v="10"/>
    <x v="1"/>
    <x v="1"/>
  </r>
  <r>
    <x v="103"/>
    <x v="100"/>
    <x v="1"/>
    <x v="7"/>
    <x v="26"/>
    <x v="0"/>
    <x v="0"/>
    <x v="103"/>
    <x v="103"/>
    <x v="76"/>
    <x v="103"/>
    <x v="11"/>
    <x v="4"/>
    <x v="2"/>
  </r>
  <r>
    <x v="104"/>
    <x v="101"/>
    <x v="1"/>
    <x v="1"/>
    <x v="10"/>
    <x v="0"/>
    <x v="3"/>
    <x v="104"/>
    <x v="104"/>
    <x v="49"/>
    <x v="104"/>
    <x v="12"/>
    <x v="0"/>
    <x v="0"/>
  </r>
  <r>
    <x v="105"/>
    <x v="102"/>
    <x v="0"/>
    <x v="6"/>
    <x v="13"/>
    <x v="0"/>
    <x v="0"/>
    <x v="105"/>
    <x v="105"/>
    <x v="77"/>
    <x v="105"/>
    <x v="13"/>
    <x v="0"/>
    <x v="0"/>
  </r>
  <r>
    <x v="106"/>
    <x v="103"/>
    <x v="1"/>
    <x v="0"/>
    <x v="24"/>
    <x v="0"/>
    <x v="0"/>
    <x v="106"/>
    <x v="106"/>
    <x v="78"/>
    <x v="106"/>
    <x v="12"/>
    <x v="2"/>
    <x v="0"/>
  </r>
  <r>
    <x v="107"/>
    <x v="104"/>
    <x v="1"/>
    <x v="2"/>
    <x v="30"/>
    <x v="0"/>
    <x v="3"/>
    <x v="107"/>
    <x v="107"/>
    <x v="79"/>
    <x v="107"/>
    <x v="13"/>
    <x v="8"/>
    <x v="2"/>
  </r>
  <r>
    <x v="108"/>
    <x v="105"/>
    <x v="1"/>
    <x v="6"/>
    <x v="31"/>
    <x v="0"/>
    <x v="1"/>
    <x v="108"/>
    <x v="108"/>
    <x v="0"/>
    <x v="108"/>
    <x v="14"/>
    <x v="6"/>
    <x v="0"/>
  </r>
  <r>
    <x v="109"/>
    <x v="106"/>
    <x v="0"/>
    <x v="4"/>
    <x v="11"/>
    <x v="0"/>
    <x v="5"/>
    <x v="109"/>
    <x v="109"/>
    <x v="53"/>
    <x v="109"/>
    <x v="15"/>
    <x v="0"/>
    <x v="0"/>
  </r>
  <r>
    <x v="110"/>
    <x v="107"/>
    <x v="0"/>
    <x v="6"/>
    <x v="16"/>
    <x v="0"/>
    <x v="0"/>
    <x v="110"/>
    <x v="110"/>
    <x v="80"/>
    <x v="110"/>
    <x v="16"/>
    <x v="6"/>
    <x v="0"/>
  </r>
  <r>
    <x v="111"/>
    <x v="108"/>
    <x v="1"/>
    <x v="4"/>
    <x v="9"/>
    <x v="0"/>
    <x v="0"/>
    <x v="111"/>
    <x v="111"/>
    <x v="81"/>
    <x v="111"/>
    <x v="17"/>
    <x v="5"/>
    <x v="0"/>
  </r>
  <r>
    <x v="112"/>
    <x v="109"/>
    <x v="1"/>
    <x v="1"/>
    <x v="21"/>
    <x v="0"/>
    <x v="4"/>
    <x v="112"/>
    <x v="112"/>
    <x v="77"/>
    <x v="112"/>
    <x v="16"/>
    <x v="8"/>
    <x v="2"/>
  </r>
  <r>
    <x v="113"/>
    <x v="110"/>
    <x v="1"/>
    <x v="5"/>
    <x v="17"/>
    <x v="0"/>
    <x v="3"/>
    <x v="113"/>
    <x v="113"/>
    <x v="59"/>
    <x v="113"/>
    <x v="15"/>
    <x v="8"/>
    <x v="2"/>
  </r>
  <r>
    <x v="114"/>
    <x v="111"/>
    <x v="0"/>
    <x v="3"/>
    <x v="3"/>
    <x v="1"/>
    <x v="0"/>
    <x v="114"/>
    <x v="114"/>
    <x v="20"/>
    <x v="114"/>
    <x v="16"/>
    <x v="8"/>
    <x v="2"/>
  </r>
  <r>
    <x v="115"/>
    <x v="112"/>
    <x v="0"/>
    <x v="5"/>
    <x v="17"/>
    <x v="0"/>
    <x v="4"/>
    <x v="115"/>
    <x v="115"/>
    <x v="52"/>
    <x v="115"/>
    <x v="15"/>
    <x v="3"/>
    <x v="2"/>
  </r>
  <r>
    <x v="116"/>
    <x v="3"/>
    <x v="1"/>
    <x v="5"/>
    <x v="29"/>
    <x v="0"/>
    <x v="1"/>
    <x v="116"/>
    <x v="116"/>
    <x v="44"/>
    <x v="116"/>
    <x v="14"/>
    <x v="1"/>
    <x v="1"/>
  </r>
  <r>
    <x v="117"/>
    <x v="113"/>
    <x v="0"/>
    <x v="4"/>
    <x v="4"/>
    <x v="1"/>
    <x v="0"/>
    <x v="117"/>
    <x v="117"/>
    <x v="6"/>
    <x v="117"/>
    <x v="13"/>
    <x v="2"/>
    <x v="0"/>
  </r>
  <r>
    <x v="118"/>
    <x v="52"/>
    <x v="0"/>
    <x v="5"/>
    <x v="29"/>
    <x v="0"/>
    <x v="3"/>
    <x v="118"/>
    <x v="118"/>
    <x v="82"/>
    <x v="118"/>
    <x v="14"/>
    <x v="4"/>
    <x v="2"/>
  </r>
  <r>
    <x v="119"/>
    <x v="114"/>
    <x v="1"/>
    <x v="7"/>
    <x v="25"/>
    <x v="0"/>
    <x v="0"/>
    <x v="119"/>
    <x v="119"/>
    <x v="83"/>
    <x v="119"/>
    <x v="13"/>
    <x v="8"/>
    <x v="2"/>
  </r>
  <r>
    <x v="120"/>
    <x v="20"/>
    <x v="0"/>
    <x v="5"/>
    <x v="6"/>
    <x v="0"/>
    <x v="4"/>
    <x v="120"/>
    <x v="120"/>
    <x v="72"/>
    <x v="120"/>
    <x v="14"/>
    <x v="3"/>
    <x v="2"/>
  </r>
  <r>
    <x v="121"/>
    <x v="26"/>
    <x v="1"/>
    <x v="5"/>
    <x v="6"/>
    <x v="2"/>
    <x v="3"/>
    <x v="121"/>
    <x v="121"/>
    <x v="64"/>
    <x v="121"/>
    <x v="13"/>
    <x v="2"/>
    <x v="0"/>
  </r>
  <r>
    <x v="122"/>
    <x v="115"/>
    <x v="0"/>
    <x v="6"/>
    <x v="16"/>
    <x v="0"/>
    <x v="0"/>
    <x v="122"/>
    <x v="122"/>
    <x v="84"/>
    <x v="122"/>
    <x v="14"/>
    <x v="4"/>
    <x v="2"/>
  </r>
  <r>
    <x v="123"/>
    <x v="116"/>
    <x v="1"/>
    <x v="4"/>
    <x v="4"/>
    <x v="0"/>
    <x v="5"/>
    <x v="123"/>
    <x v="123"/>
    <x v="0"/>
    <x v="123"/>
    <x v="15"/>
    <x v="3"/>
    <x v="2"/>
  </r>
  <r>
    <x v="124"/>
    <x v="117"/>
    <x v="1"/>
    <x v="6"/>
    <x v="31"/>
    <x v="0"/>
    <x v="3"/>
    <x v="124"/>
    <x v="124"/>
    <x v="85"/>
    <x v="124"/>
    <x v="14"/>
    <x v="8"/>
    <x v="2"/>
  </r>
  <r>
    <x v="125"/>
    <x v="118"/>
    <x v="1"/>
    <x v="0"/>
    <x v="24"/>
    <x v="0"/>
    <x v="2"/>
    <x v="125"/>
    <x v="125"/>
    <x v="0"/>
    <x v="125"/>
    <x v="15"/>
    <x v="4"/>
    <x v="2"/>
  </r>
  <r>
    <x v="126"/>
    <x v="119"/>
    <x v="1"/>
    <x v="5"/>
    <x v="29"/>
    <x v="0"/>
    <x v="2"/>
    <x v="0"/>
    <x v="126"/>
    <x v="0"/>
    <x v="126"/>
    <x v="16"/>
    <x v="0"/>
    <x v="0"/>
  </r>
  <r>
    <x v="127"/>
    <x v="68"/>
    <x v="0"/>
    <x v="5"/>
    <x v="17"/>
    <x v="0"/>
    <x v="2"/>
    <x v="126"/>
    <x v="127"/>
    <x v="86"/>
    <x v="127"/>
    <x v="15"/>
    <x v="9"/>
    <x v="1"/>
  </r>
  <r>
    <x v="128"/>
    <x v="120"/>
    <x v="0"/>
    <x v="4"/>
    <x v="9"/>
    <x v="0"/>
    <x v="5"/>
    <x v="127"/>
    <x v="128"/>
    <x v="0"/>
    <x v="128"/>
    <x v="14"/>
    <x v="1"/>
    <x v="1"/>
  </r>
  <r>
    <x v="129"/>
    <x v="121"/>
    <x v="0"/>
    <x v="7"/>
    <x v="32"/>
    <x v="0"/>
    <x v="2"/>
    <x v="128"/>
    <x v="129"/>
    <x v="87"/>
    <x v="129"/>
    <x v="15"/>
    <x v="6"/>
    <x v="0"/>
  </r>
  <r>
    <x v="130"/>
    <x v="122"/>
    <x v="1"/>
    <x v="0"/>
    <x v="28"/>
    <x v="0"/>
    <x v="4"/>
    <x v="129"/>
    <x v="130"/>
    <x v="41"/>
    <x v="130"/>
    <x v="16"/>
    <x v="7"/>
    <x v="1"/>
  </r>
  <r>
    <x v="131"/>
    <x v="123"/>
    <x v="1"/>
    <x v="6"/>
    <x v="22"/>
    <x v="0"/>
    <x v="3"/>
    <x v="130"/>
    <x v="131"/>
    <x v="88"/>
    <x v="131"/>
    <x v="17"/>
    <x v="1"/>
    <x v="1"/>
  </r>
  <r>
    <x v="132"/>
    <x v="124"/>
    <x v="0"/>
    <x v="4"/>
    <x v="11"/>
    <x v="0"/>
    <x v="5"/>
    <x v="131"/>
    <x v="132"/>
    <x v="89"/>
    <x v="132"/>
    <x v="18"/>
    <x v="1"/>
    <x v="1"/>
  </r>
  <r>
    <x v="133"/>
    <x v="125"/>
    <x v="0"/>
    <x v="0"/>
    <x v="0"/>
    <x v="0"/>
    <x v="0"/>
    <x v="132"/>
    <x v="133"/>
    <x v="56"/>
    <x v="133"/>
    <x v="19"/>
    <x v="9"/>
    <x v="1"/>
  </r>
  <r>
    <x v="134"/>
    <x v="126"/>
    <x v="1"/>
    <x v="1"/>
    <x v="1"/>
    <x v="0"/>
    <x v="4"/>
    <x v="133"/>
    <x v="134"/>
    <x v="73"/>
    <x v="134"/>
    <x v="18"/>
    <x v="3"/>
    <x v="2"/>
  </r>
  <r>
    <x v="135"/>
    <x v="127"/>
    <x v="1"/>
    <x v="0"/>
    <x v="0"/>
    <x v="0"/>
    <x v="5"/>
    <x v="134"/>
    <x v="135"/>
    <x v="90"/>
    <x v="135"/>
    <x v="17"/>
    <x v="1"/>
    <x v="1"/>
  </r>
  <r>
    <x v="136"/>
    <x v="128"/>
    <x v="1"/>
    <x v="7"/>
    <x v="18"/>
    <x v="1"/>
    <x v="3"/>
    <x v="135"/>
    <x v="136"/>
    <x v="26"/>
    <x v="136"/>
    <x v="18"/>
    <x v="5"/>
    <x v="0"/>
  </r>
  <r>
    <x v="137"/>
    <x v="129"/>
    <x v="0"/>
    <x v="2"/>
    <x v="8"/>
    <x v="0"/>
    <x v="1"/>
    <x v="136"/>
    <x v="137"/>
    <x v="0"/>
    <x v="137"/>
    <x v="17"/>
    <x v="4"/>
    <x v="2"/>
  </r>
  <r>
    <x v="138"/>
    <x v="130"/>
    <x v="0"/>
    <x v="0"/>
    <x v="24"/>
    <x v="0"/>
    <x v="4"/>
    <x v="137"/>
    <x v="138"/>
    <x v="91"/>
    <x v="138"/>
    <x v="18"/>
    <x v="4"/>
    <x v="2"/>
  </r>
  <r>
    <x v="139"/>
    <x v="131"/>
    <x v="1"/>
    <x v="1"/>
    <x v="1"/>
    <x v="0"/>
    <x v="2"/>
    <x v="138"/>
    <x v="139"/>
    <x v="92"/>
    <x v="139"/>
    <x v="17"/>
    <x v="5"/>
    <x v="0"/>
  </r>
  <r>
    <x v="140"/>
    <x v="132"/>
    <x v="1"/>
    <x v="1"/>
    <x v="10"/>
    <x v="2"/>
    <x v="2"/>
    <x v="139"/>
    <x v="140"/>
    <x v="35"/>
    <x v="140"/>
    <x v="18"/>
    <x v="4"/>
    <x v="2"/>
  </r>
  <r>
    <x v="141"/>
    <x v="133"/>
    <x v="1"/>
    <x v="6"/>
    <x v="22"/>
    <x v="0"/>
    <x v="3"/>
    <x v="140"/>
    <x v="141"/>
    <x v="93"/>
    <x v="141"/>
    <x v="19"/>
    <x v="2"/>
    <x v="0"/>
  </r>
  <r>
    <x v="142"/>
    <x v="127"/>
    <x v="1"/>
    <x v="7"/>
    <x v="14"/>
    <x v="0"/>
    <x v="1"/>
    <x v="141"/>
    <x v="142"/>
    <x v="2"/>
    <x v="142"/>
    <x v="20"/>
    <x v="7"/>
    <x v="1"/>
  </r>
  <r>
    <x v="143"/>
    <x v="134"/>
    <x v="0"/>
    <x v="6"/>
    <x v="22"/>
    <x v="0"/>
    <x v="1"/>
    <x v="142"/>
    <x v="143"/>
    <x v="12"/>
    <x v="143"/>
    <x v="21"/>
    <x v="4"/>
    <x v="2"/>
  </r>
  <r>
    <x v="144"/>
    <x v="135"/>
    <x v="1"/>
    <x v="6"/>
    <x v="13"/>
    <x v="0"/>
    <x v="5"/>
    <x v="143"/>
    <x v="144"/>
    <x v="94"/>
    <x v="144"/>
    <x v="22"/>
    <x v="4"/>
    <x v="2"/>
  </r>
  <r>
    <x v="145"/>
    <x v="136"/>
    <x v="1"/>
    <x v="4"/>
    <x v="4"/>
    <x v="0"/>
    <x v="1"/>
    <x v="144"/>
    <x v="145"/>
    <x v="95"/>
    <x v="145"/>
    <x v="23"/>
    <x v="4"/>
    <x v="2"/>
  </r>
  <r>
    <x v="146"/>
    <x v="137"/>
    <x v="1"/>
    <x v="3"/>
    <x v="3"/>
    <x v="0"/>
    <x v="0"/>
    <x v="145"/>
    <x v="146"/>
    <x v="15"/>
    <x v="146"/>
    <x v="24"/>
    <x v="1"/>
    <x v="1"/>
  </r>
  <r>
    <x v="147"/>
    <x v="138"/>
    <x v="0"/>
    <x v="7"/>
    <x v="14"/>
    <x v="1"/>
    <x v="2"/>
    <x v="146"/>
    <x v="147"/>
    <x v="75"/>
    <x v="147"/>
    <x v="23"/>
    <x v="0"/>
    <x v="0"/>
  </r>
  <r>
    <x v="148"/>
    <x v="139"/>
    <x v="1"/>
    <x v="4"/>
    <x v="4"/>
    <x v="0"/>
    <x v="4"/>
    <x v="147"/>
    <x v="148"/>
    <x v="13"/>
    <x v="148"/>
    <x v="22"/>
    <x v="2"/>
    <x v="0"/>
  </r>
  <r>
    <x v="149"/>
    <x v="140"/>
    <x v="1"/>
    <x v="6"/>
    <x v="16"/>
    <x v="0"/>
    <x v="2"/>
    <x v="148"/>
    <x v="149"/>
    <x v="96"/>
    <x v="149"/>
    <x v="21"/>
    <x v="4"/>
    <x v="2"/>
  </r>
  <r>
    <x v="150"/>
    <x v="141"/>
    <x v="3"/>
    <x v="1"/>
    <x v="1"/>
    <x v="0"/>
    <x v="0"/>
    <x v="147"/>
    <x v="150"/>
    <x v="97"/>
    <x v="150"/>
    <x v="22"/>
    <x v="2"/>
    <x v="0"/>
  </r>
  <r>
    <x v="151"/>
    <x v="142"/>
    <x v="0"/>
    <x v="6"/>
    <x v="16"/>
    <x v="0"/>
    <x v="4"/>
    <x v="149"/>
    <x v="151"/>
    <x v="75"/>
    <x v="151"/>
    <x v="21"/>
    <x v="1"/>
    <x v="1"/>
  </r>
  <r>
    <x v="152"/>
    <x v="143"/>
    <x v="1"/>
    <x v="4"/>
    <x v="5"/>
    <x v="0"/>
    <x v="3"/>
    <x v="150"/>
    <x v="152"/>
    <x v="98"/>
    <x v="152"/>
    <x v="22"/>
    <x v="5"/>
    <x v="0"/>
  </r>
  <r>
    <x v="153"/>
    <x v="144"/>
    <x v="1"/>
    <x v="7"/>
    <x v="14"/>
    <x v="0"/>
    <x v="2"/>
    <x v="151"/>
    <x v="153"/>
    <x v="99"/>
    <x v="153"/>
    <x v="21"/>
    <x v="2"/>
    <x v="0"/>
  </r>
  <r>
    <x v="154"/>
    <x v="136"/>
    <x v="1"/>
    <x v="1"/>
    <x v="1"/>
    <x v="1"/>
    <x v="5"/>
    <x v="152"/>
    <x v="154"/>
    <x v="86"/>
    <x v="154"/>
    <x v="22"/>
    <x v="6"/>
    <x v="0"/>
  </r>
  <r>
    <x v="155"/>
    <x v="145"/>
    <x v="1"/>
    <x v="6"/>
    <x v="31"/>
    <x v="0"/>
    <x v="1"/>
    <x v="153"/>
    <x v="155"/>
    <x v="60"/>
    <x v="155"/>
    <x v="21"/>
    <x v="1"/>
    <x v="1"/>
  </r>
  <r>
    <x v="156"/>
    <x v="146"/>
    <x v="1"/>
    <x v="2"/>
    <x v="23"/>
    <x v="0"/>
    <x v="4"/>
    <x v="154"/>
    <x v="156"/>
    <x v="0"/>
    <x v="156"/>
    <x v="22"/>
    <x v="3"/>
    <x v="2"/>
  </r>
  <r>
    <x v="157"/>
    <x v="147"/>
    <x v="0"/>
    <x v="2"/>
    <x v="2"/>
    <x v="0"/>
    <x v="0"/>
    <x v="155"/>
    <x v="157"/>
    <x v="100"/>
    <x v="157"/>
    <x v="23"/>
    <x v="0"/>
    <x v="0"/>
  </r>
  <r>
    <x v="158"/>
    <x v="148"/>
    <x v="1"/>
    <x v="6"/>
    <x v="16"/>
    <x v="0"/>
    <x v="1"/>
    <x v="156"/>
    <x v="158"/>
    <x v="80"/>
    <x v="158"/>
    <x v="24"/>
    <x v="0"/>
    <x v="0"/>
  </r>
  <r>
    <x v="159"/>
    <x v="149"/>
    <x v="1"/>
    <x v="2"/>
    <x v="23"/>
    <x v="0"/>
    <x v="1"/>
    <x v="157"/>
    <x v="159"/>
    <x v="15"/>
    <x v="159"/>
    <x v="25"/>
    <x v="7"/>
    <x v="1"/>
  </r>
  <r>
    <x v="160"/>
    <x v="150"/>
    <x v="1"/>
    <x v="0"/>
    <x v="15"/>
    <x v="0"/>
    <x v="3"/>
    <x v="158"/>
    <x v="160"/>
    <x v="76"/>
    <x v="160"/>
    <x v="24"/>
    <x v="0"/>
    <x v="0"/>
  </r>
  <r>
    <x v="161"/>
    <x v="151"/>
    <x v="0"/>
    <x v="3"/>
    <x v="7"/>
    <x v="0"/>
    <x v="2"/>
    <x v="159"/>
    <x v="161"/>
    <x v="101"/>
    <x v="161"/>
    <x v="25"/>
    <x v="0"/>
    <x v="0"/>
  </r>
  <r>
    <x v="162"/>
    <x v="152"/>
    <x v="1"/>
    <x v="3"/>
    <x v="19"/>
    <x v="0"/>
    <x v="4"/>
    <x v="160"/>
    <x v="162"/>
    <x v="102"/>
    <x v="162"/>
    <x v="24"/>
    <x v="4"/>
    <x v="2"/>
  </r>
  <r>
    <x v="163"/>
    <x v="153"/>
    <x v="0"/>
    <x v="7"/>
    <x v="18"/>
    <x v="2"/>
    <x v="1"/>
    <x v="161"/>
    <x v="163"/>
    <x v="103"/>
    <x v="163"/>
    <x v="25"/>
    <x v="0"/>
    <x v="0"/>
  </r>
  <r>
    <x v="164"/>
    <x v="154"/>
    <x v="0"/>
    <x v="4"/>
    <x v="11"/>
    <x v="0"/>
    <x v="4"/>
    <x v="162"/>
    <x v="164"/>
    <x v="104"/>
    <x v="164"/>
    <x v="26"/>
    <x v="9"/>
    <x v="1"/>
  </r>
  <r>
    <x v="165"/>
    <x v="155"/>
    <x v="1"/>
    <x v="5"/>
    <x v="6"/>
    <x v="0"/>
    <x v="5"/>
    <x v="163"/>
    <x v="165"/>
    <x v="105"/>
    <x v="165"/>
    <x v="25"/>
    <x v="9"/>
    <x v="1"/>
  </r>
  <r>
    <x v="166"/>
    <x v="156"/>
    <x v="1"/>
    <x v="0"/>
    <x v="15"/>
    <x v="0"/>
    <x v="3"/>
    <x v="164"/>
    <x v="166"/>
    <x v="28"/>
    <x v="166"/>
    <x v="24"/>
    <x v="2"/>
    <x v="0"/>
  </r>
  <r>
    <x v="167"/>
    <x v="87"/>
    <x v="0"/>
    <x v="4"/>
    <x v="20"/>
    <x v="2"/>
    <x v="4"/>
    <x v="165"/>
    <x v="167"/>
    <x v="106"/>
    <x v="167"/>
    <x v="25"/>
    <x v="9"/>
    <x v="1"/>
  </r>
  <r>
    <x v="168"/>
    <x v="157"/>
    <x v="1"/>
    <x v="4"/>
    <x v="11"/>
    <x v="0"/>
    <x v="5"/>
    <x v="47"/>
    <x v="168"/>
    <x v="0"/>
    <x v="168"/>
    <x v="26"/>
    <x v="6"/>
    <x v="0"/>
  </r>
  <r>
    <x v="169"/>
    <x v="158"/>
    <x v="1"/>
    <x v="3"/>
    <x v="19"/>
    <x v="0"/>
    <x v="4"/>
    <x v="166"/>
    <x v="169"/>
    <x v="107"/>
    <x v="169"/>
    <x v="25"/>
    <x v="8"/>
    <x v="2"/>
  </r>
  <r>
    <x v="170"/>
    <x v="159"/>
    <x v="0"/>
    <x v="2"/>
    <x v="30"/>
    <x v="0"/>
    <x v="5"/>
    <x v="167"/>
    <x v="170"/>
    <x v="107"/>
    <x v="170"/>
    <x v="24"/>
    <x v="0"/>
    <x v="0"/>
  </r>
  <r>
    <x v="171"/>
    <x v="160"/>
    <x v="0"/>
    <x v="4"/>
    <x v="12"/>
    <x v="0"/>
    <x v="2"/>
    <x v="168"/>
    <x v="171"/>
    <x v="0"/>
    <x v="171"/>
    <x v="25"/>
    <x v="8"/>
    <x v="2"/>
  </r>
  <r>
    <x v="172"/>
    <x v="161"/>
    <x v="1"/>
    <x v="7"/>
    <x v="14"/>
    <x v="0"/>
    <x v="5"/>
    <x v="169"/>
    <x v="172"/>
    <x v="108"/>
    <x v="172"/>
    <x v="26"/>
    <x v="8"/>
    <x v="2"/>
  </r>
  <r>
    <x v="173"/>
    <x v="162"/>
    <x v="0"/>
    <x v="6"/>
    <x v="13"/>
    <x v="0"/>
    <x v="2"/>
    <x v="169"/>
    <x v="173"/>
    <x v="0"/>
    <x v="173"/>
    <x v="25"/>
    <x v="8"/>
    <x v="2"/>
  </r>
  <r>
    <x v="174"/>
    <x v="163"/>
    <x v="0"/>
    <x v="3"/>
    <x v="3"/>
    <x v="0"/>
    <x v="0"/>
    <x v="170"/>
    <x v="174"/>
    <x v="79"/>
    <x v="174"/>
    <x v="26"/>
    <x v="2"/>
    <x v="0"/>
  </r>
  <r>
    <x v="175"/>
    <x v="164"/>
    <x v="1"/>
    <x v="4"/>
    <x v="20"/>
    <x v="2"/>
    <x v="4"/>
    <x v="171"/>
    <x v="175"/>
    <x v="91"/>
    <x v="175"/>
    <x v="25"/>
    <x v="1"/>
    <x v="1"/>
  </r>
  <r>
    <x v="176"/>
    <x v="60"/>
    <x v="1"/>
    <x v="2"/>
    <x v="30"/>
    <x v="2"/>
    <x v="1"/>
    <x v="10"/>
    <x v="176"/>
    <x v="109"/>
    <x v="176"/>
    <x v="26"/>
    <x v="6"/>
    <x v="0"/>
  </r>
  <r>
    <x v="177"/>
    <x v="165"/>
    <x v="1"/>
    <x v="0"/>
    <x v="0"/>
    <x v="0"/>
    <x v="0"/>
    <x v="172"/>
    <x v="177"/>
    <x v="110"/>
    <x v="177"/>
    <x v="25"/>
    <x v="4"/>
    <x v="2"/>
  </r>
  <r>
    <x v="178"/>
    <x v="56"/>
    <x v="1"/>
    <x v="1"/>
    <x v="10"/>
    <x v="0"/>
    <x v="4"/>
    <x v="173"/>
    <x v="178"/>
    <x v="111"/>
    <x v="178"/>
    <x v="26"/>
    <x v="2"/>
    <x v="0"/>
  </r>
  <r>
    <x v="179"/>
    <x v="135"/>
    <x v="1"/>
    <x v="4"/>
    <x v="20"/>
    <x v="0"/>
    <x v="3"/>
    <x v="174"/>
    <x v="179"/>
    <x v="79"/>
    <x v="179"/>
    <x v="27"/>
    <x v="1"/>
    <x v="1"/>
  </r>
  <r>
    <x v="180"/>
    <x v="112"/>
    <x v="0"/>
    <x v="0"/>
    <x v="15"/>
    <x v="0"/>
    <x v="2"/>
    <x v="175"/>
    <x v="180"/>
    <x v="61"/>
    <x v="180"/>
    <x v="28"/>
    <x v="9"/>
    <x v="1"/>
  </r>
  <r>
    <x v="181"/>
    <x v="48"/>
    <x v="0"/>
    <x v="4"/>
    <x v="9"/>
    <x v="0"/>
    <x v="4"/>
    <x v="176"/>
    <x v="181"/>
    <x v="4"/>
    <x v="181"/>
    <x v="29"/>
    <x v="4"/>
    <x v="2"/>
  </r>
  <r>
    <x v="182"/>
    <x v="166"/>
    <x v="2"/>
    <x v="1"/>
    <x v="1"/>
    <x v="0"/>
    <x v="2"/>
    <x v="177"/>
    <x v="182"/>
    <x v="112"/>
    <x v="182"/>
    <x v="30"/>
    <x v="1"/>
    <x v="1"/>
  </r>
  <r>
    <x v="183"/>
    <x v="167"/>
    <x v="1"/>
    <x v="5"/>
    <x v="6"/>
    <x v="0"/>
    <x v="1"/>
    <x v="178"/>
    <x v="183"/>
    <x v="113"/>
    <x v="183"/>
    <x v="29"/>
    <x v="0"/>
    <x v="0"/>
  </r>
  <r>
    <x v="184"/>
    <x v="168"/>
    <x v="1"/>
    <x v="6"/>
    <x v="13"/>
    <x v="0"/>
    <x v="1"/>
    <x v="179"/>
    <x v="184"/>
    <x v="57"/>
    <x v="184"/>
    <x v="30"/>
    <x v="2"/>
    <x v="0"/>
  </r>
  <r>
    <x v="185"/>
    <x v="169"/>
    <x v="1"/>
    <x v="3"/>
    <x v="27"/>
    <x v="0"/>
    <x v="1"/>
    <x v="180"/>
    <x v="185"/>
    <x v="65"/>
    <x v="185"/>
    <x v="31"/>
    <x v="8"/>
    <x v="2"/>
  </r>
  <r>
    <x v="186"/>
    <x v="170"/>
    <x v="0"/>
    <x v="5"/>
    <x v="17"/>
    <x v="2"/>
    <x v="3"/>
    <x v="181"/>
    <x v="186"/>
    <x v="114"/>
    <x v="186"/>
    <x v="32"/>
    <x v="2"/>
    <x v="0"/>
  </r>
  <r>
    <x v="187"/>
    <x v="171"/>
    <x v="1"/>
    <x v="7"/>
    <x v="25"/>
    <x v="0"/>
    <x v="5"/>
    <x v="182"/>
    <x v="187"/>
    <x v="73"/>
    <x v="187"/>
    <x v="31"/>
    <x v="2"/>
    <x v="0"/>
  </r>
  <r>
    <x v="188"/>
    <x v="107"/>
    <x v="1"/>
    <x v="7"/>
    <x v="32"/>
    <x v="0"/>
    <x v="1"/>
    <x v="183"/>
    <x v="188"/>
    <x v="16"/>
    <x v="188"/>
    <x v="30"/>
    <x v="0"/>
    <x v="0"/>
  </r>
  <r>
    <x v="189"/>
    <x v="172"/>
    <x v="1"/>
    <x v="6"/>
    <x v="31"/>
    <x v="0"/>
    <x v="0"/>
    <x v="184"/>
    <x v="189"/>
    <x v="115"/>
    <x v="189"/>
    <x v="29"/>
    <x v="8"/>
    <x v="2"/>
  </r>
  <r>
    <x v="190"/>
    <x v="173"/>
    <x v="1"/>
    <x v="4"/>
    <x v="11"/>
    <x v="0"/>
    <x v="3"/>
    <x v="185"/>
    <x v="190"/>
    <x v="29"/>
    <x v="190"/>
    <x v="30"/>
    <x v="3"/>
    <x v="2"/>
  </r>
  <r>
    <x v="191"/>
    <x v="174"/>
    <x v="1"/>
    <x v="5"/>
    <x v="17"/>
    <x v="0"/>
    <x v="5"/>
    <x v="186"/>
    <x v="191"/>
    <x v="48"/>
    <x v="191"/>
    <x v="31"/>
    <x v="5"/>
    <x v="0"/>
  </r>
  <r>
    <x v="192"/>
    <x v="175"/>
    <x v="1"/>
    <x v="1"/>
    <x v="21"/>
    <x v="0"/>
    <x v="4"/>
    <x v="187"/>
    <x v="192"/>
    <x v="62"/>
    <x v="192"/>
    <x v="32"/>
    <x v="6"/>
    <x v="0"/>
  </r>
  <r>
    <x v="193"/>
    <x v="10"/>
    <x v="0"/>
    <x v="3"/>
    <x v="3"/>
    <x v="0"/>
    <x v="2"/>
    <x v="188"/>
    <x v="193"/>
    <x v="92"/>
    <x v="193"/>
    <x v="31"/>
    <x v="1"/>
    <x v="1"/>
  </r>
  <r>
    <x v="194"/>
    <x v="176"/>
    <x v="1"/>
    <x v="0"/>
    <x v="0"/>
    <x v="0"/>
    <x v="3"/>
    <x v="189"/>
    <x v="194"/>
    <x v="10"/>
    <x v="194"/>
    <x v="30"/>
    <x v="3"/>
    <x v="2"/>
  </r>
  <r>
    <x v="195"/>
    <x v="177"/>
    <x v="0"/>
    <x v="0"/>
    <x v="15"/>
    <x v="0"/>
    <x v="1"/>
    <x v="190"/>
    <x v="195"/>
    <x v="0"/>
    <x v="195"/>
    <x v="29"/>
    <x v="5"/>
    <x v="0"/>
  </r>
  <r>
    <x v="196"/>
    <x v="178"/>
    <x v="0"/>
    <x v="2"/>
    <x v="2"/>
    <x v="0"/>
    <x v="0"/>
    <x v="96"/>
    <x v="196"/>
    <x v="82"/>
    <x v="196"/>
    <x v="28"/>
    <x v="7"/>
    <x v="1"/>
  </r>
  <r>
    <x v="197"/>
    <x v="179"/>
    <x v="1"/>
    <x v="5"/>
    <x v="6"/>
    <x v="0"/>
    <x v="3"/>
    <x v="191"/>
    <x v="197"/>
    <x v="100"/>
    <x v="197"/>
    <x v="29"/>
    <x v="6"/>
    <x v="0"/>
  </r>
  <r>
    <x v="198"/>
    <x v="141"/>
    <x v="3"/>
    <x v="5"/>
    <x v="6"/>
    <x v="1"/>
    <x v="1"/>
    <x v="192"/>
    <x v="198"/>
    <x v="18"/>
    <x v="198"/>
    <x v="30"/>
    <x v="2"/>
    <x v="0"/>
  </r>
  <r>
    <x v="199"/>
    <x v="9"/>
    <x v="0"/>
    <x v="5"/>
    <x v="29"/>
    <x v="0"/>
    <x v="1"/>
    <x v="193"/>
    <x v="199"/>
    <x v="54"/>
    <x v="199"/>
    <x v="29"/>
    <x v="7"/>
    <x v="1"/>
  </r>
  <r>
    <x v="200"/>
    <x v="180"/>
    <x v="0"/>
    <x v="3"/>
    <x v="3"/>
    <x v="0"/>
    <x v="5"/>
    <x v="166"/>
    <x v="200"/>
    <x v="116"/>
    <x v="200"/>
    <x v="28"/>
    <x v="8"/>
    <x v="2"/>
  </r>
  <r>
    <x v="201"/>
    <x v="181"/>
    <x v="0"/>
    <x v="4"/>
    <x v="11"/>
    <x v="0"/>
    <x v="0"/>
    <x v="194"/>
    <x v="201"/>
    <x v="0"/>
    <x v="201"/>
    <x v="29"/>
    <x v="2"/>
    <x v="0"/>
  </r>
  <r>
    <x v="202"/>
    <x v="182"/>
    <x v="0"/>
    <x v="4"/>
    <x v="11"/>
    <x v="0"/>
    <x v="2"/>
    <x v="195"/>
    <x v="202"/>
    <x v="94"/>
    <x v="202"/>
    <x v="28"/>
    <x v="6"/>
    <x v="0"/>
  </r>
  <r>
    <x v="203"/>
    <x v="183"/>
    <x v="1"/>
    <x v="5"/>
    <x v="29"/>
    <x v="0"/>
    <x v="1"/>
    <x v="196"/>
    <x v="203"/>
    <x v="117"/>
    <x v="203"/>
    <x v="27"/>
    <x v="9"/>
    <x v="1"/>
  </r>
  <r>
    <x v="204"/>
    <x v="184"/>
    <x v="1"/>
    <x v="3"/>
    <x v="19"/>
    <x v="0"/>
    <x v="3"/>
    <x v="197"/>
    <x v="204"/>
    <x v="118"/>
    <x v="204"/>
    <x v="26"/>
    <x v="5"/>
    <x v="0"/>
  </r>
  <r>
    <x v="205"/>
    <x v="185"/>
    <x v="1"/>
    <x v="4"/>
    <x v="4"/>
    <x v="2"/>
    <x v="3"/>
    <x v="198"/>
    <x v="205"/>
    <x v="85"/>
    <x v="205"/>
    <x v="25"/>
    <x v="8"/>
    <x v="2"/>
  </r>
  <r>
    <x v="206"/>
    <x v="69"/>
    <x v="1"/>
    <x v="4"/>
    <x v="5"/>
    <x v="0"/>
    <x v="3"/>
    <x v="199"/>
    <x v="206"/>
    <x v="119"/>
    <x v="206"/>
    <x v="24"/>
    <x v="5"/>
    <x v="0"/>
  </r>
  <r>
    <x v="207"/>
    <x v="120"/>
    <x v="1"/>
    <x v="3"/>
    <x v="19"/>
    <x v="0"/>
    <x v="0"/>
    <x v="200"/>
    <x v="207"/>
    <x v="100"/>
    <x v="207"/>
    <x v="23"/>
    <x v="9"/>
    <x v="1"/>
  </r>
  <r>
    <x v="208"/>
    <x v="186"/>
    <x v="1"/>
    <x v="4"/>
    <x v="9"/>
    <x v="0"/>
    <x v="3"/>
    <x v="201"/>
    <x v="208"/>
    <x v="52"/>
    <x v="208"/>
    <x v="22"/>
    <x v="4"/>
    <x v="2"/>
  </r>
  <r>
    <x v="209"/>
    <x v="187"/>
    <x v="2"/>
    <x v="4"/>
    <x v="12"/>
    <x v="0"/>
    <x v="5"/>
    <x v="202"/>
    <x v="209"/>
    <x v="120"/>
    <x v="209"/>
    <x v="23"/>
    <x v="7"/>
    <x v="1"/>
  </r>
  <r>
    <x v="210"/>
    <x v="188"/>
    <x v="1"/>
    <x v="7"/>
    <x v="32"/>
    <x v="0"/>
    <x v="2"/>
    <x v="203"/>
    <x v="210"/>
    <x v="77"/>
    <x v="210"/>
    <x v="24"/>
    <x v="8"/>
    <x v="2"/>
  </r>
  <r>
    <x v="211"/>
    <x v="189"/>
    <x v="0"/>
    <x v="2"/>
    <x v="8"/>
    <x v="1"/>
    <x v="1"/>
    <x v="204"/>
    <x v="211"/>
    <x v="121"/>
    <x v="211"/>
    <x v="23"/>
    <x v="9"/>
    <x v="1"/>
  </r>
  <r>
    <x v="212"/>
    <x v="190"/>
    <x v="1"/>
    <x v="3"/>
    <x v="7"/>
    <x v="0"/>
    <x v="4"/>
    <x v="205"/>
    <x v="212"/>
    <x v="122"/>
    <x v="212"/>
    <x v="22"/>
    <x v="9"/>
    <x v="1"/>
  </r>
  <r>
    <x v="213"/>
    <x v="191"/>
    <x v="1"/>
    <x v="6"/>
    <x v="31"/>
    <x v="2"/>
    <x v="4"/>
    <x v="206"/>
    <x v="213"/>
    <x v="123"/>
    <x v="213"/>
    <x v="21"/>
    <x v="8"/>
    <x v="2"/>
  </r>
  <r>
    <x v="214"/>
    <x v="192"/>
    <x v="0"/>
    <x v="2"/>
    <x v="30"/>
    <x v="0"/>
    <x v="4"/>
    <x v="207"/>
    <x v="214"/>
    <x v="124"/>
    <x v="214"/>
    <x v="22"/>
    <x v="8"/>
    <x v="2"/>
  </r>
  <r>
    <x v="215"/>
    <x v="193"/>
    <x v="3"/>
    <x v="6"/>
    <x v="13"/>
    <x v="0"/>
    <x v="0"/>
    <x v="208"/>
    <x v="215"/>
    <x v="0"/>
    <x v="215"/>
    <x v="23"/>
    <x v="1"/>
    <x v="1"/>
  </r>
  <r>
    <x v="216"/>
    <x v="194"/>
    <x v="0"/>
    <x v="0"/>
    <x v="0"/>
    <x v="0"/>
    <x v="0"/>
    <x v="209"/>
    <x v="216"/>
    <x v="30"/>
    <x v="216"/>
    <x v="22"/>
    <x v="8"/>
    <x v="2"/>
  </r>
  <r>
    <x v="217"/>
    <x v="195"/>
    <x v="0"/>
    <x v="2"/>
    <x v="30"/>
    <x v="0"/>
    <x v="0"/>
    <x v="210"/>
    <x v="217"/>
    <x v="44"/>
    <x v="217"/>
    <x v="21"/>
    <x v="8"/>
    <x v="2"/>
  </r>
  <r>
    <x v="218"/>
    <x v="98"/>
    <x v="1"/>
    <x v="3"/>
    <x v="3"/>
    <x v="0"/>
    <x v="4"/>
    <x v="211"/>
    <x v="218"/>
    <x v="125"/>
    <x v="218"/>
    <x v="22"/>
    <x v="0"/>
    <x v="0"/>
  </r>
  <r>
    <x v="219"/>
    <x v="196"/>
    <x v="1"/>
    <x v="5"/>
    <x v="29"/>
    <x v="0"/>
    <x v="4"/>
    <x v="212"/>
    <x v="219"/>
    <x v="84"/>
    <x v="219"/>
    <x v="21"/>
    <x v="8"/>
    <x v="2"/>
  </r>
  <r>
    <x v="220"/>
    <x v="134"/>
    <x v="0"/>
    <x v="3"/>
    <x v="27"/>
    <x v="0"/>
    <x v="3"/>
    <x v="213"/>
    <x v="220"/>
    <x v="126"/>
    <x v="220"/>
    <x v="22"/>
    <x v="1"/>
    <x v="1"/>
  </r>
  <r>
    <x v="221"/>
    <x v="197"/>
    <x v="0"/>
    <x v="7"/>
    <x v="25"/>
    <x v="0"/>
    <x v="4"/>
    <x v="214"/>
    <x v="221"/>
    <x v="34"/>
    <x v="221"/>
    <x v="23"/>
    <x v="7"/>
    <x v="1"/>
  </r>
  <r>
    <x v="222"/>
    <x v="198"/>
    <x v="1"/>
    <x v="4"/>
    <x v="9"/>
    <x v="0"/>
    <x v="0"/>
    <x v="215"/>
    <x v="222"/>
    <x v="127"/>
    <x v="222"/>
    <x v="24"/>
    <x v="1"/>
    <x v="1"/>
  </r>
  <r>
    <x v="223"/>
    <x v="86"/>
    <x v="0"/>
    <x v="0"/>
    <x v="15"/>
    <x v="0"/>
    <x v="5"/>
    <x v="216"/>
    <x v="223"/>
    <x v="60"/>
    <x v="223"/>
    <x v="25"/>
    <x v="5"/>
    <x v="0"/>
  </r>
  <r>
    <x v="224"/>
    <x v="166"/>
    <x v="1"/>
    <x v="6"/>
    <x v="22"/>
    <x v="2"/>
    <x v="3"/>
    <x v="217"/>
    <x v="224"/>
    <x v="128"/>
    <x v="224"/>
    <x v="26"/>
    <x v="0"/>
    <x v="0"/>
  </r>
  <r>
    <x v="225"/>
    <x v="199"/>
    <x v="0"/>
    <x v="6"/>
    <x v="31"/>
    <x v="0"/>
    <x v="3"/>
    <x v="218"/>
    <x v="225"/>
    <x v="129"/>
    <x v="225"/>
    <x v="27"/>
    <x v="6"/>
    <x v="0"/>
  </r>
  <r>
    <x v="226"/>
    <x v="30"/>
    <x v="1"/>
    <x v="1"/>
    <x v="1"/>
    <x v="0"/>
    <x v="2"/>
    <x v="219"/>
    <x v="226"/>
    <x v="60"/>
    <x v="226"/>
    <x v="28"/>
    <x v="5"/>
    <x v="0"/>
  </r>
  <r>
    <x v="227"/>
    <x v="200"/>
    <x v="0"/>
    <x v="0"/>
    <x v="0"/>
    <x v="0"/>
    <x v="2"/>
    <x v="220"/>
    <x v="227"/>
    <x v="130"/>
    <x v="227"/>
    <x v="27"/>
    <x v="1"/>
    <x v="1"/>
  </r>
  <r>
    <x v="228"/>
    <x v="201"/>
    <x v="1"/>
    <x v="5"/>
    <x v="6"/>
    <x v="0"/>
    <x v="5"/>
    <x v="221"/>
    <x v="228"/>
    <x v="131"/>
    <x v="228"/>
    <x v="26"/>
    <x v="9"/>
    <x v="1"/>
  </r>
  <r>
    <x v="229"/>
    <x v="202"/>
    <x v="0"/>
    <x v="3"/>
    <x v="19"/>
    <x v="0"/>
    <x v="1"/>
    <x v="222"/>
    <x v="229"/>
    <x v="49"/>
    <x v="229"/>
    <x v="27"/>
    <x v="2"/>
    <x v="0"/>
  </r>
  <r>
    <x v="230"/>
    <x v="203"/>
    <x v="1"/>
    <x v="5"/>
    <x v="6"/>
    <x v="0"/>
    <x v="4"/>
    <x v="223"/>
    <x v="230"/>
    <x v="132"/>
    <x v="230"/>
    <x v="28"/>
    <x v="2"/>
    <x v="0"/>
  </r>
  <r>
    <x v="231"/>
    <x v="204"/>
    <x v="1"/>
    <x v="7"/>
    <x v="25"/>
    <x v="0"/>
    <x v="4"/>
    <x v="224"/>
    <x v="231"/>
    <x v="0"/>
    <x v="231"/>
    <x v="29"/>
    <x v="2"/>
    <x v="0"/>
  </r>
  <r>
    <x v="232"/>
    <x v="57"/>
    <x v="0"/>
    <x v="7"/>
    <x v="25"/>
    <x v="0"/>
    <x v="4"/>
    <x v="225"/>
    <x v="232"/>
    <x v="6"/>
    <x v="232"/>
    <x v="30"/>
    <x v="10"/>
    <x v="0"/>
  </r>
  <r>
    <x v="233"/>
    <x v="205"/>
    <x v="0"/>
    <x v="7"/>
    <x v="25"/>
    <x v="0"/>
    <x v="3"/>
    <x v="226"/>
    <x v="233"/>
    <x v="133"/>
    <x v="233"/>
    <x v="29"/>
    <x v="6"/>
    <x v="0"/>
  </r>
  <r>
    <x v="234"/>
    <x v="206"/>
    <x v="1"/>
    <x v="4"/>
    <x v="5"/>
    <x v="0"/>
    <x v="3"/>
    <x v="227"/>
    <x v="234"/>
    <x v="134"/>
    <x v="234"/>
    <x v="28"/>
    <x v="6"/>
    <x v="0"/>
  </r>
  <r>
    <x v="235"/>
    <x v="207"/>
    <x v="1"/>
    <x v="2"/>
    <x v="8"/>
    <x v="0"/>
    <x v="0"/>
    <x v="228"/>
    <x v="235"/>
    <x v="58"/>
    <x v="235"/>
    <x v="27"/>
    <x v="8"/>
    <x v="2"/>
  </r>
  <r>
    <x v="236"/>
    <x v="19"/>
    <x v="0"/>
    <x v="6"/>
    <x v="16"/>
    <x v="0"/>
    <x v="0"/>
    <x v="229"/>
    <x v="236"/>
    <x v="63"/>
    <x v="236"/>
    <x v="28"/>
    <x v="1"/>
    <x v="1"/>
  </r>
  <r>
    <x v="237"/>
    <x v="208"/>
    <x v="1"/>
    <x v="4"/>
    <x v="20"/>
    <x v="0"/>
    <x v="0"/>
    <x v="230"/>
    <x v="237"/>
    <x v="109"/>
    <x v="237"/>
    <x v="29"/>
    <x v="4"/>
    <x v="2"/>
  </r>
  <r>
    <x v="238"/>
    <x v="209"/>
    <x v="0"/>
    <x v="3"/>
    <x v="27"/>
    <x v="0"/>
    <x v="3"/>
    <x v="231"/>
    <x v="238"/>
    <x v="118"/>
    <x v="238"/>
    <x v="30"/>
    <x v="0"/>
    <x v="0"/>
  </r>
  <r>
    <x v="239"/>
    <x v="210"/>
    <x v="0"/>
    <x v="4"/>
    <x v="11"/>
    <x v="0"/>
    <x v="1"/>
    <x v="232"/>
    <x v="239"/>
    <x v="135"/>
    <x v="239"/>
    <x v="31"/>
    <x v="6"/>
    <x v="0"/>
  </r>
  <r>
    <x v="240"/>
    <x v="211"/>
    <x v="1"/>
    <x v="1"/>
    <x v="10"/>
    <x v="2"/>
    <x v="4"/>
    <x v="233"/>
    <x v="240"/>
    <x v="0"/>
    <x v="240"/>
    <x v="30"/>
    <x v="9"/>
    <x v="1"/>
  </r>
  <r>
    <x v="241"/>
    <x v="212"/>
    <x v="0"/>
    <x v="1"/>
    <x v="10"/>
    <x v="0"/>
    <x v="3"/>
    <x v="113"/>
    <x v="241"/>
    <x v="87"/>
    <x v="241"/>
    <x v="31"/>
    <x v="8"/>
    <x v="2"/>
  </r>
  <r>
    <x v="242"/>
    <x v="143"/>
    <x v="1"/>
    <x v="1"/>
    <x v="10"/>
    <x v="2"/>
    <x v="4"/>
    <x v="234"/>
    <x v="242"/>
    <x v="88"/>
    <x v="242"/>
    <x v="30"/>
    <x v="0"/>
    <x v="0"/>
  </r>
  <r>
    <x v="243"/>
    <x v="213"/>
    <x v="0"/>
    <x v="0"/>
    <x v="15"/>
    <x v="2"/>
    <x v="2"/>
    <x v="14"/>
    <x v="243"/>
    <x v="136"/>
    <x v="243"/>
    <x v="29"/>
    <x v="0"/>
    <x v="0"/>
  </r>
  <r>
    <x v="244"/>
    <x v="6"/>
    <x v="1"/>
    <x v="4"/>
    <x v="5"/>
    <x v="0"/>
    <x v="5"/>
    <x v="235"/>
    <x v="244"/>
    <x v="137"/>
    <x v="244"/>
    <x v="30"/>
    <x v="9"/>
    <x v="1"/>
  </r>
  <r>
    <x v="245"/>
    <x v="214"/>
    <x v="0"/>
    <x v="1"/>
    <x v="1"/>
    <x v="0"/>
    <x v="0"/>
    <x v="236"/>
    <x v="245"/>
    <x v="7"/>
    <x v="245"/>
    <x v="29"/>
    <x v="3"/>
    <x v="2"/>
  </r>
  <r>
    <x v="246"/>
    <x v="215"/>
    <x v="1"/>
    <x v="0"/>
    <x v="0"/>
    <x v="1"/>
    <x v="4"/>
    <x v="237"/>
    <x v="246"/>
    <x v="0"/>
    <x v="246"/>
    <x v="28"/>
    <x v="5"/>
    <x v="0"/>
  </r>
  <r>
    <x v="247"/>
    <x v="96"/>
    <x v="1"/>
    <x v="1"/>
    <x v="21"/>
    <x v="0"/>
    <x v="1"/>
    <x v="238"/>
    <x v="247"/>
    <x v="138"/>
    <x v="247"/>
    <x v="27"/>
    <x v="4"/>
    <x v="2"/>
  </r>
  <r>
    <x v="248"/>
    <x v="216"/>
    <x v="0"/>
    <x v="1"/>
    <x v="10"/>
    <x v="0"/>
    <x v="3"/>
    <x v="239"/>
    <x v="248"/>
    <x v="54"/>
    <x v="248"/>
    <x v="26"/>
    <x v="4"/>
    <x v="2"/>
  </r>
  <r>
    <x v="249"/>
    <x v="217"/>
    <x v="1"/>
    <x v="5"/>
    <x v="17"/>
    <x v="2"/>
    <x v="2"/>
    <x v="122"/>
    <x v="249"/>
    <x v="139"/>
    <x v="249"/>
    <x v="25"/>
    <x v="4"/>
    <x v="2"/>
  </r>
  <r>
    <x v="250"/>
    <x v="218"/>
    <x v="1"/>
    <x v="6"/>
    <x v="31"/>
    <x v="0"/>
    <x v="2"/>
    <x v="240"/>
    <x v="250"/>
    <x v="140"/>
    <x v="250"/>
    <x v="24"/>
    <x v="2"/>
    <x v="0"/>
  </r>
  <r>
    <x v="251"/>
    <x v="219"/>
    <x v="0"/>
    <x v="0"/>
    <x v="24"/>
    <x v="0"/>
    <x v="0"/>
    <x v="241"/>
    <x v="251"/>
    <x v="7"/>
    <x v="251"/>
    <x v="25"/>
    <x v="6"/>
    <x v="0"/>
  </r>
  <r>
    <x v="252"/>
    <x v="220"/>
    <x v="1"/>
    <x v="5"/>
    <x v="29"/>
    <x v="0"/>
    <x v="4"/>
    <x v="242"/>
    <x v="252"/>
    <x v="56"/>
    <x v="252"/>
    <x v="24"/>
    <x v="2"/>
    <x v="0"/>
  </r>
  <r>
    <x v="253"/>
    <x v="221"/>
    <x v="1"/>
    <x v="6"/>
    <x v="13"/>
    <x v="0"/>
    <x v="2"/>
    <x v="243"/>
    <x v="253"/>
    <x v="67"/>
    <x v="253"/>
    <x v="23"/>
    <x v="2"/>
    <x v="0"/>
  </r>
  <r>
    <x v="254"/>
    <x v="222"/>
    <x v="3"/>
    <x v="4"/>
    <x v="5"/>
    <x v="2"/>
    <x v="0"/>
    <x v="244"/>
    <x v="254"/>
    <x v="141"/>
    <x v="254"/>
    <x v="22"/>
    <x v="1"/>
    <x v="1"/>
  </r>
  <r>
    <x v="255"/>
    <x v="223"/>
    <x v="3"/>
    <x v="7"/>
    <x v="32"/>
    <x v="2"/>
    <x v="3"/>
    <x v="245"/>
    <x v="255"/>
    <x v="28"/>
    <x v="255"/>
    <x v="23"/>
    <x v="2"/>
    <x v="0"/>
  </r>
  <r>
    <x v="256"/>
    <x v="224"/>
    <x v="1"/>
    <x v="1"/>
    <x v="21"/>
    <x v="0"/>
    <x v="3"/>
    <x v="246"/>
    <x v="256"/>
    <x v="20"/>
    <x v="256"/>
    <x v="22"/>
    <x v="9"/>
    <x v="1"/>
  </r>
  <r>
    <x v="257"/>
    <x v="225"/>
    <x v="1"/>
    <x v="2"/>
    <x v="8"/>
    <x v="2"/>
    <x v="0"/>
    <x v="247"/>
    <x v="257"/>
    <x v="98"/>
    <x v="257"/>
    <x v="21"/>
    <x v="8"/>
    <x v="2"/>
  </r>
  <r>
    <x v="258"/>
    <x v="76"/>
    <x v="1"/>
    <x v="7"/>
    <x v="25"/>
    <x v="0"/>
    <x v="1"/>
    <x v="248"/>
    <x v="258"/>
    <x v="142"/>
    <x v="258"/>
    <x v="33"/>
    <x v="8"/>
    <x v="2"/>
  </r>
  <r>
    <x v="259"/>
    <x v="226"/>
    <x v="0"/>
    <x v="4"/>
    <x v="20"/>
    <x v="2"/>
    <x v="3"/>
    <x v="249"/>
    <x v="259"/>
    <x v="143"/>
    <x v="259"/>
    <x v="21"/>
    <x v="0"/>
    <x v="0"/>
  </r>
  <r>
    <x v="260"/>
    <x v="136"/>
    <x v="0"/>
    <x v="3"/>
    <x v="7"/>
    <x v="1"/>
    <x v="0"/>
    <x v="250"/>
    <x v="260"/>
    <x v="103"/>
    <x v="260"/>
    <x v="22"/>
    <x v="0"/>
    <x v="0"/>
  </r>
  <r>
    <x v="261"/>
    <x v="227"/>
    <x v="0"/>
    <x v="1"/>
    <x v="10"/>
    <x v="0"/>
    <x v="2"/>
    <x v="251"/>
    <x v="261"/>
    <x v="130"/>
    <x v="261"/>
    <x v="21"/>
    <x v="6"/>
    <x v="0"/>
  </r>
  <r>
    <x v="262"/>
    <x v="115"/>
    <x v="1"/>
    <x v="4"/>
    <x v="9"/>
    <x v="0"/>
    <x v="5"/>
    <x v="241"/>
    <x v="262"/>
    <x v="0"/>
    <x v="262"/>
    <x v="33"/>
    <x v="6"/>
    <x v="0"/>
  </r>
  <r>
    <x v="263"/>
    <x v="218"/>
    <x v="1"/>
    <x v="7"/>
    <x v="32"/>
    <x v="2"/>
    <x v="5"/>
    <x v="252"/>
    <x v="263"/>
    <x v="144"/>
    <x v="263"/>
    <x v="17"/>
    <x v="9"/>
    <x v="1"/>
  </r>
  <r>
    <x v="264"/>
    <x v="228"/>
    <x v="0"/>
    <x v="5"/>
    <x v="29"/>
    <x v="1"/>
    <x v="5"/>
    <x v="253"/>
    <x v="264"/>
    <x v="21"/>
    <x v="264"/>
    <x v="33"/>
    <x v="8"/>
    <x v="2"/>
  </r>
  <r>
    <x v="265"/>
    <x v="229"/>
    <x v="0"/>
    <x v="2"/>
    <x v="23"/>
    <x v="2"/>
    <x v="4"/>
    <x v="254"/>
    <x v="265"/>
    <x v="68"/>
    <x v="265"/>
    <x v="17"/>
    <x v="0"/>
    <x v="0"/>
  </r>
  <r>
    <x v="266"/>
    <x v="230"/>
    <x v="0"/>
    <x v="2"/>
    <x v="8"/>
    <x v="2"/>
    <x v="0"/>
    <x v="255"/>
    <x v="266"/>
    <x v="112"/>
    <x v="266"/>
    <x v="34"/>
    <x v="1"/>
    <x v="1"/>
  </r>
  <r>
    <x v="267"/>
    <x v="73"/>
    <x v="2"/>
    <x v="2"/>
    <x v="8"/>
    <x v="0"/>
    <x v="3"/>
    <x v="256"/>
    <x v="267"/>
    <x v="29"/>
    <x v="267"/>
    <x v="11"/>
    <x v="0"/>
    <x v="0"/>
  </r>
  <r>
    <x v="268"/>
    <x v="25"/>
    <x v="0"/>
    <x v="0"/>
    <x v="28"/>
    <x v="0"/>
    <x v="3"/>
    <x v="257"/>
    <x v="268"/>
    <x v="145"/>
    <x v="268"/>
    <x v="35"/>
    <x v="5"/>
    <x v="0"/>
  </r>
  <r>
    <x v="269"/>
    <x v="231"/>
    <x v="1"/>
    <x v="6"/>
    <x v="22"/>
    <x v="0"/>
    <x v="1"/>
    <x v="258"/>
    <x v="269"/>
    <x v="80"/>
    <x v="269"/>
    <x v="7"/>
    <x v="4"/>
    <x v="2"/>
  </r>
  <r>
    <x v="270"/>
    <x v="232"/>
    <x v="0"/>
    <x v="5"/>
    <x v="17"/>
    <x v="1"/>
    <x v="2"/>
    <x v="259"/>
    <x v="270"/>
    <x v="10"/>
    <x v="270"/>
    <x v="35"/>
    <x v="1"/>
    <x v="1"/>
  </r>
  <r>
    <x v="271"/>
    <x v="56"/>
    <x v="1"/>
    <x v="5"/>
    <x v="6"/>
    <x v="0"/>
    <x v="3"/>
    <x v="260"/>
    <x v="271"/>
    <x v="136"/>
    <x v="271"/>
    <x v="7"/>
    <x v="4"/>
    <x v="2"/>
  </r>
  <r>
    <x v="272"/>
    <x v="3"/>
    <x v="0"/>
    <x v="5"/>
    <x v="6"/>
    <x v="1"/>
    <x v="1"/>
    <x v="261"/>
    <x v="272"/>
    <x v="114"/>
    <x v="272"/>
    <x v="6"/>
    <x v="3"/>
    <x v="2"/>
  </r>
  <r>
    <x v="273"/>
    <x v="233"/>
    <x v="0"/>
    <x v="1"/>
    <x v="21"/>
    <x v="0"/>
    <x v="0"/>
    <x v="262"/>
    <x v="273"/>
    <x v="146"/>
    <x v="273"/>
    <x v="7"/>
    <x v="8"/>
    <x v="2"/>
  </r>
  <r>
    <x v="274"/>
    <x v="234"/>
    <x v="1"/>
    <x v="7"/>
    <x v="32"/>
    <x v="0"/>
    <x v="4"/>
    <x v="263"/>
    <x v="274"/>
    <x v="26"/>
    <x v="274"/>
    <x v="6"/>
    <x v="4"/>
    <x v="2"/>
  </r>
  <r>
    <x v="275"/>
    <x v="228"/>
    <x v="1"/>
    <x v="7"/>
    <x v="25"/>
    <x v="2"/>
    <x v="3"/>
    <x v="264"/>
    <x v="275"/>
    <x v="147"/>
    <x v="275"/>
    <x v="7"/>
    <x v="4"/>
    <x v="2"/>
  </r>
  <r>
    <x v="276"/>
    <x v="11"/>
    <x v="1"/>
    <x v="5"/>
    <x v="29"/>
    <x v="2"/>
    <x v="2"/>
    <x v="265"/>
    <x v="276"/>
    <x v="148"/>
    <x v="276"/>
    <x v="6"/>
    <x v="5"/>
    <x v="0"/>
  </r>
  <r>
    <x v="277"/>
    <x v="49"/>
    <x v="0"/>
    <x v="3"/>
    <x v="27"/>
    <x v="0"/>
    <x v="4"/>
    <x v="266"/>
    <x v="277"/>
    <x v="76"/>
    <x v="277"/>
    <x v="5"/>
    <x v="5"/>
    <x v="0"/>
  </r>
  <r>
    <x v="278"/>
    <x v="235"/>
    <x v="1"/>
    <x v="2"/>
    <x v="23"/>
    <x v="0"/>
    <x v="5"/>
    <x v="267"/>
    <x v="278"/>
    <x v="21"/>
    <x v="278"/>
    <x v="4"/>
    <x v="9"/>
    <x v="1"/>
  </r>
  <r>
    <x v="279"/>
    <x v="236"/>
    <x v="0"/>
    <x v="5"/>
    <x v="17"/>
    <x v="0"/>
    <x v="0"/>
    <x v="268"/>
    <x v="279"/>
    <x v="118"/>
    <x v="279"/>
    <x v="3"/>
    <x v="3"/>
    <x v="2"/>
  </r>
  <r>
    <x v="280"/>
    <x v="237"/>
    <x v="0"/>
    <x v="5"/>
    <x v="17"/>
    <x v="0"/>
    <x v="2"/>
    <x v="269"/>
    <x v="280"/>
    <x v="0"/>
    <x v="280"/>
    <x v="4"/>
    <x v="6"/>
    <x v="0"/>
  </r>
  <r>
    <x v="281"/>
    <x v="238"/>
    <x v="1"/>
    <x v="0"/>
    <x v="28"/>
    <x v="0"/>
    <x v="3"/>
    <x v="270"/>
    <x v="281"/>
    <x v="149"/>
    <x v="281"/>
    <x v="5"/>
    <x v="2"/>
    <x v="0"/>
  </r>
  <r>
    <x v="282"/>
    <x v="239"/>
    <x v="0"/>
    <x v="0"/>
    <x v="24"/>
    <x v="0"/>
    <x v="0"/>
    <x v="271"/>
    <x v="282"/>
    <x v="46"/>
    <x v="282"/>
    <x v="6"/>
    <x v="4"/>
    <x v="2"/>
  </r>
  <r>
    <x v="283"/>
    <x v="240"/>
    <x v="1"/>
    <x v="4"/>
    <x v="11"/>
    <x v="0"/>
    <x v="4"/>
    <x v="272"/>
    <x v="283"/>
    <x v="150"/>
    <x v="283"/>
    <x v="7"/>
    <x v="6"/>
    <x v="0"/>
  </r>
  <r>
    <x v="284"/>
    <x v="241"/>
    <x v="1"/>
    <x v="7"/>
    <x v="32"/>
    <x v="0"/>
    <x v="4"/>
    <x v="273"/>
    <x v="284"/>
    <x v="43"/>
    <x v="284"/>
    <x v="6"/>
    <x v="5"/>
    <x v="0"/>
  </r>
  <r>
    <x v="285"/>
    <x v="65"/>
    <x v="0"/>
    <x v="4"/>
    <x v="20"/>
    <x v="0"/>
    <x v="4"/>
    <x v="274"/>
    <x v="285"/>
    <x v="10"/>
    <x v="285"/>
    <x v="5"/>
    <x v="1"/>
    <x v="1"/>
  </r>
  <r>
    <x v="286"/>
    <x v="242"/>
    <x v="0"/>
    <x v="0"/>
    <x v="0"/>
    <x v="0"/>
    <x v="4"/>
    <x v="275"/>
    <x v="286"/>
    <x v="0"/>
    <x v="286"/>
    <x v="6"/>
    <x v="1"/>
    <x v="1"/>
  </r>
  <r>
    <x v="287"/>
    <x v="243"/>
    <x v="1"/>
    <x v="7"/>
    <x v="32"/>
    <x v="0"/>
    <x v="1"/>
    <x v="276"/>
    <x v="287"/>
    <x v="104"/>
    <x v="287"/>
    <x v="5"/>
    <x v="8"/>
    <x v="2"/>
  </r>
  <r>
    <x v="288"/>
    <x v="244"/>
    <x v="1"/>
    <x v="6"/>
    <x v="13"/>
    <x v="0"/>
    <x v="3"/>
    <x v="277"/>
    <x v="288"/>
    <x v="29"/>
    <x v="288"/>
    <x v="6"/>
    <x v="3"/>
    <x v="2"/>
  </r>
  <r>
    <x v="289"/>
    <x v="245"/>
    <x v="1"/>
    <x v="3"/>
    <x v="7"/>
    <x v="2"/>
    <x v="5"/>
    <x v="278"/>
    <x v="289"/>
    <x v="124"/>
    <x v="289"/>
    <x v="7"/>
    <x v="3"/>
    <x v="2"/>
  </r>
  <r>
    <x v="290"/>
    <x v="199"/>
    <x v="1"/>
    <x v="4"/>
    <x v="9"/>
    <x v="2"/>
    <x v="4"/>
    <x v="279"/>
    <x v="290"/>
    <x v="123"/>
    <x v="290"/>
    <x v="6"/>
    <x v="1"/>
    <x v="1"/>
  </r>
  <r>
    <x v="291"/>
    <x v="246"/>
    <x v="0"/>
    <x v="4"/>
    <x v="11"/>
    <x v="2"/>
    <x v="4"/>
    <x v="280"/>
    <x v="291"/>
    <x v="149"/>
    <x v="291"/>
    <x v="5"/>
    <x v="2"/>
    <x v="0"/>
  </r>
  <r>
    <x v="292"/>
    <x v="247"/>
    <x v="0"/>
    <x v="5"/>
    <x v="17"/>
    <x v="0"/>
    <x v="2"/>
    <x v="281"/>
    <x v="292"/>
    <x v="100"/>
    <x v="292"/>
    <x v="4"/>
    <x v="0"/>
    <x v="0"/>
  </r>
  <r>
    <x v="293"/>
    <x v="248"/>
    <x v="1"/>
    <x v="0"/>
    <x v="28"/>
    <x v="0"/>
    <x v="5"/>
    <x v="282"/>
    <x v="293"/>
    <x v="151"/>
    <x v="293"/>
    <x v="3"/>
    <x v="5"/>
    <x v="0"/>
  </r>
  <r>
    <x v="294"/>
    <x v="249"/>
    <x v="0"/>
    <x v="4"/>
    <x v="4"/>
    <x v="0"/>
    <x v="3"/>
    <x v="283"/>
    <x v="294"/>
    <x v="152"/>
    <x v="294"/>
    <x v="4"/>
    <x v="4"/>
    <x v="2"/>
  </r>
  <r>
    <x v="295"/>
    <x v="66"/>
    <x v="0"/>
    <x v="7"/>
    <x v="25"/>
    <x v="0"/>
    <x v="4"/>
    <x v="284"/>
    <x v="295"/>
    <x v="133"/>
    <x v="295"/>
    <x v="5"/>
    <x v="8"/>
    <x v="2"/>
  </r>
  <r>
    <x v="296"/>
    <x v="250"/>
    <x v="1"/>
    <x v="2"/>
    <x v="23"/>
    <x v="0"/>
    <x v="3"/>
    <x v="285"/>
    <x v="296"/>
    <x v="136"/>
    <x v="296"/>
    <x v="4"/>
    <x v="0"/>
    <x v="0"/>
  </r>
  <r>
    <x v="297"/>
    <x v="220"/>
    <x v="1"/>
    <x v="4"/>
    <x v="11"/>
    <x v="0"/>
    <x v="4"/>
    <x v="286"/>
    <x v="297"/>
    <x v="0"/>
    <x v="297"/>
    <x v="5"/>
    <x v="10"/>
    <x v="0"/>
  </r>
  <r>
    <x v="298"/>
    <x v="251"/>
    <x v="1"/>
    <x v="3"/>
    <x v="3"/>
    <x v="0"/>
    <x v="1"/>
    <x v="287"/>
    <x v="298"/>
    <x v="153"/>
    <x v="298"/>
    <x v="4"/>
    <x v="5"/>
    <x v="0"/>
  </r>
  <r>
    <x v="299"/>
    <x v="215"/>
    <x v="0"/>
    <x v="4"/>
    <x v="5"/>
    <x v="0"/>
    <x v="5"/>
    <x v="288"/>
    <x v="299"/>
    <x v="127"/>
    <x v="299"/>
    <x v="3"/>
    <x v="2"/>
    <x v="0"/>
  </r>
  <r>
    <x v="300"/>
    <x v="252"/>
    <x v="0"/>
    <x v="4"/>
    <x v="11"/>
    <x v="0"/>
    <x v="5"/>
    <x v="289"/>
    <x v="300"/>
    <x v="154"/>
    <x v="300"/>
    <x v="36"/>
    <x v="5"/>
    <x v="0"/>
  </r>
  <r>
    <x v="301"/>
    <x v="6"/>
    <x v="1"/>
    <x v="7"/>
    <x v="26"/>
    <x v="0"/>
    <x v="0"/>
    <x v="204"/>
    <x v="301"/>
    <x v="30"/>
    <x v="301"/>
    <x v="3"/>
    <x v="9"/>
    <x v="1"/>
  </r>
  <r>
    <x v="302"/>
    <x v="253"/>
    <x v="0"/>
    <x v="7"/>
    <x v="25"/>
    <x v="2"/>
    <x v="0"/>
    <x v="290"/>
    <x v="302"/>
    <x v="155"/>
    <x v="302"/>
    <x v="4"/>
    <x v="6"/>
    <x v="0"/>
  </r>
  <r>
    <x v="303"/>
    <x v="156"/>
    <x v="0"/>
    <x v="3"/>
    <x v="19"/>
    <x v="0"/>
    <x v="1"/>
    <x v="291"/>
    <x v="303"/>
    <x v="156"/>
    <x v="303"/>
    <x v="3"/>
    <x v="9"/>
    <x v="1"/>
  </r>
  <r>
    <x v="304"/>
    <x v="142"/>
    <x v="1"/>
    <x v="2"/>
    <x v="30"/>
    <x v="0"/>
    <x v="0"/>
    <x v="292"/>
    <x v="304"/>
    <x v="0"/>
    <x v="304"/>
    <x v="36"/>
    <x v="5"/>
    <x v="0"/>
  </r>
  <r>
    <x v="305"/>
    <x v="254"/>
    <x v="1"/>
    <x v="1"/>
    <x v="10"/>
    <x v="0"/>
    <x v="2"/>
    <x v="293"/>
    <x v="305"/>
    <x v="127"/>
    <x v="305"/>
    <x v="37"/>
    <x v="2"/>
    <x v="0"/>
  </r>
  <r>
    <x v="306"/>
    <x v="255"/>
    <x v="1"/>
    <x v="7"/>
    <x v="18"/>
    <x v="0"/>
    <x v="5"/>
    <x v="294"/>
    <x v="306"/>
    <x v="150"/>
    <x v="306"/>
    <x v="38"/>
    <x v="2"/>
    <x v="0"/>
  </r>
  <r>
    <x v="307"/>
    <x v="256"/>
    <x v="0"/>
    <x v="0"/>
    <x v="28"/>
    <x v="0"/>
    <x v="2"/>
    <x v="295"/>
    <x v="307"/>
    <x v="110"/>
    <x v="307"/>
    <x v="39"/>
    <x v="6"/>
    <x v="0"/>
  </r>
  <r>
    <x v="308"/>
    <x v="257"/>
    <x v="0"/>
    <x v="5"/>
    <x v="29"/>
    <x v="0"/>
    <x v="1"/>
    <x v="286"/>
    <x v="308"/>
    <x v="119"/>
    <x v="308"/>
    <x v="40"/>
    <x v="10"/>
    <x v="0"/>
  </r>
  <r>
    <x v="309"/>
    <x v="258"/>
    <x v="0"/>
    <x v="6"/>
    <x v="16"/>
    <x v="0"/>
    <x v="5"/>
    <x v="296"/>
    <x v="309"/>
    <x v="66"/>
    <x v="309"/>
    <x v="41"/>
    <x v="3"/>
    <x v="2"/>
  </r>
  <r>
    <x v="310"/>
    <x v="259"/>
    <x v="0"/>
    <x v="0"/>
    <x v="0"/>
    <x v="0"/>
    <x v="2"/>
    <x v="297"/>
    <x v="310"/>
    <x v="0"/>
    <x v="310"/>
    <x v="42"/>
    <x v="9"/>
    <x v="1"/>
  </r>
  <r>
    <x v="311"/>
    <x v="92"/>
    <x v="1"/>
    <x v="4"/>
    <x v="4"/>
    <x v="0"/>
    <x v="4"/>
    <x v="298"/>
    <x v="311"/>
    <x v="59"/>
    <x v="311"/>
    <x v="41"/>
    <x v="4"/>
    <x v="2"/>
  </r>
  <r>
    <x v="312"/>
    <x v="260"/>
    <x v="1"/>
    <x v="4"/>
    <x v="20"/>
    <x v="0"/>
    <x v="4"/>
    <x v="299"/>
    <x v="312"/>
    <x v="56"/>
    <x v="312"/>
    <x v="40"/>
    <x v="6"/>
    <x v="0"/>
  </r>
  <r>
    <x v="313"/>
    <x v="261"/>
    <x v="1"/>
    <x v="1"/>
    <x v="10"/>
    <x v="2"/>
    <x v="4"/>
    <x v="300"/>
    <x v="313"/>
    <x v="154"/>
    <x v="313"/>
    <x v="39"/>
    <x v="6"/>
    <x v="0"/>
  </r>
  <r>
    <x v="314"/>
    <x v="151"/>
    <x v="0"/>
    <x v="5"/>
    <x v="17"/>
    <x v="0"/>
    <x v="1"/>
    <x v="301"/>
    <x v="314"/>
    <x v="35"/>
    <x v="314"/>
    <x v="40"/>
    <x v="4"/>
    <x v="2"/>
  </r>
  <r>
    <x v="315"/>
    <x v="262"/>
    <x v="0"/>
    <x v="2"/>
    <x v="30"/>
    <x v="0"/>
    <x v="0"/>
    <x v="302"/>
    <x v="315"/>
    <x v="88"/>
    <x v="315"/>
    <x v="41"/>
    <x v="3"/>
    <x v="2"/>
  </r>
  <r>
    <x v="316"/>
    <x v="263"/>
    <x v="1"/>
    <x v="0"/>
    <x v="24"/>
    <x v="0"/>
    <x v="3"/>
    <x v="303"/>
    <x v="316"/>
    <x v="157"/>
    <x v="316"/>
    <x v="40"/>
    <x v="1"/>
    <x v="1"/>
  </r>
  <r>
    <x v="317"/>
    <x v="264"/>
    <x v="0"/>
    <x v="4"/>
    <x v="5"/>
    <x v="2"/>
    <x v="1"/>
    <x v="304"/>
    <x v="317"/>
    <x v="26"/>
    <x v="317"/>
    <x v="39"/>
    <x v="5"/>
    <x v="0"/>
  </r>
  <r>
    <x v="318"/>
    <x v="265"/>
    <x v="1"/>
    <x v="4"/>
    <x v="11"/>
    <x v="0"/>
    <x v="5"/>
    <x v="305"/>
    <x v="318"/>
    <x v="106"/>
    <x v="318"/>
    <x v="38"/>
    <x v="3"/>
    <x v="2"/>
  </r>
  <r>
    <x v="319"/>
    <x v="266"/>
    <x v="0"/>
    <x v="6"/>
    <x v="13"/>
    <x v="0"/>
    <x v="0"/>
    <x v="306"/>
    <x v="319"/>
    <x v="112"/>
    <x v="319"/>
    <x v="39"/>
    <x v="8"/>
    <x v="2"/>
  </r>
  <r>
    <x v="320"/>
    <x v="208"/>
    <x v="0"/>
    <x v="7"/>
    <x v="32"/>
    <x v="0"/>
    <x v="1"/>
    <x v="307"/>
    <x v="320"/>
    <x v="134"/>
    <x v="320"/>
    <x v="38"/>
    <x v="7"/>
    <x v="1"/>
  </r>
  <r>
    <x v="321"/>
    <x v="267"/>
    <x v="2"/>
    <x v="2"/>
    <x v="23"/>
    <x v="0"/>
    <x v="1"/>
    <x v="308"/>
    <x v="321"/>
    <x v="120"/>
    <x v="321"/>
    <x v="39"/>
    <x v="1"/>
    <x v="1"/>
  </r>
  <r>
    <x v="322"/>
    <x v="268"/>
    <x v="0"/>
    <x v="3"/>
    <x v="27"/>
    <x v="0"/>
    <x v="3"/>
    <x v="309"/>
    <x v="322"/>
    <x v="67"/>
    <x v="322"/>
    <x v="38"/>
    <x v="9"/>
    <x v="1"/>
  </r>
  <r>
    <x v="323"/>
    <x v="264"/>
    <x v="0"/>
    <x v="6"/>
    <x v="13"/>
    <x v="0"/>
    <x v="5"/>
    <x v="310"/>
    <x v="323"/>
    <x v="86"/>
    <x v="323"/>
    <x v="37"/>
    <x v="2"/>
    <x v="0"/>
  </r>
  <r>
    <x v="324"/>
    <x v="65"/>
    <x v="1"/>
    <x v="1"/>
    <x v="10"/>
    <x v="0"/>
    <x v="4"/>
    <x v="311"/>
    <x v="324"/>
    <x v="158"/>
    <x v="324"/>
    <x v="36"/>
    <x v="0"/>
    <x v="0"/>
  </r>
  <r>
    <x v="325"/>
    <x v="215"/>
    <x v="0"/>
    <x v="2"/>
    <x v="8"/>
    <x v="0"/>
    <x v="0"/>
    <x v="312"/>
    <x v="325"/>
    <x v="127"/>
    <x v="325"/>
    <x v="3"/>
    <x v="4"/>
    <x v="2"/>
  </r>
  <r>
    <x v="326"/>
    <x v="269"/>
    <x v="1"/>
    <x v="7"/>
    <x v="25"/>
    <x v="0"/>
    <x v="1"/>
    <x v="313"/>
    <x v="326"/>
    <x v="62"/>
    <x v="326"/>
    <x v="4"/>
    <x v="7"/>
    <x v="1"/>
  </r>
  <r>
    <x v="327"/>
    <x v="48"/>
    <x v="0"/>
    <x v="3"/>
    <x v="3"/>
    <x v="0"/>
    <x v="3"/>
    <x v="314"/>
    <x v="327"/>
    <x v="52"/>
    <x v="327"/>
    <x v="3"/>
    <x v="9"/>
    <x v="1"/>
  </r>
  <r>
    <x v="328"/>
    <x v="270"/>
    <x v="0"/>
    <x v="0"/>
    <x v="28"/>
    <x v="0"/>
    <x v="1"/>
    <x v="315"/>
    <x v="328"/>
    <x v="18"/>
    <x v="328"/>
    <x v="36"/>
    <x v="0"/>
    <x v="0"/>
  </r>
  <r>
    <x v="329"/>
    <x v="271"/>
    <x v="0"/>
    <x v="6"/>
    <x v="22"/>
    <x v="0"/>
    <x v="4"/>
    <x v="316"/>
    <x v="329"/>
    <x v="39"/>
    <x v="329"/>
    <x v="37"/>
    <x v="4"/>
    <x v="2"/>
  </r>
  <r>
    <x v="330"/>
    <x v="272"/>
    <x v="0"/>
    <x v="0"/>
    <x v="24"/>
    <x v="0"/>
    <x v="1"/>
    <x v="317"/>
    <x v="330"/>
    <x v="15"/>
    <x v="330"/>
    <x v="43"/>
    <x v="10"/>
    <x v="0"/>
  </r>
  <r>
    <x v="331"/>
    <x v="154"/>
    <x v="1"/>
    <x v="2"/>
    <x v="30"/>
    <x v="0"/>
    <x v="0"/>
    <x v="318"/>
    <x v="331"/>
    <x v="159"/>
    <x v="331"/>
    <x v="37"/>
    <x v="4"/>
    <x v="2"/>
  </r>
  <r>
    <x v="332"/>
    <x v="273"/>
    <x v="0"/>
    <x v="4"/>
    <x v="9"/>
    <x v="0"/>
    <x v="2"/>
    <x v="319"/>
    <x v="332"/>
    <x v="103"/>
    <x v="332"/>
    <x v="38"/>
    <x v="0"/>
    <x v="0"/>
  </r>
  <r>
    <x v="333"/>
    <x v="123"/>
    <x v="1"/>
    <x v="4"/>
    <x v="12"/>
    <x v="2"/>
    <x v="1"/>
    <x v="320"/>
    <x v="333"/>
    <x v="125"/>
    <x v="333"/>
    <x v="37"/>
    <x v="7"/>
    <x v="1"/>
  </r>
  <r>
    <x v="334"/>
    <x v="274"/>
    <x v="0"/>
    <x v="4"/>
    <x v="12"/>
    <x v="0"/>
    <x v="1"/>
    <x v="321"/>
    <x v="334"/>
    <x v="160"/>
    <x v="334"/>
    <x v="43"/>
    <x v="2"/>
    <x v="0"/>
  </r>
  <r>
    <x v="335"/>
    <x v="204"/>
    <x v="0"/>
    <x v="4"/>
    <x v="5"/>
    <x v="0"/>
    <x v="4"/>
    <x v="322"/>
    <x v="335"/>
    <x v="104"/>
    <x v="335"/>
    <x v="5"/>
    <x v="8"/>
    <x v="2"/>
  </r>
  <r>
    <x v="336"/>
    <x v="275"/>
    <x v="1"/>
    <x v="5"/>
    <x v="29"/>
    <x v="0"/>
    <x v="5"/>
    <x v="323"/>
    <x v="336"/>
    <x v="161"/>
    <x v="336"/>
    <x v="6"/>
    <x v="4"/>
    <x v="2"/>
  </r>
  <r>
    <x v="337"/>
    <x v="276"/>
    <x v="0"/>
    <x v="2"/>
    <x v="30"/>
    <x v="0"/>
    <x v="0"/>
    <x v="324"/>
    <x v="337"/>
    <x v="0"/>
    <x v="337"/>
    <x v="5"/>
    <x v="8"/>
    <x v="2"/>
  </r>
  <r>
    <x v="338"/>
    <x v="71"/>
    <x v="1"/>
    <x v="7"/>
    <x v="25"/>
    <x v="0"/>
    <x v="0"/>
    <x v="325"/>
    <x v="338"/>
    <x v="162"/>
    <x v="338"/>
    <x v="6"/>
    <x v="4"/>
    <x v="2"/>
  </r>
  <r>
    <x v="339"/>
    <x v="277"/>
    <x v="1"/>
    <x v="4"/>
    <x v="11"/>
    <x v="0"/>
    <x v="1"/>
    <x v="326"/>
    <x v="339"/>
    <x v="0"/>
    <x v="339"/>
    <x v="5"/>
    <x v="1"/>
    <x v="1"/>
  </r>
  <r>
    <x v="340"/>
    <x v="278"/>
    <x v="0"/>
    <x v="7"/>
    <x v="32"/>
    <x v="0"/>
    <x v="3"/>
    <x v="327"/>
    <x v="340"/>
    <x v="0"/>
    <x v="340"/>
    <x v="43"/>
    <x v="8"/>
    <x v="2"/>
  </r>
  <r>
    <x v="341"/>
    <x v="279"/>
    <x v="1"/>
    <x v="7"/>
    <x v="32"/>
    <x v="0"/>
    <x v="0"/>
    <x v="328"/>
    <x v="341"/>
    <x v="2"/>
    <x v="341"/>
    <x v="37"/>
    <x v="4"/>
    <x v="2"/>
  </r>
  <r>
    <x v="342"/>
    <x v="280"/>
    <x v="1"/>
    <x v="4"/>
    <x v="4"/>
    <x v="0"/>
    <x v="1"/>
    <x v="293"/>
    <x v="342"/>
    <x v="93"/>
    <x v="342"/>
    <x v="38"/>
    <x v="2"/>
    <x v="0"/>
  </r>
  <r>
    <x v="343"/>
    <x v="55"/>
    <x v="1"/>
    <x v="0"/>
    <x v="28"/>
    <x v="0"/>
    <x v="5"/>
    <x v="329"/>
    <x v="343"/>
    <x v="0"/>
    <x v="343"/>
    <x v="37"/>
    <x v="6"/>
    <x v="0"/>
  </r>
  <r>
    <x v="344"/>
    <x v="206"/>
    <x v="1"/>
    <x v="0"/>
    <x v="28"/>
    <x v="0"/>
    <x v="5"/>
    <x v="330"/>
    <x v="344"/>
    <x v="163"/>
    <x v="344"/>
    <x v="38"/>
    <x v="4"/>
    <x v="2"/>
  </r>
  <r>
    <x v="345"/>
    <x v="281"/>
    <x v="0"/>
    <x v="3"/>
    <x v="19"/>
    <x v="0"/>
    <x v="4"/>
    <x v="331"/>
    <x v="345"/>
    <x v="164"/>
    <x v="345"/>
    <x v="37"/>
    <x v="0"/>
    <x v="0"/>
  </r>
  <r>
    <x v="346"/>
    <x v="282"/>
    <x v="0"/>
    <x v="3"/>
    <x v="19"/>
    <x v="0"/>
    <x v="1"/>
    <x v="332"/>
    <x v="346"/>
    <x v="12"/>
    <x v="346"/>
    <x v="38"/>
    <x v="2"/>
    <x v="0"/>
  </r>
  <r>
    <x v="347"/>
    <x v="24"/>
    <x v="1"/>
    <x v="4"/>
    <x v="9"/>
    <x v="0"/>
    <x v="1"/>
    <x v="333"/>
    <x v="347"/>
    <x v="133"/>
    <x v="347"/>
    <x v="39"/>
    <x v="6"/>
    <x v="0"/>
  </r>
  <r>
    <x v="348"/>
    <x v="281"/>
    <x v="0"/>
    <x v="0"/>
    <x v="15"/>
    <x v="0"/>
    <x v="2"/>
    <x v="334"/>
    <x v="348"/>
    <x v="146"/>
    <x v="348"/>
    <x v="38"/>
    <x v="9"/>
    <x v="1"/>
  </r>
  <r>
    <x v="349"/>
    <x v="283"/>
    <x v="1"/>
    <x v="3"/>
    <x v="7"/>
    <x v="0"/>
    <x v="4"/>
    <x v="335"/>
    <x v="349"/>
    <x v="0"/>
    <x v="349"/>
    <x v="37"/>
    <x v="8"/>
    <x v="2"/>
  </r>
  <r>
    <x v="350"/>
    <x v="136"/>
    <x v="2"/>
    <x v="7"/>
    <x v="26"/>
    <x v="0"/>
    <x v="2"/>
    <x v="336"/>
    <x v="350"/>
    <x v="55"/>
    <x v="350"/>
    <x v="38"/>
    <x v="4"/>
    <x v="2"/>
  </r>
  <r>
    <x v="351"/>
    <x v="284"/>
    <x v="1"/>
    <x v="5"/>
    <x v="17"/>
    <x v="0"/>
    <x v="3"/>
    <x v="337"/>
    <x v="351"/>
    <x v="138"/>
    <x v="351"/>
    <x v="39"/>
    <x v="7"/>
    <x v="1"/>
  </r>
  <r>
    <x v="352"/>
    <x v="285"/>
    <x v="0"/>
    <x v="3"/>
    <x v="19"/>
    <x v="0"/>
    <x v="4"/>
    <x v="338"/>
    <x v="352"/>
    <x v="0"/>
    <x v="352"/>
    <x v="40"/>
    <x v="1"/>
    <x v="1"/>
  </r>
  <r>
    <x v="353"/>
    <x v="286"/>
    <x v="1"/>
    <x v="4"/>
    <x v="5"/>
    <x v="0"/>
    <x v="4"/>
    <x v="77"/>
    <x v="353"/>
    <x v="165"/>
    <x v="353"/>
    <x v="41"/>
    <x v="2"/>
    <x v="0"/>
  </r>
  <r>
    <x v="354"/>
    <x v="287"/>
    <x v="2"/>
    <x v="4"/>
    <x v="20"/>
    <x v="0"/>
    <x v="5"/>
    <x v="339"/>
    <x v="354"/>
    <x v="33"/>
    <x v="354"/>
    <x v="40"/>
    <x v="0"/>
    <x v="0"/>
  </r>
  <r>
    <x v="355"/>
    <x v="68"/>
    <x v="1"/>
    <x v="3"/>
    <x v="27"/>
    <x v="0"/>
    <x v="3"/>
    <x v="340"/>
    <x v="355"/>
    <x v="32"/>
    <x v="355"/>
    <x v="39"/>
    <x v="4"/>
    <x v="2"/>
  </r>
  <r>
    <x v="356"/>
    <x v="248"/>
    <x v="0"/>
    <x v="4"/>
    <x v="12"/>
    <x v="0"/>
    <x v="1"/>
    <x v="341"/>
    <x v="356"/>
    <x v="133"/>
    <x v="356"/>
    <x v="40"/>
    <x v="7"/>
    <x v="1"/>
  </r>
  <r>
    <x v="357"/>
    <x v="288"/>
    <x v="1"/>
    <x v="7"/>
    <x v="32"/>
    <x v="0"/>
    <x v="4"/>
    <x v="342"/>
    <x v="357"/>
    <x v="104"/>
    <x v="357"/>
    <x v="39"/>
    <x v="0"/>
    <x v="0"/>
  </r>
  <r>
    <x v="358"/>
    <x v="56"/>
    <x v="1"/>
    <x v="1"/>
    <x v="21"/>
    <x v="0"/>
    <x v="3"/>
    <x v="343"/>
    <x v="358"/>
    <x v="85"/>
    <x v="358"/>
    <x v="40"/>
    <x v="5"/>
    <x v="0"/>
  </r>
  <r>
    <x v="359"/>
    <x v="289"/>
    <x v="1"/>
    <x v="7"/>
    <x v="14"/>
    <x v="0"/>
    <x v="0"/>
    <x v="344"/>
    <x v="359"/>
    <x v="109"/>
    <x v="359"/>
    <x v="41"/>
    <x v="4"/>
    <x v="2"/>
  </r>
  <r>
    <x v="360"/>
    <x v="290"/>
    <x v="0"/>
    <x v="0"/>
    <x v="15"/>
    <x v="0"/>
    <x v="1"/>
    <x v="345"/>
    <x v="360"/>
    <x v="0"/>
    <x v="360"/>
    <x v="42"/>
    <x v="8"/>
    <x v="2"/>
  </r>
  <r>
    <x v="361"/>
    <x v="219"/>
    <x v="1"/>
    <x v="3"/>
    <x v="7"/>
    <x v="0"/>
    <x v="1"/>
    <x v="346"/>
    <x v="361"/>
    <x v="134"/>
    <x v="361"/>
    <x v="41"/>
    <x v="4"/>
    <x v="2"/>
  </r>
  <r>
    <x v="362"/>
    <x v="291"/>
    <x v="0"/>
    <x v="0"/>
    <x v="28"/>
    <x v="0"/>
    <x v="4"/>
    <x v="347"/>
    <x v="362"/>
    <x v="25"/>
    <x v="362"/>
    <x v="42"/>
    <x v="3"/>
    <x v="2"/>
  </r>
  <r>
    <x v="363"/>
    <x v="165"/>
    <x v="1"/>
    <x v="7"/>
    <x v="14"/>
    <x v="0"/>
    <x v="3"/>
    <x v="348"/>
    <x v="363"/>
    <x v="68"/>
    <x v="363"/>
    <x v="41"/>
    <x v="0"/>
    <x v="0"/>
  </r>
  <r>
    <x v="364"/>
    <x v="292"/>
    <x v="1"/>
    <x v="1"/>
    <x v="10"/>
    <x v="0"/>
    <x v="5"/>
    <x v="349"/>
    <x v="364"/>
    <x v="133"/>
    <x v="364"/>
    <x v="42"/>
    <x v="4"/>
    <x v="2"/>
  </r>
  <r>
    <x v="365"/>
    <x v="293"/>
    <x v="0"/>
    <x v="0"/>
    <x v="0"/>
    <x v="0"/>
    <x v="1"/>
    <x v="350"/>
    <x v="365"/>
    <x v="0"/>
    <x v="365"/>
    <x v="44"/>
    <x v="2"/>
    <x v="0"/>
  </r>
  <r>
    <x v="366"/>
    <x v="294"/>
    <x v="1"/>
    <x v="1"/>
    <x v="10"/>
    <x v="1"/>
    <x v="0"/>
    <x v="72"/>
    <x v="366"/>
    <x v="21"/>
    <x v="366"/>
    <x v="45"/>
    <x v="9"/>
    <x v="1"/>
  </r>
  <r>
    <x v="367"/>
    <x v="295"/>
    <x v="0"/>
    <x v="1"/>
    <x v="10"/>
    <x v="2"/>
    <x v="1"/>
    <x v="351"/>
    <x v="367"/>
    <x v="0"/>
    <x v="367"/>
    <x v="46"/>
    <x v="2"/>
    <x v="0"/>
  </r>
  <r>
    <x v="368"/>
    <x v="50"/>
    <x v="1"/>
    <x v="4"/>
    <x v="11"/>
    <x v="0"/>
    <x v="1"/>
    <x v="83"/>
    <x v="368"/>
    <x v="82"/>
    <x v="368"/>
    <x v="45"/>
    <x v="5"/>
    <x v="0"/>
  </r>
  <r>
    <x v="369"/>
    <x v="296"/>
    <x v="0"/>
    <x v="4"/>
    <x v="9"/>
    <x v="2"/>
    <x v="1"/>
    <x v="352"/>
    <x v="369"/>
    <x v="26"/>
    <x v="369"/>
    <x v="44"/>
    <x v="2"/>
    <x v="0"/>
  </r>
  <r>
    <x v="370"/>
    <x v="297"/>
    <x v="1"/>
    <x v="4"/>
    <x v="12"/>
    <x v="0"/>
    <x v="2"/>
    <x v="353"/>
    <x v="370"/>
    <x v="166"/>
    <x v="370"/>
    <x v="42"/>
    <x v="9"/>
    <x v="1"/>
  </r>
  <r>
    <x v="371"/>
    <x v="298"/>
    <x v="0"/>
    <x v="4"/>
    <x v="11"/>
    <x v="0"/>
    <x v="1"/>
    <x v="354"/>
    <x v="371"/>
    <x v="10"/>
    <x v="371"/>
    <x v="41"/>
    <x v="6"/>
    <x v="0"/>
  </r>
  <r>
    <x v="372"/>
    <x v="135"/>
    <x v="0"/>
    <x v="4"/>
    <x v="4"/>
    <x v="0"/>
    <x v="2"/>
    <x v="355"/>
    <x v="372"/>
    <x v="167"/>
    <x v="372"/>
    <x v="42"/>
    <x v="0"/>
    <x v="0"/>
  </r>
  <r>
    <x v="373"/>
    <x v="299"/>
    <x v="0"/>
    <x v="2"/>
    <x v="8"/>
    <x v="0"/>
    <x v="3"/>
    <x v="356"/>
    <x v="373"/>
    <x v="156"/>
    <x v="373"/>
    <x v="41"/>
    <x v="3"/>
    <x v="2"/>
  </r>
  <r>
    <x v="374"/>
    <x v="294"/>
    <x v="1"/>
    <x v="4"/>
    <x v="9"/>
    <x v="1"/>
    <x v="4"/>
    <x v="113"/>
    <x v="374"/>
    <x v="0"/>
    <x v="374"/>
    <x v="42"/>
    <x v="8"/>
    <x v="2"/>
  </r>
  <r>
    <x v="375"/>
    <x v="66"/>
    <x v="1"/>
    <x v="6"/>
    <x v="16"/>
    <x v="0"/>
    <x v="3"/>
    <x v="357"/>
    <x v="375"/>
    <x v="148"/>
    <x v="375"/>
    <x v="41"/>
    <x v="6"/>
    <x v="0"/>
  </r>
  <r>
    <x v="376"/>
    <x v="300"/>
    <x v="0"/>
    <x v="5"/>
    <x v="17"/>
    <x v="0"/>
    <x v="3"/>
    <x v="120"/>
    <x v="376"/>
    <x v="64"/>
    <x v="376"/>
    <x v="40"/>
    <x v="3"/>
    <x v="2"/>
  </r>
  <r>
    <x v="377"/>
    <x v="301"/>
    <x v="1"/>
    <x v="4"/>
    <x v="20"/>
    <x v="1"/>
    <x v="1"/>
    <x v="358"/>
    <x v="377"/>
    <x v="168"/>
    <x v="377"/>
    <x v="39"/>
    <x v="3"/>
    <x v="2"/>
  </r>
  <r>
    <x v="378"/>
    <x v="302"/>
    <x v="1"/>
    <x v="5"/>
    <x v="17"/>
    <x v="0"/>
    <x v="0"/>
    <x v="359"/>
    <x v="378"/>
    <x v="78"/>
    <x v="378"/>
    <x v="38"/>
    <x v="6"/>
    <x v="0"/>
  </r>
  <r>
    <x v="379"/>
    <x v="303"/>
    <x v="0"/>
    <x v="6"/>
    <x v="31"/>
    <x v="2"/>
    <x v="1"/>
    <x v="360"/>
    <x v="379"/>
    <x v="169"/>
    <x v="379"/>
    <x v="39"/>
    <x v="9"/>
    <x v="1"/>
  </r>
  <r>
    <x v="380"/>
    <x v="304"/>
    <x v="0"/>
    <x v="4"/>
    <x v="11"/>
    <x v="2"/>
    <x v="5"/>
    <x v="361"/>
    <x v="380"/>
    <x v="170"/>
    <x v="380"/>
    <x v="38"/>
    <x v="2"/>
    <x v="0"/>
  </r>
  <r>
    <x v="381"/>
    <x v="305"/>
    <x v="1"/>
    <x v="2"/>
    <x v="8"/>
    <x v="0"/>
    <x v="4"/>
    <x v="362"/>
    <x v="381"/>
    <x v="108"/>
    <x v="381"/>
    <x v="39"/>
    <x v="2"/>
    <x v="0"/>
  </r>
  <r>
    <x v="382"/>
    <x v="81"/>
    <x v="1"/>
    <x v="3"/>
    <x v="27"/>
    <x v="0"/>
    <x v="1"/>
    <x v="363"/>
    <x v="382"/>
    <x v="171"/>
    <x v="382"/>
    <x v="38"/>
    <x v="1"/>
    <x v="1"/>
  </r>
  <r>
    <x v="383"/>
    <x v="96"/>
    <x v="1"/>
    <x v="5"/>
    <x v="29"/>
    <x v="0"/>
    <x v="0"/>
    <x v="364"/>
    <x v="383"/>
    <x v="77"/>
    <x v="383"/>
    <x v="39"/>
    <x v="9"/>
    <x v="1"/>
  </r>
  <r>
    <x v="384"/>
    <x v="71"/>
    <x v="1"/>
    <x v="2"/>
    <x v="30"/>
    <x v="0"/>
    <x v="1"/>
    <x v="365"/>
    <x v="384"/>
    <x v="160"/>
    <x v="384"/>
    <x v="40"/>
    <x v="1"/>
    <x v="1"/>
  </r>
  <r>
    <x v="385"/>
    <x v="306"/>
    <x v="1"/>
    <x v="5"/>
    <x v="29"/>
    <x v="0"/>
    <x v="0"/>
    <x v="366"/>
    <x v="385"/>
    <x v="172"/>
    <x v="385"/>
    <x v="41"/>
    <x v="9"/>
    <x v="1"/>
  </r>
  <r>
    <x v="386"/>
    <x v="307"/>
    <x v="1"/>
    <x v="6"/>
    <x v="31"/>
    <x v="0"/>
    <x v="4"/>
    <x v="40"/>
    <x v="386"/>
    <x v="173"/>
    <x v="386"/>
    <x v="42"/>
    <x v="6"/>
    <x v="0"/>
  </r>
  <r>
    <x v="387"/>
    <x v="308"/>
    <x v="1"/>
    <x v="4"/>
    <x v="11"/>
    <x v="0"/>
    <x v="5"/>
    <x v="367"/>
    <x v="387"/>
    <x v="94"/>
    <x v="387"/>
    <x v="41"/>
    <x v="5"/>
    <x v="0"/>
  </r>
  <r>
    <x v="388"/>
    <x v="181"/>
    <x v="0"/>
    <x v="2"/>
    <x v="2"/>
    <x v="0"/>
    <x v="4"/>
    <x v="368"/>
    <x v="388"/>
    <x v="174"/>
    <x v="388"/>
    <x v="40"/>
    <x v="0"/>
    <x v="0"/>
  </r>
  <r>
    <x v="389"/>
    <x v="309"/>
    <x v="0"/>
    <x v="5"/>
    <x v="17"/>
    <x v="0"/>
    <x v="4"/>
    <x v="369"/>
    <x v="389"/>
    <x v="0"/>
    <x v="389"/>
    <x v="41"/>
    <x v="6"/>
    <x v="0"/>
  </r>
  <r>
    <x v="390"/>
    <x v="7"/>
    <x v="0"/>
    <x v="1"/>
    <x v="21"/>
    <x v="0"/>
    <x v="0"/>
    <x v="370"/>
    <x v="390"/>
    <x v="114"/>
    <x v="390"/>
    <x v="42"/>
    <x v="5"/>
    <x v="0"/>
  </r>
  <r>
    <x v="391"/>
    <x v="310"/>
    <x v="0"/>
    <x v="0"/>
    <x v="0"/>
    <x v="0"/>
    <x v="3"/>
    <x v="371"/>
    <x v="391"/>
    <x v="153"/>
    <x v="391"/>
    <x v="44"/>
    <x v="5"/>
    <x v="0"/>
  </r>
  <r>
    <x v="392"/>
    <x v="311"/>
    <x v="1"/>
    <x v="0"/>
    <x v="0"/>
    <x v="0"/>
    <x v="0"/>
    <x v="372"/>
    <x v="392"/>
    <x v="101"/>
    <x v="392"/>
    <x v="45"/>
    <x v="6"/>
    <x v="0"/>
  </r>
  <r>
    <x v="393"/>
    <x v="312"/>
    <x v="1"/>
    <x v="5"/>
    <x v="17"/>
    <x v="0"/>
    <x v="1"/>
    <x v="373"/>
    <x v="393"/>
    <x v="130"/>
    <x v="393"/>
    <x v="46"/>
    <x v="8"/>
    <x v="2"/>
  </r>
  <r>
    <x v="394"/>
    <x v="313"/>
    <x v="1"/>
    <x v="0"/>
    <x v="24"/>
    <x v="0"/>
    <x v="1"/>
    <x v="374"/>
    <x v="394"/>
    <x v="175"/>
    <x v="394"/>
    <x v="45"/>
    <x v="6"/>
    <x v="0"/>
  </r>
  <r>
    <x v="395"/>
    <x v="85"/>
    <x v="1"/>
    <x v="1"/>
    <x v="10"/>
    <x v="0"/>
    <x v="2"/>
    <x v="375"/>
    <x v="395"/>
    <x v="176"/>
    <x v="395"/>
    <x v="44"/>
    <x v="9"/>
    <x v="1"/>
  </r>
  <r>
    <x v="396"/>
    <x v="314"/>
    <x v="1"/>
    <x v="5"/>
    <x v="17"/>
    <x v="0"/>
    <x v="1"/>
    <x v="376"/>
    <x v="396"/>
    <x v="12"/>
    <x v="396"/>
    <x v="45"/>
    <x v="9"/>
    <x v="1"/>
  </r>
  <r>
    <x v="397"/>
    <x v="315"/>
    <x v="0"/>
    <x v="0"/>
    <x v="0"/>
    <x v="0"/>
    <x v="1"/>
    <x v="377"/>
    <x v="397"/>
    <x v="177"/>
    <x v="397"/>
    <x v="44"/>
    <x v="1"/>
    <x v="1"/>
  </r>
  <r>
    <x v="398"/>
    <x v="316"/>
    <x v="0"/>
    <x v="2"/>
    <x v="30"/>
    <x v="2"/>
    <x v="3"/>
    <x v="378"/>
    <x v="398"/>
    <x v="45"/>
    <x v="398"/>
    <x v="45"/>
    <x v="0"/>
    <x v="0"/>
  </r>
  <r>
    <x v="399"/>
    <x v="317"/>
    <x v="1"/>
    <x v="2"/>
    <x v="30"/>
    <x v="0"/>
    <x v="5"/>
    <x v="379"/>
    <x v="399"/>
    <x v="178"/>
    <x v="399"/>
    <x v="44"/>
    <x v="6"/>
    <x v="0"/>
  </r>
  <r>
    <x v="400"/>
    <x v="293"/>
    <x v="1"/>
    <x v="4"/>
    <x v="11"/>
    <x v="0"/>
    <x v="1"/>
    <x v="380"/>
    <x v="400"/>
    <x v="71"/>
    <x v="400"/>
    <x v="45"/>
    <x v="9"/>
    <x v="1"/>
  </r>
  <r>
    <x v="401"/>
    <x v="273"/>
    <x v="1"/>
    <x v="1"/>
    <x v="21"/>
    <x v="0"/>
    <x v="1"/>
    <x v="381"/>
    <x v="401"/>
    <x v="129"/>
    <x v="401"/>
    <x v="44"/>
    <x v="8"/>
    <x v="2"/>
  </r>
  <r>
    <x v="402"/>
    <x v="318"/>
    <x v="1"/>
    <x v="7"/>
    <x v="25"/>
    <x v="2"/>
    <x v="4"/>
    <x v="382"/>
    <x v="402"/>
    <x v="15"/>
    <x v="402"/>
    <x v="45"/>
    <x v="3"/>
    <x v="2"/>
  </r>
  <r>
    <x v="403"/>
    <x v="319"/>
    <x v="0"/>
    <x v="5"/>
    <x v="6"/>
    <x v="0"/>
    <x v="5"/>
    <x v="383"/>
    <x v="403"/>
    <x v="87"/>
    <x v="403"/>
    <x v="46"/>
    <x v="4"/>
    <x v="2"/>
  </r>
  <r>
    <x v="404"/>
    <x v="320"/>
    <x v="0"/>
    <x v="0"/>
    <x v="28"/>
    <x v="0"/>
    <x v="1"/>
    <x v="252"/>
    <x v="404"/>
    <x v="18"/>
    <x v="404"/>
    <x v="45"/>
    <x v="9"/>
    <x v="1"/>
  </r>
  <r>
    <x v="405"/>
    <x v="321"/>
    <x v="1"/>
    <x v="5"/>
    <x v="17"/>
    <x v="0"/>
    <x v="3"/>
    <x v="384"/>
    <x v="405"/>
    <x v="18"/>
    <x v="405"/>
    <x v="44"/>
    <x v="8"/>
    <x v="2"/>
  </r>
  <r>
    <x v="406"/>
    <x v="71"/>
    <x v="1"/>
    <x v="0"/>
    <x v="15"/>
    <x v="0"/>
    <x v="0"/>
    <x v="385"/>
    <x v="406"/>
    <x v="58"/>
    <x v="406"/>
    <x v="45"/>
    <x v="9"/>
    <x v="1"/>
  </r>
  <r>
    <x v="407"/>
    <x v="63"/>
    <x v="1"/>
    <x v="4"/>
    <x v="4"/>
    <x v="0"/>
    <x v="4"/>
    <x v="386"/>
    <x v="407"/>
    <x v="46"/>
    <x v="407"/>
    <x v="44"/>
    <x v="8"/>
    <x v="2"/>
  </r>
  <r>
    <x v="408"/>
    <x v="322"/>
    <x v="0"/>
    <x v="1"/>
    <x v="1"/>
    <x v="2"/>
    <x v="1"/>
    <x v="387"/>
    <x v="408"/>
    <x v="1"/>
    <x v="408"/>
    <x v="45"/>
    <x v="4"/>
    <x v="2"/>
  </r>
  <r>
    <x v="409"/>
    <x v="185"/>
    <x v="1"/>
    <x v="4"/>
    <x v="4"/>
    <x v="0"/>
    <x v="4"/>
    <x v="388"/>
    <x v="409"/>
    <x v="157"/>
    <x v="409"/>
    <x v="46"/>
    <x v="1"/>
    <x v="1"/>
  </r>
  <r>
    <x v="410"/>
    <x v="323"/>
    <x v="0"/>
    <x v="6"/>
    <x v="13"/>
    <x v="0"/>
    <x v="1"/>
    <x v="27"/>
    <x v="410"/>
    <x v="56"/>
    <x v="410"/>
    <x v="45"/>
    <x v="8"/>
    <x v="2"/>
  </r>
  <r>
    <x v="411"/>
    <x v="324"/>
    <x v="0"/>
    <x v="1"/>
    <x v="21"/>
    <x v="0"/>
    <x v="3"/>
    <x v="389"/>
    <x v="411"/>
    <x v="152"/>
    <x v="411"/>
    <x v="44"/>
    <x v="1"/>
    <x v="1"/>
  </r>
  <r>
    <x v="412"/>
    <x v="49"/>
    <x v="0"/>
    <x v="1"/>
    <x v="21"/>
    <x v="0"/>
    <x v="0"/>
    <x v="390"/>
    <x v="412"/>
    <x v="179"/>
    <x v="412"/>
    <x v="45"/>
    <x v="8"/>
    <x v="2"/>
  </r>
  <r>
    <x v="413"/>
    <x v="325"/>
    <x v="1"/>
    <x v="7"/>
    <x v="25"/>
    <x v="0"/>
    <x v="5"/>
    <x v="391"/>
    <x v="413"/>
    <x v="180"/>
    <x v="413"/>
    <x v="46"/>
    <x v="8"/>
    <x v="2"/>
  </r>
  <r>
    <x v="414"/>
    <x v="72"/>
    <x v="1"/>
    <x v="3"/>
    <x v="19"/>
    <x v="0"/>
    <x v="1"/>
    <x v="392"/>
    <x v="414"/>
    <x v="60"/>
    <x v="414"/>
    <x v="47"/>
    <x v="2"/>
    <x v="0"/>
  </r>
  <r>
    <x v="415"/>
    <x v="326"/>
    <x v="1"/>
    <x v="0"/>
    <x v="15"/>
    <x v="0"/>
    <x v="2"/>
    <x v="393"/>
    <x v="415"/>
    <x v="158"/>
    <x v="415"/>
    <x v="48"/>
    <x v="8"/>
    <x v="2"/>
  </r>
  <r>
    <x v="416"/>
    <x v="327"/>
    <x v="1"/>
    <x v="6"/>
    <x v="13"/>
    <x v="0"/>
    <x v="4"/>
    <x v="394"/>
    <x v="416"/>
    <x v="179"/>
    <x v="416"/>
    <x v="49"/>
    <x v="2"/>
    <x v="0"/>
  </r>
  <r>
    <x v="417"/>
    <x v="328"/>
    <x v="1"/>
    <x v="0"/>
    <x v="0"/>
    <x v="0"/>
    <x v="4"/>
    <x v="395"/>
    <x v="417"/>
    <x v="181"/>
    <x v="417"/>
    <x v="48"/>
    <x v="6"/>
    <x v="0"/>
  </r>
  <r>
    <x v="418"/>
    <x v="104"/>
    <x v="0"/>
    <x v="2"/>
    <x v="8"/>
    <x v="0"/>
    <x v="3"/>
    <x v="396"/>
    <x v="418"/>
    <x v="39"/>
    <x v="418"/>
    <x v="49"/>
    <x v="4"/>
    <x v="2"/>
  </r>
  <r>
    <x v="419"/>
    <x v="329"/>
    <x v="1"/>
    <x v="2"/>
    <x v="2"/>
    <x v="0"/>
    <x v="4"/>
    <x v="397"/>
    <x v="419"/>
    <x v="147"/>
    <x v="419"/>
    <x v="48"/>
    <x v="0"/>
    <x v="0"/>
  </r>
  <r>
    <x v="420"/>
    <x v="330"/>
    <x v="1"/>
    <x v="5"/>
    <x v="29"/>
    <x v="2"/>
    <x v="3"/>
    <x v="398"/>
    <x v="420"/>
    <x v="49"/>
    <x v="420"/>
    <x v="47"/>
    <x v="3"/>
    <x v="2"/>
  </r>
  <r>
    <x v="421"/>
    <x v="331"/>
    <x v="0"/>
    <x v="5"/>
    <x v="17"/>
    <x v="0"/>
    <x v="3"/>
    <x v="399"/>
    <x v="421"/>
    <x v="120"/>
    <x v="421"/>
    <x v="48"/>
    <x v="4"/>
    <x v="2"/>
  </r>
  <r>
    <x v="422"/>
    <x v="332"/>
    <x v="1"/>
    <x v="4"/>
    <x v="11"/>
    <x v="0"/>
    <x v="2"/>
    <x v="400"/>
    <x v="422"/>
    <x v="156"/>
    <x v="422"/>
    <x v="47"/>
    <x v="8"/>
    <x v="2"/>
  </r>
  <r>
    <x v="423"/>
    <x v="333"/>
    <x v="0"/>
    <x v="7"/>
    <x v="25"/>
    <x v="0"/>
    <x v="0"/>
    <x v="401"/>
    <x v="423"/>
    <x v="182"/>
    <x v="423"/>
    <x v="46"/>
    <x v="2"/>
    <x v="0"/>
  </r>
  <r>
    <x v="424"/>
    <x v="334"/>
    <x v="1"/>
    <x v="4"/>
    <x v="12"/>
    <x v="0"/>
    <x v="1"/>
    <x v="402"/>
    <x v="424"/>
    <x v="127"/>
    <x v="424"/>
    <x v="47"/>
    <x v="9"/>
    <x v="1"/>
  </r>
  <r>
    <x v="425"/>
    <x v="335"/>
    <x v="1"/>
    <x v="7"/>
    <x v="26"/>
    <x v="0"/>
    <x v="1"/>
    <x v="403"/>
    <x v="425"/>
    <x v="37"/>
    <x v="425"/>
    <x v="46"/>
    <x v="5"/>
    <x v="0"/>
  </r>
  <r>
    <x v="426"/>
    <x v="336"/>
    <x v="0"/>
    <x v="0"/>
    <x v="0"/>
    <x v="0"/>
    <x v="2"/>
    <x v="404"/>
    <x v="426"/>
    <x v="183"/>
    <x v="426"/>
    <x v="47"/>
    <x v="8"/>
    <x v="2"/>
  </r>
  <r>
    <x v="427"/>
    <x v="337"/>
    <x v="1"/>
    <x v="5"/>
    <x v="6"/>
    <x v="0"/>
    <x v="2"/>
    <x v="405"/>
    <x v="427"/>
    <x v="47"/>
    <x v="427"/>
    <x v="48"/>
    <x v="0"/>
    <x v="0"/>
  </r>
  <r>
    <x v="428"/>
    <x v="143"/>
    <x v="0"/>
    <x v="0"/>
    <x v="28"/>
    <x v="0"/>
    <x v="5"/>
    <x v="406"/>
    <x v="428"/>
    <x v="56"/>
    <x v="428"/>
    <x v="47"/>
    <x v="2"/>
    <x v="0"/>
  </r>
  <r>
    <x v="429"/>
    <x v="338"/>
    <x v="0"/>
    <x v="4"/>
    <x v="4"/>
    <x v="0"/>
    <x v="3"/>
    <x v="185"/>
    <x v="429"/>
    <x v="172"/>
    <x v="429"/>
    <x v="46"/>
    <x v="3"/>
    <x v="2"/>
  </r>
  <r>
    <x v="430"/>
    <x v="339"/>
    <x v="1"/>
    <x v="4"/>
    <x v="20"/>
    <x v="0"/>
    <x v="2"/>
    <x v="407"/>
    <x v="430"/>
    <x v="99"/>
    <x v="430"/>
    <x v="45"/>
    <x v="0"/>
    <x v="0"/>
  </r>
  <r>
    <x v="431"/>
    <x v="340"/>
    <x v="1"/>
    <x v="2"/>
    <x v="8"/>
    <x v="0"/>
    <x v="1"/>
    <x v="408"/>
    <x v="431"/>
    <x v="0"/>
    <x v="431"/>
    <x v="46"/>
    <x v="2"/>
    <x v="0"/>
  </r>
  <r>
    <x v="432"/>
    <x v="83"/>
    <x v="1"/>
    <x v="3"/>
    <x v="19"/>
    <x v="0"/>
    <x v="5"/>
    <x v="409"/>
    <x v="432"/>
    <x v="117"/>
    <x v="432"/>
    <x v="47"/>
    <x v="4"/>
    <x v="2"/>
  </r>
  <r>
    <x v="433"/>
    <x v="323"/>
    <x v="0"/>
    <x v="4"/>
    <x v="5"/>
    <x v="0"/>
    <x v="0"/>
    <x v="81"/>
    <x v="433"/>
    <x v="184"/>
    <x v="433"/>
    <x v="48"/>
    <x v="4"/>
    <x v="2"/>
  </r>
  <r>
    <x v="434"/>
    <x v="341"/>
    <x v="1"/>
    <x v="4"/>
    <x v="11"/>
    <x v="0"/>
    <x v="3"/>
    <x v="410"/>
    <x v="434"/>
    <x v="174"/>
    <x v="434"/>
    <x v="49"/>
    <x v="0"/>
    <x v="0"/>
  </r>
  <r>
    <x v="435"/>
    <x v="342"/>
    <x v="1"/>
    <x v="2"/>
    <x v="23"/>
    <x v="0"/>
    <x v="3"/>
    <x v="411"/>
    <x v="435"/>
    <x v="58"/>
    <x v="435"/>
    <x v="50"/>
    <x v="0"/>
    <x v="0"/>
  </r>
  <r>
    <x v="436"/>
    <x v="343"/>
    <x v="1"/>
    <x v="4"/>
    <x v="9"/>
    <x v="2"/>
    <x v="1"/>
    <x v="412"/>
    <x v="436"/>
    <x v="185"/>
    <x v="436"/>
    <x v="49"/>
    <x v="2"/>
    <x v="0"/>
  </r>
  <r>
    <x v="437"/>
    <x v="201"/>
    <x v="0"/>
    <x v="5"/>
    <x v="17"/>
    <x v="2"/>
    <x v="4"/>
    <x v="157"/>
    <x v="437"/>
    <x v="168"/>
    <x v="437"/>
    <x v="48"/>
    <x v="7"/>
    <x v="1"/>
  </r>
  <r>
    <x v="438"/>
    <x v="96"/>
    <x v="1"/>
    <x v="2"/>
    <x v="23"/>
    <x v="2"/>
    <x v="4"/>
    <x v="413"/>
    <x v="438"/>
    <x v="186"/>
    <x v="438"/>
    <x v="49"/>
    <x v="2"/>
    <x v="0"/>
  </r>
  <r>
    <x v="439"/>
    <x v="344"/>
    <x v="0"/>
    <x v="4"/>
    <x v="5"/>
    <x v="0"/>
    <x v="1"/>
    <x v="414"/>
    <x v="439"/>
    <x v="43"/>
    <x v="439"/>
    <x v="48"/>
    <x v="0"/>
    <x v="0"/>
  </r>
  <r>
    <x v="440"/>
    <x v="345"/>
    <x v="0"/>
    <x v="4"/>
    <x v="12"/>
    <x v="0"/>
    <x v="3"/>
    <x v="415"/>
    <x v="440"/>
    <x v="158"/>
    <x v="440"/>
    <x v="47"/>
    <x v="1"/>
    <x v="1"/>
  </r>
  <r>
    <x v="441"/>
    <x v="174"/>
    <x v="2"/>
    <x v="1"/>
    <x v="21"/>
    <x v="0"/>
    <x v="4"/>
    <x v="416"/>
    <x v="441"/>
    <x v="12"/>
    <x v="441"/>
    <x v="46"/>
    <x v="7"/>
    <x v="1"/>
  </r>
  <r>
    <x v="442"/>
    <x v="271"/>
    <x v="0"/>
    <x v="0"/>
    <x v="28"/>
    <x v="1"/>
    <x v="2"/>
    <x v="417"/>
    <x v="442"/>
    <x v="147"/>
    <x v="442"/>
    <x v="47"/>
    <x v="0"/>
    <x v="0"/>
  </r>
  <r>
    <x v="443"/>
    <x v="346"/>
    <x v="0"/>
    <x v="0"/>
    <x v="24"/>
    <x v="2"/>
    <x v="0"/>
    <x v="84"/>
    <x v="443"/>
    <x v="156"/>
    <x v="443"/>
    <x v="48"/>
    <x v="8"/>
    <x v="2"/>
  </r>
  <r>
    <x v="444"/>
    <x v="347"/>
    <x v="0"/>
    <x v="5"/>
    <x v="6"/>
    <x v="0"/>
    <x v="5"/>
    <x v="418"/>
    <x v="444"/>
    <x v="166"/>
    <x v="444"/>
    <x v="47"/>
    <x v="8"/>
    <x v="2"/>
  </r>
  <r>
    <x v="445"/>
    <x v="348"/>
    <x v="0"/>
    <x v="1"/>
    <x v="21"/>
    <x v="0"/>
    <x v="1"/>
    <x v="419"/>
    <x v="445"/>
    <x v="0"/>
    <x v="445"/>
    <x v="46"/>
    <x v="3"/>
    <x v="2"/>
  </r>
  <r>
    <x v="446"/>
    <x v="349"/>
    <x v="0"/>
    <x v="1"/>
    <x v="1"/>
    <x v="0"/>
    <x v="3"/>
    <x v="420"/>
    <x v="446"/>
    <x v="187"/>
    <x v="446"/>
    <x v="47"/>
    <x v="4"/>
    <x v="2"/>
  </r>
  <r>
    <x v="447"/>
    <x v="350"/>
    <x v="1"/>
    <x v="2"/>
    <x v="2"/>
    <x v="0"/>
    <x v="5"/>
    <x v="421"/>
    <x v="447"/>
    <x v="188"/>
    <x v="447"/>
    <x v="48"/>
    <x v="4"/>
    <x v="2"/>
  </r>
  <r>
    <x v="448"/>
    <x v="351"/>
    <x v="0"/>
    <x v="0"/>
    <x v="15"/>
    <x v="0"/>
    <x v="5"/>
    <x v="422"/>
    <x v="448"/>
    <x v="34"/>
    <x v="448"/>
    <x v="47"/>
    <x v="8"/>
    <x v="2"/>
  </r>
  <r>
    <x v="449"/>
    <x v="352"/>
    <x v="1"/>
    <x v="4"/>
    <x v="5"/>
    <x v="0"/>
    <x v="2"/>
    <x v="32"/>
    <x v="449"/>
    <x v="83"/>
    <x v="449"/>
    <x v="46"/>
    <x v="8"/>
    <x v="2"/>
  </r>
  <r>
    <x v="450"/>
    <x v="132"/>
    <x v="0"/>
    <x v="5"/>
    <x v="17"/>
    <x v="0"/>
    <x v="3"/>
    <x v="423"/>
    <x v="450"/>
    <x v="30"/>
    <x v="450"/>
    <x v="45"/>
    <x v="9"/>
    <x v="1"/>
  </r>
  <r>
    <x v="451"/>
    <x v="353"/>
    <x v="0"/>
    <x v="7"/>
    <x v="14"/>
    <x v="0"/>
    <x v="1"/>
    <x v="163"/>
    <x v="451"/>
    <x v="0"/>
    <x v="451"/>
    <x v="46"/>
    <x v="9"/>
    <x v="1"/>
  </r>
  <r>
    <x v="452"/>
    <x v="354"/>
    <x v="1"/>
    <x v="0"/>
    <x v="15"/>
    <x v="2"/>
    <x v="3"/>
    <x v="424"/>
    <x v="452"/>
    <x v="14"/>
    <x v="452"/>
    <x v="47"/>
    <x v="0"/>
    <x v="0"/>
  </r>
  <r>
    <x v="453"/>
    <x v="355"/>
    <x v="1"/>
    <x v="1"/>
    <x v="1"/>
    <x v="0"/>
    <x v="1"/>
    <x v="425"/>
    <x v="453"/>
    <x v="102"/>
    <x v="453"/>
    <x v="46"/>
    <x v="4"/>
    <x v="2"/>
  </r>
  <r>
    <x v="454"/>
    <x v="220"/>
    <x v="1"/>
    <x v="4"/>
    <x v="11"/>
    <x v="0"/>
    <x v="3"/>
    <x v="426"/>
    <x v="454"/>
    <x v="95"/>
    <x v="454"/>
    <x v="47"/>
    <x v="9"/>
    <x v="1"/>
  </r>
  <r>
    <x v="455"/>
    <x v="131"/>
    <x v="0"/>
    <x v="7"/>
    <x v="26"/>
    <x v="0"/>
    <x v="3"/>
    <x v="427"/>
    <x v="455"/>
    <x v="137"/>
    <x v="455"/>
    <x v="48"/>
    <x v="8"/>
    <x v="2"/>
  </r>
  <r>
    <x v="456"/>
    <x v="94"/>
    <x v="0"/>
    <x v="4"/>
    <x v="5"/>
    <x v="2"/>
    <x v="4"/>
    <x v="428"/>
    <x v="456"/>
    <x v="108"/>
    <x v="456"/>
    <x v="47"/>
    <x v="1"/>
    <x v="1"/>
  </r>
  <r>
    <x v="457"/>
    <x v="356"/>
    <x v="1"/>
    <x v="0"/>
    <x v="28"/>
    <x v="0"/>
    <x v="4"/>
    <x v="429"/>
    <x v="457"/>
    <x v="126"/>
    <x v="457"/>
    <x v="46"/>
    <x v="6"/>
    <x v="0"/>
  </r>
  <r>
    <x v="458"/>
    <x v="357"/>
    <x v="0"/>
    <x v="4"/>
    <x v="11"/>
    <x v="1"/>
    <x v="0"/>
    <x v="430"/>
    <x v="458"/>
    <x v="0"/>
    <x v="458"/>
    <x v="47"/>
    <x v="2"/>
    <x v="0"/>
  </r>
  <r>
    <x v="459"/>
    <x v="99"/>
    <x v="1"/>
    <x v="4"/>
    <x v="5"/>
    <x v="0"/>
    <x v="0"/>
    <x v="431"/>
    <x v="459"/>
    <x v="0"/>
    <x v="459"/>
    <x v="46"/>
    <x v="8"/>
    <x v="2"/>
  </r>
  <r>
    <x v="460"/>
    <x v="358"/>
    <x v="1"/>
    <x v="4"/>
    <x v="9"/>
    <x v="0"/>
    <x v="0"/>
    <x v="432"/>
    <x v="460"/>
    <x v="71"/>
    <x v="460"/>
    <x v="45"/>
    <x v="3"/>
    <x v="2"/>
  </r>
  <r>
    <x v="461"/>
    <x v="252"/>
    <x v="1"/>
    <x v="3"/>
    <x v="3"/>
    <x v="0"/>
    <x v="4"/>
    <x v="433"/>
    <x v="461"/>
    <x v="178"/>
    <x v="461"/>
    <x v="44"/>
    <x v="3"/>
    <x v="2"/>
  </r>
  <r>
    <x v="462"/>
    <x v="252"/>
    <x v="1"/>
    <x v="2"/>
    <x v="23"/>
    <x v="0"/>
    <x v="4"/>
    <x v="434"/>
    <x v="462"/>
    <x v="189"/>
    <x v="462"/>
    <x v="45"/>
    <x v="6"/>
    <x v="0"/>
  </r>
  <r>
    <x v="463"/>
    <x v="359"/>
    <x v="1"/>
    <x v="7"/>
    <x v="14"/>
    <x v="0"/>
    <x v="4"/>
    <x v="435"/>
    <x v="463"/>
    <x v="70"/>
    <x v="463"/>
    <x v="44"/>
    <x v="0"/>
    <x v="0"/>
  </r>
  <r>
    <x v="464"/>
    <x v="360"/>
    <x v="1"/>
    <x v="1"/>
    <x v="10"/>
    <x v="2"/>
    <x v="3"/>
    <x v="436"/>
    <x v="464"/>
    <x v="184"/>
    <x v="464"/>
    <x v="42"/>
    <x v="4"/>
    <x v="2"/>
  </r>
  <r>
    <x v="465"/>
    <x v="361"/>
    <x v="1"/>
    <x v="0"/>
    <x v="0"/>
    <x v="2"/>
    <x v="5"/>
    <x v="437"/>
    <x v="465"/>
    <x v="165"/>
    <x v="465"/>
    <x v="41"/>
    <x v="0"/>
    <x v="0"/>
  </r>
  <r>
    <x v="466"/>
    <x v="362"/>
    <x v="1"/>
    <x v="6"/>
    <x v="16"/>
    <x v="0"/>
    <x v="1"/>
    <x v="438"/>
    <x v="466"/>
    <x v="190"/>
    <x v="466"/>
    <x v="42"/>
    <x v="9"/>
    <x v="1"/>
  </r>
  <r>
    <x v="467"/>
    <x v="363"/>
    <x v="0"/>
    <x v="5"/>
    <x v="17"/>
    <x v="0"/>
    <x v="3"/>
    <x v="439"/>
    <x v="467"/>
    <x v="0"/>
    <x v="467"/>
    <x v="41"/>
    <x v="7"/>
    <x v="1"/>
  </r>
  <r>
    <x v="468"/>
    <x v="364"/>
    <x v="0"/>
    <x v="6"/>
    <x v="16"/>
    <x v="0"/>
    <x v="2"/>
    <x v="440"/>
    <x v="468"/>
    <x v="136"/>
    <x v="468"/>
    <x v="42"/>
    <x v="2"/>
    <x v="0"/>
  </r>
  <r>
    <x v="469"/>
    <x v="365"/>
    <x v="1"/>
    <x v="1"/>
    <x v="10"/>
    <x v="0"/>
    <x v="2"/>
    <x v="441"/>
    <x v="469"/>
    <x v="191"/>
    <x v="469"/>
    <x v="41"/>
    <x v="1"/>
    <x v="1"/>
  </r>
  <r>
    <x v="470"/>
    <x v="366"/>
    <x v="1"/>
    <x v="4"/>
    <x v="20"/>
    <x v="0"/>
    <x v="4"/>
    <x v="442"/>
    <x v="470"/>
    <x v="156"/>
    <x v="470"/>
    <x v="40"/>
    <x v="0"/>
    <x v="0"/>
  </r>
  <r>
    <x v="471"/>
    <x v="355"/>
    <x v="1"/>
    <x v="1"/>
    <x v="10"/>
    <x v="0"/>
    <x v="5"/>
    <x v="443"/>
    <x v="471"/>
    <x v="100"/>
    <x v="471"/>
    <x v="39"/>
    <x v="3"/>
    <x v="2"/>
  </r>
  <r>
    <x v="472"/>
    <x v="367"/>
    <x v="1"/>
    <x v="4"/>
    <x v="4"/>
    <x v="2"/>
    <x v="5"/>
    <x v="444"/>
    <x v="472"/>
    <x v="47"/>
    <x v="472"/>
    <x v="40"/>
    <x v="1"/>
    <x v="1"/>
  </r>
  <r>
    <x v="473"/>
    <x v="368"/>
    <x v="1"/>
    <x v="5"/>
    <x v="17"/>
    <x v="0"/>
    <x v="4"/>
    <x v="445"/>
    <x v="473"/>
    <x v="192"/>
    <x v="473"/>
    <x v="39"/>
    <x v="6"/>
    <x v="0"/>
  </r>
  <r>
    <x v="474"/>
    <x v="247"/>
    <x v="1"/>
    <x v="7"/>
    <x v="32"/>
    <x v="0"/>
    <x v="3"/>
    <x v="446"/>
    <x v="474"/>
    <x v="79"/>
    <x v="474"/>
    <x v="40"/>
    <x v="0"/>
    <x v="0"/>
  </r>
  <r>
    <x v="475"/>
    <x v="153"/>
    <x v="0"/>
    <x v="1"/>
    <x v="1"/>
    <x v="0"/>
    <x v="4"/>
    <x v="447"/>
    <x v="475"/>
    <x v="48"/>
    <x v="475"/>
    <x v="41"/>
    <x v="5"/>
    <x v="0"/>
  </r>
  <r>
    <x v="476"/>
    <x v="80"/>
    <x v="0"/>
    <x v="4"/>
    <x v="4"/>
    <x v="0"/>
    <x v="4"/>
    <x v="448"/>
    <x v="476"/>
    <x v="154"/>
    <x v="476"/>
    <x v="42"/>
    <x v="1"/>
    <x v="1"/>
  </r>
  <r>
    <x v="477"/>
    <x v="369"/>
    <x v="0"/>
    <x v="7"/>
    <x v="18"/>
    <x v="0"/>
    <x v="3"/>
    <x v="449"/>
    <x v="477"/>
    <x v="122"/>
    <x v="477"/>
    <x v="41"/>
    <x v="4"/>
    <x v="2"/>
  </r>
  <r>
    <x v="478"/>
    <x v="370"/>
    <x v="0"/>
    <x v="1"/>
    <x v="10"/>
    <x v="2"/>
    <x v="1"/>
    <x v="450"/>
    <x v="478"/>
    <x v="34"/>
    <x v="478"/>
    <x v="42"/>
    <x v="4"/>
    <x v="2"/>
  </r>
  <r>
    <x v="479"/>
    <x v="371"/>
    <x v="0"/>
    <x v="7"/>
    <x v="32"/>
    <x v="0"/>
    <x v="4"/>
    <x v="347"/>
    <x v="479"/>
    <x v="193"/>
    <x v="479"/>
    <x v="44"/>
    <x v="3"/>
    <x v="2"/>
  </r>
  <r>
    <x v="480"/>
    <x v="372"/>
    <x v="1"/>
    <x v="3"/>
    <x v="27"/>
    <x v="2"/>
    <x v="2"/>
    <x v="451"/>
    <x v="480"/>
    <x v="160"/>
    <x v="480"/>
    <x v="45"/>
    <x v="3"/>
    <x v="2"/>
  </r>
  <r>
    <x v="481"/>
    <x v="373"/>
    <x v="1"/>
    <x v="2"/>
    <x v="23"/>
    <x v="0"/>
    <x v="2"/>
    <x v="452"/>
    <x v="481"/>
    <x v="191"/>
    <x v="481"/>
    <x v="44"/>
    <x v="8"/>
    <x v="2"/>
  </r>
  <r>
    <x v="482"/>
    <x v="374"/>
    <x v="1"/>
    <x v="0"/>
    <x v="24"/>
    <x v="2"/>
    <x v="5"/>
    <x v="453"/>
    <x v="482"/>
    <x v="102"/>
    <x v="482"/>
    <x v="42"/>
    <x v="6"/>
    <x v="0"/>
  </r>
  <r>
    <x v="483"/>
    <x v="375"/>
    <x v="0"/>
    <x v="3"/>
    <x v="7"/>
    <x v="1"/>
    <x v="3"/>
    <x v="454"/>
    <x v="483"/>
    <x v="163"/>
    <x v="483"/>
    <x v="44"/>
    <x v="2"/>
    <x v="0"/>
  </r>
  <r>
    <x v="484"/>
    <x v="99"/>
    <x v="0"/>
    <x v="7"/>
    <x v="32"/>
    <x v="0"/>
    <x v="5"/>
    <x v="455"/>
    <x v="484"/>
    <x v="153"/>
    <x v="484"/>
    <x v="45"/>
    <x v="2"/>
    <x v="0"/>
  </r>
  <r>
    <x v="485"/>
    <x v="376"/>
    <x v="0"/>
    <x v="1"/>
    <x v="1"/>
    <x v="1"/>
    <x v="4"/>
    <x v="456"/>
    <x v="485"/>
    <x v="109"/>
    <x v="485"/>
    <x v="46"/>
    <x v="5"/>
    <x v="0"/>
  </r>
  <r>
    <x v="486"/>
    <x v="199"/>
    <x v="1"/>
    <x v="4"/>
    <x v="9"/>
    <x v="0"/>
    <x v="1"/>
    <x v="457"/>
    <x v="486"/>
    <x v="129"/>
    <x v="486"/>
    <x v="47"/>
    <x v="4"/>
    <x v="2"/>
  </r>
  <r>
    <x v="487"/>
    <x v="377"/>
    <x v="0"/>
    <x v="6"/>
    <x v="31"/>
    <x v="0"/>
    <x v="2"/>
    <x v="458"/>
    <x v="487"/>
    <x v="120"/>
    <x v="487"/>
    <x v="48"/>
    <x v="4"/>
    <x v="2"/>
  </r>
  <r>
    <x v="488"/>
    <x v="378"/>
    <x v="1"/>
    <x v="1"/>
    <x v="1"/>
    <x v="0"/>
    <x v="2"/>
    <x v="459"/>
    <x v="488"/>
    <x v="194"/>
    <x v="488"/>
    <x v="47"/>
    <x v="9"/>
    <x v="1"/>
  </r>
  <r>
    <x v="489"/>
    <x v="379"/>
    <x v="0"/>
    <x v="5"/>
    <x v="17"/>
    <x v="0"/>
    <x v="4"/>
    <x v="460"/>
    <x v="489"/>
    <x v="195"/>
    <x v="489"/>
    <x v="48"/>
    <x v="2"/>
    <x v="0"/>
  </r>
  <r>
    <x v="490"/>
    <x v="380"/>
    <x v="1"/>
    <x v="0"/>
    <x v="0"/>
    <x v="2"/>
    <x v="2"/>
    <x v="461"/>
    <x v="490"/>
    <x v="196"/>
    <x v="490"/>
    <x v="49"/>
    <x v="1"/>
    <x v="1"/>
  </r>
  <r>
    <x v="491"/>
    <x v="381"/>
    <x v="1"/>
    <x v="3"/>
    <x v="19"/>
    <x v="0"/>
    <x v="4"/>
    <x v="462"/>
    <x v="491"/>
    <x v="38"/>
    <x v="491"/>
    <x v="50"/>
    <x v="8"/>
    <x v="2"/>
  </r>
  <r>
    <x v="492"/>
    <x v="382"/>
    <x v="1"/>
    <x v="6"/>
    <x v="13"/>
    <x v="0"/>
    <x v="4"/>
    <x v="66"/>
    <x v="492"/>
    <x v="140"/>
    <x v="492"/>
    <x v="51"/>
    <x v="0"/>
    <x v="0"/>
  </r>
  <r>
    <x v="493"/>
    <x v="124"/>
    <x v="1"/>
    <x v="4"/>
    <x v="11"/>
    <x v="0"/>
    <x v="3"/>
    <x v="463"/>
    <x v="493"/>
    <x v="143"/>
    <x v="493"/>
    <x v="50"/>
    <x v="9"/>
    <x v="1"/>
  </r>
  <r>
    <x v="494"/>
    <x v="383"/>
    <x v="1"/>
    <x v="0"/>
    <x v="28"/>
    <x v="0"/>
    <x v="0"/>
    <x v="464"/>
    <x v="494"/>
    <x v="145"/>
    <x v="494"/>
    <x v="49"/>
    <x v="8"/>
    <x v="2"/>
  </r>
  <r>
    <x v="495"/>
    <x v="3"/>
    <x v="0"/>
    <x v="0"/>
    <x v="28"/>
    <x v="0"/>
    <x v="0"/>
    <x v="465"/>
    <x v="495"/>
    <x v="51"/>
    <x v="495"/>
    <x v="48"/>
    <x v="1"/>
    <x v="1"/>
  </r>
  <r>
    <x v="496"/>
    <x v="384"/>
    <x v="1"/>
    <x v="7"/>
    <x v="14"/>
    <x v="0"/>
    <x v="3"/>
    <x v="466"/>
    <x v="496"/>
    <x v="163"/>
    <x v="496"/>
    <x v="47"/>
    <x v="2"/>
    <x v="0"/>
  </r>
  <r>
    <x v="497"/>
    <x v="385"/>
    <x v="1"/>
    <x v="4"/>
    <x v="20"/>
    <x v="0"/>
    <x v="2"/>
    <x v="109"/>
    <x v="497"/>
    <x v="120"/>
    <x v="497"/>
    <x v="48"/>
    <x v="0"/>
    <x v="0"/>
  </r>
  <r>
    <x v="498"/>
    <x v="245"/>
    <x v="1"/>
    <x v="1"/>
    <x v="1"/>
    <x v="0"/>
    <x v="5"/>
    <x v="170"/>
    <x v="498"/>
    <x v="90"/>
    <x v="498"/>
    <x v="49"/>
    <x v="2"/>
    <x v="0"/>
  </r>
  <r>
    <x v="499"/>
    <x v="386"/>
    <x v="1"/>
    <x v="1"/>
    <x v="10"/>
    <x v="0"/>
    <x v="1"/>
    <x v="467"/>
    <x v="499"/>
    <x v="178"/>
    <x v="499"/>
    <x v="50"/>
    <x v="0"/>
    <x v="0"/>
  </r>
  <r>
    <x v="500"/>
    <x v="366"/>
    <x v="0"/>
    <x v="2"/>
    <x v="8"/>
    <x v="1"/>
    <x v="5"/>
    <x v="468"/>
    <x v="500"/>
    <x v="197"/>
    <x v="500"/>
    <x v="51"/>
    <x v="8"/>
    <x v="2"/>
  </r>
  <r>
    <x v="501"/>
    <x v="92"/>
    <x v="1"/>
    <x v="7"/>
    <x v="32"/>
    <x v="0"/>
    <x v="5"/>
    <x v="469"/>
    <x v="501"/>
    <x v="182"/>
    <x v="501"/>
    <x v="52"/>
    <x v="1"/>
    <x v="1"/>
  </r>
  <r>
    <x v="502"/>
    <x v="387"/>
    <x v="1"/>
    <x v="6"/>
    <x v="13"/>
    <x v="2"/>
    <x v="1"/>
    <x v="470"/>
    <x v="502"/>
    <x v="80"/>
    <x v="502"/>
    <x v="53"/>
    <x v="4"/>
    <x v="2"/>
  </r>
  <r>
    <x v="503"/>
    <x v="308"/>
    <x v="0"/>
    <x v="5"/>
    <x v="29"/>
    <x v="2"/>
    <x v="0"/>
    <x v="471"/>
    <x v="503"/>
    <x v="61"/>
    <x v="503"/>
    <x v="54"/>
    <x v="5"/>
    <x v="0"/>
  </r>
  <r>
    <x v="504"/>
    <x v="388"/>
    <x v="1"/>
    <x v="2"/>
    <x v="8"/>
    <x v="0"/>
    <x v="2"/>
    <x v="472"/>
    <x v="504"/>
    <x v="109"/>
    <x v="504"/>
    <x v="55"/>
    <x v="5"/>
    <x v="0"/>
  </r>
  <r>
    <x v="505"/>
    <x v="343"/>
    <x v="0"/>
    <x v="4"/>
    <x v="9"/>
    <x v="0"/>
    <x v="5"/>
    <x v="473"/>
    <x v="505"/>
    <x v="41"/>
    <x v="505"/>
    <x v="56"/>
    <x v="1"/>
    <x v="1"/>
  </r>
  <r>
    <x v="506"/>
    <x v="278"/>
    <x v="1"/>
    <x v="1"/>
    <x v="1"/>
    <x v="0"/>
    <x v="1"/>
    <x v="474"/>
    <x v="506"/>
    <x v="176"/>
    <x v="506"/>
    <x v="55"/>
    <x v="7"/>
    <x v="1"/>
  </r>
  <r>
    <x v="507"/>
    <x v="39"/>
    <x v="1"/>
    <x v="5"/>
    <x v="17"/>
    <x v="0"/>
    <x v="2"/>
    <x v="188"/>
    <x v="507"/>
    <x v="194"/>
    <x v="507"/>
    <x v="56"/>
    <x v="1"/>
    <x v="1"/>
  </r>
  <r>
    <x v="508"/>
    <x v="389"/>
    <x v="1"/>
    <x v="1"/>
    <x v="1"/>
    <x v="0"/>
    <x v="1"/>
    <x v="475"/>
    <x v="508"/>
    <x v="149"/>
    <x v="508"/>
    <x v="57"/>
    <x v="8"/>
    <x v="2"/>
  </r>
  <r>
    <x v="509"/>
    <x v="212"/>
    <x v="1"/>
    <x v="2"/>
    <x v="30"/>
    <x v="0"/>
    <x v="2"/>
    <x v="476"/>
    <x v="509"/>
    <x v="198"/>
    <x v="509"/>
    <x v="58"/>
    <x v="6"/>
    <x v="0"/>
  </r>
  <r>
    <x v="510"/>
    <x v="390"/>
    <x v="1"/>
    <x v="3"/>
    <x v="27"/>
    <x v="2"/>
    <x v="3"/>
    <x v="477"/>
    <x v="510"/>
    <x v="0"/>
    <x v="510"/>
    <x v="57"/>
    <x v="2"/>
    <x v="0"/>
  </r>
  <r>
    <x v="511"/>
    <x v="391"/>
    <x v="1"/>
    <x v="0"/>
    <x v="28"/>
    <x v="0"/>
    <x v="1"/>
    <x v="478"/>
    <x v="511"/>
    <x v="188"/>
    <x v="511"/>
    <x v="58"/>
    <x v="0"/>
    <x v="0"/>
  </r>
  <r>
    <x v="512"/>
    <x v="246"/>
    <x v="0"/>
    <x v="1"/>
    <x v="10"/>
    <x v="0"/>
    <x v="0"/>
    <x v="479"/>
    <x v="512"/>
    <x v="39"/>
    <x v="512"/>
    <x v="57"/>
    <x v="8"/>
    <x v="2"/>
  </r>
  <r>
    <x v="513"/>
    <x v="79"/>
    <x v="1"/>
    <x v="5"/>
    <x v="29"/>
    <x v="0"/>
    <x v="5"/>
    <x v="480"/>
    <x v="513"/>
    <x v="39"/>
    <x v="513"/>
    <x v="58"/>
    <x v="1"/>
    <x v="1"/>
  </r>
  <r>
    <x v="514"/>
    <x v="392"/>
    <x v="0"/>
    <x v="4"/>
    <x v="11"/>
    <x v="0"/>
    <x v="1"/>
    <x v="481"/>
    <x v="514"/>
    <x v="199"/>
    <x v="514"/>
    <x v="59"/>
    <x v="6"/>
    <x v="0"/>
  </r>
  <r>
    <x v="515"/>
    <x v="393"/>
    <x v="0"/>
    <x v="4"/>
    <x v="11"/>
    <x v="0"/>
    <x v="0"/>
    <x v="482"/>
    <x v="515"/>
    <x v="14"/>
    <x v="515"/>
    <x v="58"/>
    <x v="2"/>
    <x v="0"/>
  </r>
  <r>
    <x v="516"/>
    <x v="12"/>
    <x v="1"/>
    <x v="0"/>
    <x v="28"/>
    <x v="2"/>
    <x v="0"/>
    <x v="350"/>
    <x v="516"/>
    <x v="42"/>
    <x v="516"/>
    <x v="60"/>
    <x v="2"/>
    <x v="0"/>
  </r>
  <r>
    <x v="517"/>
    <x v="394"/>
    <x v="1"/>
    <x v="5"/>
    <x v="6"/>
    <x v="0"/>
    <x v="5"/>
    <x v="483"/>
    <x v="517"/>
    <x v="200"/>
    <x v="517"/>
    <x v="56"/>
    <x v="1"/>
    <x v="1"/>
  </r>
  <r>
    <x v="518"/>
    <x v="322"/>
    <x v="1"/>
    <x v="1"/>
    <x v="21"/>
    <x v="0"/>
    <x v="3"/>
    <x v="484"/>
    <x v="518"/>
    <x v="19"/>
    <x v="518"/>
    <x v="60"/>
    <x v="1"/>
    <x v="1"/>
  </r>
  <r>
    <x v="519"/>
    <x v="238"/>
    <x v="1"/>
    <x v="4"/>
    <x v="12"/>
    <x v="0"/>
    <x v="0"/>
    <x v="485"/>
    <x v="519"/>
    <x v="181"/>
    <x v="519"/>
    <x v="61"/>
    <x v="1"/>
    <x v="1"/>
  </r>
  <r>
    <x v="520"/>
    <x v="395"/>
    <x v="3"/>
    <x v="3"/>
    <x v="7"/>
    <x v="0"/>
    <x v="4"/>
    <x v="486"/>
    <x v="520"/>
    <x v="182"/>
    <x v="520"/>
    <x v="60"/>
    <x v="4"/>
    <x v="2"/>
  </r>
  <r>
    <x v="521"/>
    <x v="396"/>
    <x v="1"/>
    <x v="0"/>
    <x v="15"/>
    <x v="2"/>
    <x v="1"/>
    <x v="487"/>
    <x v="521"/>
    <x v="201"/>
    <x v="521"/>
    <x v="61"/>
    <x v="6"/>
    <x v="0"/>
  </r>
  <r>
    <x v="522"/>
    <x v="397"/>
    <x v="0"/>
    <x v="1"/>
    <x v="21"/>
    <x v="1"/>
    <x v="1"/>
    <x v="488"/>
    <x v="522"/>
    <x v="190"/>
    <x v="522"/>
    <x v="62"/>
    <x v="8"/>
    <x v="2"/>
  </r>
  <r>
    <x v="523"/>
    <x v="279"/>
    <x v="0"/>
    <x v="5"/>
    <x v="29"/>
    <x v="0"/>
    <x v="0"/>
    <x v="489"/>
    <x v="523"/>
    <x v="153"/>
    <x v="523"/>
    <x v="63"/>
    <x v="1"/>
    <x v="1"/>
  </r>
  <r>
    <x v="524"/>
    <x v="375"/>
    <x v="0"/>
    <x v="5"/>
    <x v="17"/>
    <x v="0"/>
    <x v="3"/>
    <x v="249"/>
    <x v="524"/>
    <x v="194"/>
    <x v="524"/>
    <x v="64"/>
    <x v="0"/>
    <x v="0"/>
  </r>
  <r>
    <x v="525"/>
    <x v="305"/>
    <x v="0"/>
    <x v="0"/>
    <x v="0"/>
    <x v="0"/>
    <x v="2"/>
    <x v="490"/>
    <x v="525"/>
    <x v="101"/>
    <x v="525"/>
    <x v="65"/>
    <x v="2"/>
    <x v="0"/>
  </r>
  <r>
    <x v="526"/>
    <x v="398"/>
    <x v="0"/>
    <x v="0"/>
    <x v="0"/>
    <x v="0"/>
    <x v="1"/>
    <x v="491"/>
    <x v="526"/>
    <x v="202"/>
    <x v="526"/>
    <x v="66"/>
    <x v="8"/>
    <x v="2"/>
  </r>
  <r>
    <x v="527"/>
    <x v="337"/>
    <x v="1"/>
    <x v="6"/>
    <x v="22"/>
    <x v="0"/>
    <x v="2"/>
    <x v="492"/>
    <x v="527"/>
    <x v="0"/>
    <x v="527"/>
    <x v="67"/>
    <x v="4"/>
    <x v="2"/>
  </r>
  <r>
    <x v="528"/>
    <x v="399"/>
    <x v="1"/>
    <x v="4"/>
    <x v="4"/>
    <x v="0"/>
    <x v="1"/>
    <x v="92"/>
    <x v="528"/>
    <x v="155"/>
    <x v="528"/>
    <x v="66"/>
    <x v="1"/>
    <x v="1"/>
  </r>
  <r>
    <x v="529"/>
    <x v="400"/>
    <x v="1"/>
    <x v="5"/>
    <x v="17"/>
    <x v="0"/>
    <x v="5"/>
    <x v="493"/>
    <x v="529"/>
    <x v="190"/>
    <x v="529"/>
    <x v="65"/>
    <x v="9"/>
    <x v="1"/>
  </r>
  <r>
    <x v="530"/>
    <x v="261"/>
    <x v="1"/>
    <x v="5"/>
    <x v="29"/>
    <x v="2"/>
    <x v="1"/>
    <x v="38"/>
    <x v="530"/>
    <x v="95"/>
    <x v="530"/>
    <x v="64"/>
    <x v="2"/>
    <x v="0"/>
  </r>
  <r>
    <x v="531"/>
    <x v="401"/>
    <x v="0"/>
    <x v="1"/>
    <x v="1"/>
    <x v="0"/>
    <x v="4"/>
    <x v="36"/>
    <x v="531"/>
    <x v="0"/>
    <x v="531"/>
    <x v="65"/>
    <x v="9"/>
    <x v="1"/>
  </r>
  <r>
    <x v="532"/>
    <x v="402"/>
    <x v="0"/>
    <x v="1"/>
    <x v="10"/>
    <x v="0"/>
    <x v="1"/>
    <x v="494"/>
    <x v="532"/>
    <x v="155"/>
    <x v="532"/>
    <x v="66"/>
    <x v="6"/>
    <x v="0"/>
  </r>
  <r>
    <x v="533"/>
    <x v="13"/>
    <x v="1"/>
    <x v="7"/>
    <x v="32"/>
    <x v="0"/>
    <x v="1"/>
    <x v="171"/>
    <x v="533"/>
    <x v="99"/>
    <x v="533"/>
    <x v="65"/>
    <x v="1"/>
    <x v="1"/>
  </r>
  <r>
    <x v="534"/>
    <x v="18"/>
    <x v="0"/>
    <x v="2"/>
    <x v="8"/>
    <x v="0"/>
    <x v="3"/>
    <x v="220"/>
    <x v="534"/>
    <x v="75"/>
    <x v="534"/>
    <x v="64"/>
    <x v="1"/>
    <x v="1"/>
  </r>
  <r>
    <x v="535"/>
    <x v="199"/>
    <x v="0"/>
    <x v="1"/>
    <x v="21"/>
    <x v="2"/>
    <x v="2"/>
    <x v="495"/>
    <x v="535"/>
    <x v="203"/>
    <x v="535"/>
    <x v="65"/>
    <x v="7"/>
    <x v="1"/>
  </r>
  <r>
    <x v="536"/>
    <x v="403"/>
    <x v="1"/>
    <x v="5"/>
    <x v="29"/>
    <x v="2"/>
    <x v="2"/>
    <x v="163"/>
    <x v="536"/>
    <x v="107"/>
    <x v="536"/>
    <x v="66"/>
    <x v="9"/>
    <x v="1"/>
  </r>
  <r>
    <x v="537"/>
    <x v="219"/>
    <x v="0"/>
    <x v="6"/>
    <x v="31"/>
    <x v="0"/>
    <x v="4"/>
    <x v="496"/>
    <x v="537"/>
    <x v="101"/>
    <x v="537"/>
    <x v="67"/>
    <x v="1"/>
    <x v="1"/>
  </r>
  <r>
    <x v="538"/>
    <x v="88"/>
    <x v="0"/>
    <x v="0"/>
    <x v="0"/>
    <x v="0"/>
    <x v="4"/>
    <x v="497"/>
    <x v="538"/>
    <x v="204"/>
    <x v="538"/>
    <x v="66"/>
    <x v="3"/>
    <x v="2"/>
  </r>
  <r>
    <x v="539"/>
    <x v="73"/>
    <x v="1"/>
    <x v="4"/>
    <x v="20"/>
    <x v="0"/>
    <x v="2"/>
    <x v="498"/>
    <x v="539"/>
    <x v="103"/>
    <x v="539"/>
    <x v="67"/>
    <x v="0"/>
    <x v="0"/>
  </r>
  <r>
    <x v="540"/>
    <x v="404"/>
    <x v="0"/>
    <x v="1"/>
    <x v="1"/>
    <x v="2"/>
    <x v="1"/>
    <x v="444"/>
    <x v="540"/>
    <x v="98"/>
    <x v="540"/>
    <x v="66"/>
    <x v="1"/>
    <x v="1"/>
  </r>
  <r>
    <x v="541"/>
    <x v="405"/>
    <x v="0"/>
    <x v="3"/>
    <x v="7"/>
    <x v="0"/>
    <x v="0"/>
    <x v="499"/>
    <x v="541"/>
    <x v="171"/>
    <x v="541"/>
    <x v="67"/>
    <x v="1"/>
    <x v="1"/>
  </r>
  <r>
    <x v="542"/>
    <x v="406"/>
    <x v="1"/>
    <x v="6"/>
    <x v="22"/>
    <x v="0"/>
    <x v="5"/>
    <x v="500"/>
    <x v="542"/>
    <x v="163"/>
    <x v="542"/>
    <x v="68"/>
    <x v="4"/>
    <x v="2"/>
  </r>
  <r>
    <x v="543"/>
    <x v="54"/>
    <x v="1"/>
    <x v="2"/>
    <x v="23"/>
    <x v="0"/>
    <x v="5"/>
    <x v="501"/>
    <x v="543"/>
    <x v="205"/>
    <x v="543"/>
    <x v="67"/>
    <x v="3"/>
    <x v="2"/>
  </r>
  <r>
    <x v="544"/>
    <x v="407"/>
    <x v="1"/>
    <x v="3"/>
    <x v="27"/>
    <x v="0"/>
    <x v="2"/>
    <x v="77"/>
    <x v="544"/>
    <x v="78"/>
    <x v="544"/>
    <x v="66"/>
    <x v="2"/>
    <x v="0"/>
  </r>
  <r>
    <x v="545"/>
    <x v="274"/>
    <x v="0"/>
    <x v="0"/>
    <x v="24"/>
    <x v="0"/>
    <x v="2"/>
    <x v="502"/>
    <x v="545"/>
    <x v="30"/>
    <x v="545"/>
    <x v="67"/>
    <x v="10"/>
    <x v="0"/>
  </r>
  <r>
    <x v="546"/>
    <x v="408"/>
    <x v="0"/>
    <x v="4"/>
    <x v="4"/>
    <x v="0"/>
    <x v="3"/>
    <x v="503"/>
    <x v="546"/>
    <x v="199"/>
    <x v="546"/>
    <x v="68"/>
    <x v="2"/>
    <x v="0"/>
  </r>
  <r>
    <x v="547"/>
    <x v="409"/>
    <x v="1"/>
    <x v="2"/>
    <x v="8"/>
    <x v="0"/>
    <x v="5"/>
    <x v="222"/>
    <x v="547"/>
    <x v="51"/>
    <x v="547"/>
    <x v="67"/>
    <x v="2"/>
    <x v="0"/>
  </r>
  <r>
    <x v="548"/>
    <x v="410"/>
    <x v="0"/>
    <x v="7"/>
    <x v="25"/>
    <x v="0"/>
    <x v="0"/>
    <x v="218"/>
    <x v="548"/>
    <x v="129"/>
    <x v="548"/>
    <x v="66"/>
    <x v="6"/>
    <x v="0"/>
  </r>
  <r>
    <x v="549"/>
    <x v="411"/>
    <x v="1"/>
    <x v="5"/>
    <x v="17"/>
    <x v="0"/>
    <x v="1"/>
    <x v="504"/>
    <x v="549"/>
    <x v="106"/>
    <x v="549"/>
    <x v="65"/>
    <x v="5"/>
    <x v="0"/>
  </r>
  <r>
    <x v="550"/>
    <x v="412"/>
    <x v="0"/>
    <x v="7"/>
    <x v="26"/>
    <x v="0"/>
    <x v="1"/>
    <x v="505"/>
    <x v="550"/>
    <x v="0"/>
    <x v="550"/>
    <x v="64"/>
    <x v="2"/>
    <x v="0"/>
  </r>
  <r>
    <x v="551"/>
    <x v="413"/>
    <x v="0"/>
    <x v="5"/>
    <x v="17"/>
    <x v="0"/>
    <x v="5"/>
    <x v="506"/>
    <x v="551"/>
    <x v="206"/>
    <x v="551"/>
    <x v="63"/>
    <x v="9"/>
    <x v="1"/>
  </r>
  <r>
    <x v="552"/>
    <x v="392"/>
    <x v="1"/>
    <x v="7"/>
    <x v="18"/>
    <x v="0"/>
    <x v="3"/>
    <x v="507"/>
    <x v="552"/>
    <x v="61"/>
    <x v="552"/>
    <x v="64"/>
    <x v="3"/>
    <x v="2"/>
  </r>
  <r>
    <x v="553"/>
    <x v="160"/>
    <x v="0"/>
    <x v="7"/>
    <x v="26"/>
    <x v="0"/>
    <x v="4"/>
    <x v="508"/>
    <x v="553"/>
    <x v="161"/>
    <x v="553"/>
    <x v="63"/>
    <x v="6"/>
    <x v="0"/>
  </r>
  <r>
    <x v="554"/>
    <x v="414"/>
    <x v="0"/>
    <x v="5"/>
    <x v="29"/>
    <x v="0"/>
    <x v="5"/>
    <x v="509"/>
    <x v="554"/>
    <x v="66"/>
    <x v="554"/>
    <x v="64"/>
    <x v="5"/>
    <x v="0"/>
  </r>
  <r>
    <x v="555"/>
    <x v="329"/>
    <x v="0"/>
    <x v="0"/>
    <x v="0"/>
    <x v="0"/>
    <x v="2"/>
    <x v="510"/>
    <x v="555"/>
    <x v="207"/>
    <x v="555"/>
    <x v="65"/>
    <x v="6"/>
    <x v="0"/>
  </r>
  <r>
    <x v="556"/>
    <x v="415"/>
    <x v="1"/>
    <x v="4"/>
    <x v="20"/>
    <x v="1"/>
    <x v="2"/>
    <x v="511"/>
    <x v="556"/>
    <x v="0"/>
    <x v="556"/>
    <x v="66"/>
    <x v="6"/>
    <x v="0"/>
  </r>
  <r>
    <x v="557"/>
    <x v="301"/>
    <x v="2"/>
    <x v="4"/>
    <x v="9"/>
    <x v="0"/>
    <x v="2"/>
    <x v="512"/>
    <x v="557"/>
    <x v="140"/>
    <x v="557"/>
    <x v="65"/>
    <x v="0"/>
    <x v="0"/>
  </r>
  <r>
    <x v="558"/>
    <x v="210"/>
    <x v="0"/>
    <x v="2"/>
    <x v="2"/>
    <x v="0"/>
    <x v="2"/>
    <x v="513"/>
    <x v="558"/>
    <x v="110"/>
    <x v="558"/>
    <x v="64"/>
    <x v="2"/>
    <x v="0"/>
  </r>
  <r>
    <x v="559"/>
    <x v="416"/>
    <x v="1"/>
    <x v="3"/>
    <x v="27"/>
    <x v="0"/>
    <x v="5"/>
    <x v="514"/>
    <x v="559"/>
    <x v="141"/>
    <x v="559"/>
    <x v="63"/>
    <x v="7"/>
    <x v="1"/>
  </r>
  <r>
    <x v="560"/>
    <x v="417"/>
    <x v="1"/>
    <x v="2"/>
    <x v="8"/>
    <x v="0"/>
    <x v="3"/>
    <x v="515"/>
    <x v="560"/>
    <x v="99"/>
    <x v="560"/>
    <x v="62"/>
    <x v="9"/>
    <x v="1"/>
  </r>
  <r>
    <x v="561"/>
    <x v="418"/>
    <x v="1"/>
    <x v="4"/>
    <x v="9"/>
    <x v="2"/>
    <x v="4"/>
    <x v="516"/>
    <x v="561"/>
    <x v="207"/>
    <x v="561"/>
    <x v="61"/>
    <x v="0"/>
    <x v="0"/>
  </r>
  <r>
    <x v="562"/>
    <x v="236"/>
    <x v="1"/>
    <x v="4"/>
    <x v="4"/>
    <x v="0"/>
    <x v="3"/>
    <x v="517"/>
    <x v="562"/>
    <x v="0"/>
    <x v="562"/>
    <x v="62"/>
    <x v="3"/>
    <x v="2"/>
  </r>
  <r>
    <x v="563"/>
    <x v="419"/>
    <x v="1"/>
    <x v="4"/>
    <x v="9"/>
    <x v="0"/>
    <x v="5"/>
    <x v="518"/>
    <x v="563"/>
    <x v="43"/>
    <x v="563"/>
    <x v="61"/>
    <x v="9"/>
    <x v="1"/>
  </r>
  <r>
    <x v="564"/>
    <x v="63"/>
    <x v="0"/>
    <x v="0"/>
    <x v="15"/>
    <x v="0"/>
    <x v="0"/>
    <x v="519"/>
    <x v="564"/>
    <x v="78"/>
    <x v="564"/>
    <x v="60"/>
    <x v="3"/>
    <x v="2"/>
  </r>
  <r>
    <x v="565"/>
    <x v="82"/>
    <x v="0"/>
    <x v="7"/>
    <x v="32"/>
    <x v="0"/>
    <x v="3"/>
    <x v="520"/>
    <x v="565"/>
    <x v="158"/>
    <x v="565"/>
    <x v="56"/>
    <x v="7"/>
    <x v="1"/>
  </r>
  <r>
    <x v="566"/>
    <x v="309"/>
    <x v="1"/>
    <x v="0"/>
    <x v="28"/>
    <x v="0"/>
    <x v="1"/>
    <x v="521"/>
    <x v="566"/>
    <x v="137"/>
    <x v="566"/>
    <x v="55"/>
    <x v="9"/>
    <x v="1"/>
  </r>
  <r>
    <x v="567"/>
    <x v="208"/>
    <x v="0"/>
    <x v="0"/>
    <x v="0"/>
    <x v="0"/>
    <x v="4"/>
    <x v="497"/>
    <x v="567"/>
    <x v="0"/>
    <x v="567"/>
    <x v="54"/>
    <x v="3"/>
    <x v="2"/>
  </r>
  <r>
    <x v="568"/>
    <x v="415"/>
    <x v="0"/>
    <x v="1"/>
    <x v="1"/>
    <x v="0"/>
    <x v="4"/>
    <x v="410"/>
    <x v="568"/>
    <x v="0"/>
    <x v="568"/>
    <x v="69"/>
    <x v="0"/>
    <x v="0"/>
  </r>
  <r>
    <x v="569"/>
    <x v="420"/>
    <x v="0"/>
    <x v="0"/>
    <x v="24"/>
    <x v="0"/>
    <x v="0"/>
    <x v="259"/>
    <x v="569"/>
    <x v="34"/>
    <x v="569"/>
    <x v="54"/>
    <x v="1"/>
    <x v="1"/>
  </r>
  <r>
    <x v="570"/>
    <x v="421"/>
    <x v="0"/>
    <x v="7"/>
    <x v="14"/>
    <x v="0"/>
    <x v="1"/>
    <x v="522"/>
    <x v="570"/>
    <x v="0"/>
    <x v="570"/>
    <x v="55"/>
    <x v="2"/>
    <x v="0"/>
  </r>
  <r>
    <x v="571"/>
    <x v="295"/>
    <x v="1"/>
    <x v="5"/>
    <x v="29"/>
    <x v="0"/>
    <x v="1"/>
    <x v="506"/>
    <x v="571"/>
    <x v="64"/>
    <x v="571"/>
    <x v="56"/>
    <x v="9"/>
    <x v="1"/>
  </r>
  <r>
    <x v="572"/>
    <x v="21"/>
    <x v="0"/>
    <x v="0"/>
    <x v="28"/>
    <x v="0"/>
    <x v="3"/>
    <x v="335"/>
    <x v="572"/>
    <x v="147"/>
    <x v="572"/>
    <x v="60"/>
    <x v="8"/>
    <x v="2"/>
  </r>
  <r>
    <x v="573"/>
    <x v="52"/>
    <x v="0"/>
    <x v="3"/>
    <x v="27"/>
    <x v="1"/>
    <x v="0"/>
    <x v="523"/>
    <x v="573"/>
    <x v="208"/>
    <x v="573"/>
    <x v="56"/>
    <x v="6"/>
    <x v="0"/>
  </r>
  <r>
    <x v="574"/>
    <x v="422"/>
    <x v="1"/>
    <x v="5"/>
    <x v="29"/>
    <x v="0"/>
    <x v="4"/>
    <x v="119"/>
    <x v="574"/>
    <x v="154"/>
    <x v="574"/>
    <x v="60"/>
    <x v="8"/>
    <x v="2"/>
  </r>
  <r>
    <x v="575"/>
    <x v="423"/>
    <x v="0"/>
    <x v="1"/>
    <x v="21"/>
    <x v="0"/>
    <x v="4"/>
    <x v="524"/>
    <x v="575"/>
    <x v="209"/>
    <x v="575"/>
    <x v="61"/>
    <x v="4"/>
    <x v="2"/>
  </r>
  <r>
    <x v="576"/>
    <x v="43"/>
    <x v="1"/>
    <x v="4"/>
    <x v="11"/>
    <x v="2"/>
    <x v="2"/>
    <x v="525"/>
    <x v="576"/>
    <x v="22"/>
    <x v="576"/>
    <x v="62"/>
    <x v="6"/>
    <x v="0"/>
  </r>
  <r>
    <x v="577"/>
    <x v="165"/>
    <x v="1"/>
    <x v="1"/>
    <x v="1"/>
    <x v="0"/>
    <x v="0"/>
    <x v="526"/>
    <x v="577"/>
    <x v="77"/>
    <x v="577"/>
    <x v="63"/>
    <x v="6"/>
    <x v="0"/>
  </r>
  <r>
    <x v="578"/>
    <x v="206"/>
    <x v="1"/>
    <x v="7"/>
    <x v="14"/>
    <x v="2"/>
    <x v="3"/>
    <x v="527"/>
    <x v="578"/>
    <x v="176"/>
    <x v="578"/>
    <x v="64"/>
    <x v="6"/>
    <x v="0"/>
  </r>
  <r>
    <x v="579"/>
    <x v="424"/>
    <x v="0"/>
    <x v="6"/>
    <x v="22"/>
    <x v="0"/>
    <x v="1"/>
    <x v="528"/>
    <x v="579"/>
    <x v="37"/>
    <x v="579"/>
    <x v="65"/>
    <x v="7"/>
    <x v="1"/>
  </r>
  <r>
    <x v="580"/>
    <x v="206"/>
    <x v="1"/>
    <x v="0"/>
    <x v="0"/>
    <x v="0"/>
    <x v="3"/>
    <x v="529"/>
    <x v="580"/>
    <x v="18"/>
    <x v="580"/>
    <x v="64"/>
    <x v="1"/>
    <x v="1"/>
  </r>
  <r>
    <x v="581"/>
    <x v="425"/>
    <x v="0"/>
    <x v="1"/>
    <x v="1"/>
    <x v="0"/>
    <x v="1"/>
    <x v="530"/>
    <x v="581"/>
    <x v="133"/>
    <x v="581"/>
    <x v="65"/>
    <x v="9"/>
    <x v="1"/>
  </r>
  <r>
    <x v="582"/>
    <x v="423"/>
    <x v="0"/>
    <x v="7"/>
    <x v="14"/>
    <x v="0"/>
    <x v="2"/>
    <x v="391"/>
    <x v="582"/>
    <x v="20"/>
    <x v="582"/>
    <x v="66"/>
    <x v="8"/>
    <x v="2"/>
  </r>
  <r>
    <x v="583"/>
    <x v="426"/>
    <x v="1"/>
    <x v="0"/>
    <x v="24"/>
    <x v="0"/>
    <x v="0"/>
    <x v="531"/>
    <x v="583"/>
    <x v="115"/>
    <x v="583"/>
    <x v="65"/>
    <x v="9"/>
    <x v="1"/>
  </r>
  <r>
    <x v="584"/>
    <x v="427"/>
    <x v="0"/>
    <x v="3"/>
    <x v="27"/>
    <x v="0"/>
    <x v="4"/>
    <x v="532"/>
    <x v="584"/>
    <x v="195"/>
    <x v="584"/>
    <x v="64"/>
    <x v="6"/>
    <x v="0"/>
  </r>
  <r>
    <x v="585"/>
    <x v="428"/>
    <x v="1"/>
    <x v="6"/>
    <x v="13"/>
    <x v="0"/>
    <x v="2"/>
    <x v="177"/>
    <x v="585"/>
    <x v="19"/>
    <x v="585"/>
    <x v="63"/>
    <x v="1"/>
    <x v="1"/>
  </r>
  <r>
    <x v="586"/>
    <x v="228"/>
    <x v="1"/>
    <x v="4"/>
    <x v="5"/>
    <x v="0"/>
    <x v="5"/>
    <x v="533"/>
    <x v="586"/>
    <x v="51"/>
    <x v="586"/>
    <x v="62"/>
    <x v="4"/>
    <x v="2"/>
  </r>
  <r>
    <x v="587"/>
    <x v="429"/>
    <x v="0"/>
    <x v="4"/>
    <x v="9"/>
    <x v="0"/>
    <x v="4"/>
    <x v="534"/>
    <x v="587"/>
    <x v="133"/>
    <x v="587"/>
    <x v="61"/>
    <x v="0"/>
    <x v="0"/>
  </r>
  <r>
    <x v="588"/>
    <x v="430"/>
    <x v="1"/>
    <x v="4"/>
    <x v="9"/>
    <x v="0"/>
    <x v="4"/>
    <x v="172"/>
    <x v="588"/>
    <x v="127"/>
    <x v="588"/>
    <x v="60"/>
    <x v="4"/>
    <x v="2"/>
  </r>
  <r>
    <x v="589"/>
    <x v="431"/>
    <x v="1"/>
    <x v="4"/>
    <x v="5"/>
    <x v="0"/>
    <x v="0"/>
    <x v="535"/>
    <x v="589"/>
    <x v="105"/>
    <x v="589"/>
    <x v="56"/>
    <x v="2"/>
    <x v="0"/>
  </r>
  <r>
    <x v="590"/>
    <x v="232"/>
    <x v="0"/>
    <x v="4"/>
    <x v="5"/>
    <x v="2"/>
    <x v="0"/>
    <x v="536"/>
    <x v="590"/>
    <x v="210"/>
    <x v="590"/>
    <x v="60"/>
    <x v="1"/>
    <x v="1"/>
  </r>
  <r>
    <x v="591"/>
    <x v="146"/>
    <x v="1"/>
    <x v="3"/>
    <x v="27"/>
    <x v="0"/>
    <x v="0"/>
    <x v="537"/>
    <x v="591"/>
    <x v="71"/>
    <x v="591"/>
    <x v="61"/>
    <x v="1"/>
    <x v="1"/>
  </r>
  <r>
    <x v="592"/>
    <x v="202"/>
    <x v="1"/>
    <x v="4"/>
    <x v="11"/>
    <x v="0"/>
    <x v="1"/>
    <x v="538"/>
    <x v="592"/>
    <x v="187"/>
    <x v="592"/>
    <x v="60"/>
    <x v="5"/>
    <x v="0"/>
  </r>
  <r>
    <x v="593"/>
    <x v="161"/>
    <x v="0"/>
    <x v="0"/>
    <x v="0"/>
    <x v="0"/>
    <x v="0"/>
    <x v="539"/>
    <x v="593"/>
    <x v="192"/>
    <x v="593"/>
    <x v="56"/>
    <x v="4"/>
    <x v="2"/>
  </r>
  <r>
    <x v="594"/>
    <x v="132"/>
    <x v="1"/>
    <x v="5"/>
    <x v="6"/>
    <x v="0"/>
    <x v="5"/>
    <x v="540"/>
    <x v="594"/>
    <x v="0"/>
    <x v="594"/>
    <x v="55"/>
    <x v="8"/>
    <x v="2"/>
  </r>
  <r>
    <x v="595"/>
    <x v="416"/>
    <x v="0"/>
    <x v="7"/>
    <x v="14"/>
    <x v="2"/>
    <x v="3"/>
    <x v="541"/>
    <x v="595"/>
    <x v="26"/>
    <x v="595"/>
    <x v="54"/>
    <x v="5"/>
    <x v="0"/>
  </r>
  <r>
    <x v="596"/>
    <x v="289"/>
    <x v="0"/>
    <x v="3"/>
    <x v="7"/>
    <x v="2"/>
    <x v="4"/>
    <x v="542"/>
    <x v="596"/>
    <x v="137"/>
    <x v="596"/>
    <x v="55"/>
    <x v="9"/>
    <x v="1"/>
  </r>
  <r>
    <x v="597"/>
    <x v="247"/>
    <x v="1"/>
    <x v="4"/>
    <x v="11"/>
    <x v="0"/>
    <x v="5"/>
    <x v="543"/>
    <x v="597"/>
    <x v="60"/>
    <x v="597"/>
    <x v="56"/>
    <x v="9"/>
    <x v="1"/>
  </r>
  <r>
    <x v="598"/>
    <x v="231"/>
    <x v="1"/>
    <x v="4"/>
    <x v="11"/>
    <x v="0"/>
    <x v="3"/>
    <x v="544"/>
    <x v="598"/>
    <x v="35"/>
    <x v="598"/>
    <x v="55"/>
    <x v="9"/>
    <x v="1"/>
  </r>
  <r>
    <x v="599"/>
    <x v="432"/>
    <x v="0"/>
    <x v="4"/>
    <x v="4"/>
    <x v="0"/>
    <x v="1"/>
    <x v="387"/>
    <x v="599"/>
    <x v="200"/>
    <x v="599"/>
    <x v="54"/>
    <x v="4"/>
    <x v="2"/>
  </r>
  <r>
    <x v="600"/>
    <x v="65"/>
    <x v="1"/>
    <x v="4"/>
    <x v="11"/>
    <x v="2"/>
    <x v="1"/>
    <x v="545"/>
    <x v="600"/>
    <x v="77"/>
    <x v="600"/>
    <x v="69"/>
    <x v="5"/>
    <x v="0"/>
  </r>
  <r>
    <x v="601"/>
    <x v="14"/>
    <x v="0"/>
    <x v="6"/>
    <x v="22"/>
    <x v="2"/>
    <x v="3"/>
    <x v="546"/>
    <x v="601"/>
    <x v="0"/>
    <x v="601"/>
    <x v="48"/>
    <x v="3"/>
    <x v="2"/>
  </r>
  <r>
    <x v="602"/>
    <x v="433"/>
    <x v="1"/>
    <x v="4"/>
    <x v="9"/>
    <x v="0"/>
    <x v="4"/>
    <x v="547"/>
    <x v="602"/>
    <x v="123"/>
    <x v="602"/>
    <x v="70"/>
    <x v="5"/>
    <x v="0"/>
  </r>
  <r>
    <x v="603"/>
    <x v="389"/>
    <x v="0"/>
    <x v="4"/>
    <x v="9"/>
    <x v="0"/>
    <x v="0"/>
    <x v="548"/>
    <x v="603"/>
    <x v="160"/>
    <x v="603"/>
    <x v="44"/>
    <x v="2"/>
    <x v="0"/>
  </r>
  <r>
    <x v="604"/>
    <x v="38"/>
    <x v="0"/>
    <x v="4"/>
    <x v="11"/>
    <x v="2"/>
    <x v="1"/>
    <x v="549"/>
    <x v="604"/>
    <x v="155"/>
    <x v="604"/>
    <x v="42"/>
    <x v="9"/>
    <x v="1"/>
  </r>
  <r>
    <x v="605"/>
    <x v="434"/>
    <x v="0"/>
    <x v="0"/>
    <x v="24"/>
    <x v="0"/>
    <x v="4"/>
    <x v="550"/>
    <x v="605"/>
    <x v="211"/>
    <x v="605"/>
    <x v="41"/>
    <x v="9"/>
    <x v="1"/>
  </r>
  <r>
    <x v="606"/>
    <x v="76"/>
    <x v="1"/>
    <x v="4"/>
    <x v="11"/>
    <x v="1"/>
    <x v="2"/>
    <x v="551"/>
    <x v="606"/>
    <x v="157"/>
    <x v="606"/>
    <x v="42"/>
    <x v="3"/>
    <x v="2"/>
  </r>
  <r>
    <x v="607"/>
    <x v="251"/>
    <x v="0"/>
    <x v="0"/>
    <x v="28"/>
    <x v="0"/>
    <x v="1"/>
    <x v="520"/>
    <x v="607"/>
    <x v="137"/>
    <x v="607"/>
    <x v="41"/>
    <x v="7"/>
    <x v="1"/>
  </r>
  <r>
    <x v="608"/>
    <x v="362"/>
    <x v="1"/>
    <x v="7"/>
    <x v="25"/>
    <x v="0"/>
    <x v="0"/>
    <x v="359"/>
    <x v="608"/>
    <x v="79"/>
    <x v="608"/>
    <x v="40"/>
    <x v="6"/>
    <x v="0"/>
  </r>
  <r>
    <x v="609"/>
    <x v="435"/>
    <x v="1"/>
    <x v="2"/>
    <x v="8"/>
    <x v="0"/>
    <x v="4"/>
    <x v="552"/>
    <x v="609"/>
    <x v="86"/>
    <x v="609"/>
    <x v="39"/>
    <x v="2"/>
    <x v="0"/>
  </r>
  <r>
    <x v="610"/>
    <x v="11"/>
    <x v="0"/>
    <x v="4"/>
    <x v="4"/>
    <x v="0"/>
    <x v="0"/>
    <x v="469"/>
    <x v="610"/>
    <x v="50"/>
    <x v="610"/>
    <x v="40"/>
    <x v="1"/>
    <x v="1"/>
  </r>
  <r>
    <x v="611"/>
    <x v="342"/>
    <x v="1"/>
    <x v="5"/>
    <x v="17"/>
    <x v="0"/>
    <x v="5"/>
    <x v="553"/>
    <x v="611"/>
    <x v="116"/>
    <x v="611"/>
    <x v="39"/>
    <x v="8"/>
    <x v="2"/>
  </r>
  <r>
    <x v="612"/>
    <x v="428"/>
    <x v="0"/>
    <x v="3"/>
    <x v="19"/>
    <x v="0"/>
    <x v="5"/>
    <x v="554"/>
    <x v="612"/>
    <x v="53"/>
    <x v="612"/>
    <x v="71"/>
    <x v="4"/>
    <x v="2"/>
  </r>
  <r>
    <x v="613"/>
    <x v="436"/>
    <x v="1"/>
    <x v="4"/>
    <x v="9"/>
    <x v="0"/>
    <x v="3"/>
    <x v="409"/>
    <x v="613"/>
    <x v="0"/>
    <x v="613"/>
    <x v="39"/>
    <x v="4"/>
    <x v="2"/>
  </r>
  <r>
    <x v="614"/>
    <x v="437"/>
    <x v="1"/>
    <x v="5"/>
    <x v="29"/>
    <x v="2"/>
    <x v="3"/>
    <x v="555"/>
    <x v="614"/>
    <x v="164"/>
    <x v="614"/>
    <x v="40"/>
    <x v="9"/>
    <x v="1"/>
  </r>
  <r>
    <x v="615"/>
    <x v="426"/>
    <x v="1"/>
    <x v="1"/>
    <x v="1"/>
    <x v="0"/>
    <x v="2"/>
    <x v="556"/>
    <x v="615"/>
    <x v="173"/>
    <x v="615"/>
    <x v="41"/>
    <x v="5"/>
    <x v="0"/>
  </r>
  <r>
    <x v="616"/>
    <x v="211"/>
    <x v="0"/>
    <x v="4"/>
    <x v="12"/>
    <x v="2"/>
    <x v="5"/>
    <x v="557"/>
    <x v="616"/>
    <x v="0"/>
    <x v="616"/>
    <x v="42"/>
    <x v="9"/>
    <x v="1"/>
  </r>
  <r>
    <x v="617"/>
    <x v="201"/>
    <x v="1"/>
    <x v="6"/>
    <x v="31"/>
    <x v="0"/>
    <x v="4"/>
    <x v="558"/>
    <x v="617"/>
    <x v="40"/>
    <x v="617"/>
    <x v="44"/>
    <x v="4"/>
    <x v="2"/>
  </r>
  <r>
    <x v="618"/>
    <x v="244"/>
    <x v="0"/>
    <x v="5"/>
    <x v="17"/>
    <x v="0"/>
    <x v="1"/>
    <x v="559"/>
    <x v="618"/>
    <x v="42"/>
    <x v="618"/>
    <x v="42"/>
    <x v="3"/>
    <x v="2"/>
  </r>
  <r>
    <x v="619"/>
    <x v="423"/>
    <x v="1"/>
    <x v="2"/>
    <x v="30"/>
    <x v="0"/>
    <x v="5"/>
    <x v="560"/>
    <x v="619"/>
    <x v="126"/>
    <x v="619"/>
    <x v="44"/>
    <x v="3"/>
    <x v="2"/>
  </r>
  <r>
    <x v="620"/>
    <x v="36"/>
    <x v="1"/>
    <x v="4"/>
    <x v="20"/>
    <x v="1"/>
    <x v="2"/>
    <x v="561"/>
    <x v="620"/>
    <x v="212"/>
    <x v="620"/>
    <x v="42"/>
    <x v="4"/>
    <x v="2"/>
  </r>
  <r>
    <x v="621"/>
    <x v="106"/>
    <x v="1"/>
    <x v="4"/>
    <x v="11"/>
    <x v="0"/>
    <x v="3"/>
    <x v="562"/>
    <x v="621"/>
    <x v="213"/>
    <x v="621"/>
    <x v="41"/>
    <x v="6"/>
    <x v="0"/>
  </r>
  <r>
    <x v="622"/>
    <x v="423"/>
    <x v="1"/>
    <x v="0"/>
    <x v="24"/>
    <x v="0"/>
    <x v="1"/>
    <x v="563"/>
    <x v="622"/>
    <x v="82"/>
    <x v="622"/>
    <x v="42"/>
    <x v="9"/>
    <x v="1"/>
  </r>
  <r>
    <x v="623"/>
    <x v="74"/>
    <x v="1"/>
    <x v="7"/>
    <x v="26"/>
    <x v="1"/>
    <x v="0"/>
    <x v="564"/>
    <x v="623"/>
    <x v="17"/>
    <x v="623"/>
    <x v="44"/>
    <x v="5"/>
    <x v="0"/>
  </r>
  <r>
    <x v="624"/>
    <x v="438"/>
    <x v="1"/>
    <x v="3"/>
    <x v="7"/>
    <x v="0"/>
    <x v="0"/>
    <x v="565"/>
    <x v="624"/>
    <x v="214"/>
    <x v="624"/>
    <x v="42"/>
    <x v="9"/>
    <x v="1"/>
  </r>
  <r>
    <x v="625"/>
    <x v="119"/>
    <x v="0"/>
    <x v="0"/>
    <x v="28"/>
    <x v="0"/>
    <x v="4"/>
    <x v="566"/>
    <x v="625"/>
    <x v="38"/>
    <x v="625"/>
    <x v="44"/>
    <x v="8"/>
    <x v="2"/>
  </r>
  <r>
    <x v="626"/>
    <x v="246"/>
    <x v="1"/>
    <x v="0"/>
    <x v="0"/>
    <x v="2"/>
    <x v="2"/>
    <x v="567"/>
    <x v="626"/>
    <x v="58"/>
    <x v="626"/>
    <x v="42"/>
    <x v="6"/>
    <x v="0"/>
  </r>
  <r>
    <x v="627"/>
    <x v="439"/>
    <x v="1"/>
    <x v="2"/>
    <x v="8"/>
    <x v="0"/>
    <x v="3"/>
    <x v="568"/>
    <x v="627"/>
    <x v="167"/>
    <x v="627"/>
    <x v="44"/>
    <x v="5"/>
    <x v="0"/>
  </r>
  <r>
    <x v="628"/>
    <x v="440"/>
    <x v="1"/>
    <x v="4"/>
    <x v="11"/>
    <x v="0"/>
    <x v="5"/>
    <x v="569"/>
    <x v="628"/>
    <x v="0"/>
    <x v="628"/>
    <x v="42"/>
    <x v="0"/>
    <x v="0"/>
  </r>
  <r>
    <x v="629"/>
    <x v="441"/>
    <x v="0"/>
    <x v="6"/>
    <x v="22"/>
    <x v="2"/>
    <x v="1"/>
    <x v="570"/>
    <x v="629"/>
    <x v="154"/>
    <x v="629"/>
    <x v="41"/>
    <x v="8"/>
    <x v="2"/>
  </r>
  <r>
    <x v="630"/>
    <x v="266"/>
    <x v="2"/>
    <x v="2"/>
    <x v="30"/>
    <x v="0"/>
    <x v="1"/>
    <x v="571"/>
    <x v="630"/>
    <x v="215"/>
    <x v="630"/>
    <x v="40"/>
    <x v="3"/>
    <x v="2"/>
  </r>
  <r>
    <x v="631"/>
    <x v="442"/>
    <x v="1"/>
    <x v="5"/>
    <x v="29"/>
    <x v="0"/>
    <x v="5"/>
    <x v="572"/>
    <x v="631"/>
    <x v="0"/>
    <x v="631"/>
    <x v="39"/>
    <x v="2"/>
    <x v="0"/>
  </r>
  <r>
    <x v="632"/>
    <x v="443"/>
    <x v="1"/>
    <x v="7"/>
    <x v="14"/>
    <x v="0"/>
    <x v="0"/>
    <x v="573"/>
    <x v="632"/>
    <x v="52"/>
    <x v="632"/>
    <x v="40"/>
    <x v="8"/>
    <x v="2"/>
  </r>
  <r>
    <x v="633"/>
    <x v="264"/>
    <x v="1"/>
    <x v="7"/>
    <x v="18"/>
    <x v="0"/>
    <x v="4"/>
    <x v="574"/>
    <x v="633"/>
    <x v="8"/>
    <x v="633"/>
    <x v="41"/>
    <x v="0"/>
    <x v="0"/>
  </r>
  <r>
    <x v="634"/>
    <x v="398"/>
    <x v="1"/>
    <x v="4"/>
    <x v="12"/>
    <x v="1"/>
    <x v="2"/>
    <x v="575"/>
    <x v="634"/>
    <x v="145"/>
    <x v="634"/>
    <x v="40"/>
    <x v="1"/>
    <x v="1"/>
  </r>
  <r>
    <x v="635"/>
    <x v="336"/>
    <x v="1"/>
    <x v="0"/>
    <x v="0"/>
    <x v="0"/>
    <x v="3"/>
    <x v="576"/>
    <x v="635"/>
    <x v="166"/>
    <x v="635"/>
    <x v="39"/>
    <x v="7"/>
    <x v="1"/>
  </r>
  <r>
    <x v="636"/>
    <x v="376"/>
    <x v="1"/>
    <x v="7"/>
    <x v="32"/>
    <x v="0"/>
    <x v="0"/>
    <x v="577"/>
    <x v="636"/>
    <x v="182"/>
    <x v="636"/>
    <x v="40"/>
    <x v="3"/>
    <x v="2"/>
  </r>
  <r>
    <x v="637"/>
    <x v="444"/>
    <x v="1"/>
    <x v="6"/>
    <x v="13"/>
    <x v="2"/>
    <x v="0"/>
    <x v="578"/>
    <x v="637"/>
    <x v="11"/>
    <x v="637"/>
    <x v="41"/>
    <x v="7"/>
    <x v="1"/>
  </r>
  <r>
    <x v="638"/>
    <x v="445"/>
    <x v="1"/>
    <x v="6"/>
    <x v="16"/>
    <x v="0"/>
    <x v="3"/>
    <x v="579"/>
    <x v="638"/>
    <x v="104"/>
    <x v="638"/>
    <x v="40"/>
    <x v="6"/>
    <x v="0"/>
  </r>
  <r>
    <x v="639"/>
    <x v="227"/>
    <x v="1"/>
    <x v="0"/>
    <x v="15"/>
    <x v="0"/>
    <x v="1"/>
    <x v="541"/>
    <x v="639"/>
    <x v="88"/>
    <x v="639"/>
    <x v="39"/>
    <x v="5"/>
    <x v="0"/>
  </r>
  <r>
    <x v="640"/>
    <x v="446"/>
    <x v="2"/>
    <x v="4"/>
    <x v="20"/>
    <x v="0"/>
    <x v="5"/>
    <x v="580"/>
    <x v="640"/>
    <x v="206"/>
    <x v="640"/>
    <x v="40"/>
    <x v="0"/>
    <x v="0"/>
  </r>
  <r>
    <x v="641"/>
    <x v="317"/>
    <x v="0"/>
    <x v="0"/>
    <x v="15"/>
    <x v="0"/>
    <x v="5"/>
    <x v="581"/>
    <x v="641"/>
    <x v="0"/>
    <x v="641"/>
    <x v="39"/>
    <x v="9"/>
    <x v="1"/>
  </r>
  <r>
    <x v="642"/>
    <x v="447"/>
    <x v="0"/>
    <x v="4"/>
    <x v="20"/>
    <x v="0"/>
    <x v="3"/>
    <x v="582"/>
    <x v="642"/>
    <x v="132"/>
    <x v="642"/>
    <x v="72"/>
    <x v="6"/>
    <x v="0"/>
  </r>
  <r>
    <x v="643"/>
    <x v="448"/>
    <x v="1"/>
    <x v="0"/>
    <x v="28"/>
    <x v="0"/>
    <x v="4"/>
    <x v="583"/>
    <x v="643"/>
    <x v="149"/>
    <x v="643"/>
    <x v="23"/>
    <x v="5"/>
    <x v="0"/>
  </r>
  <r>
    <x v="644"/>
    <x v="449"/>
    <x v="0"/>
    <x v="4"/>
    <x v="11"/>
    <x v="0"/>
    <x v="0"/>
    <x v="584"/>
    <x v="644"/>
    <x v="37"/>
    <x v="644"/>
    <x v="72"/>
    <x v="4"/>
    <x v="2"/>
  </r>
  <r>
    <x v="645"/>
    <x v="80"/>
    <x v="1"/>
    <x v="5"/>
    <x v="6"/>
    <x v="0"/>
    <x v="4"/>
    <x v="78"/>
    <x v="645"/>
    <x v="79"/>
    <x v="645"/>
    <x v="39"/>
    <x v="3"/>
    <x v="2"/>
  </r>
  <r>
    <x v="646"/>
    <x v="340"/>
    <x v="0"/>
    <x v="3"/>
    <x v="7"/>
    <x v="0"/>
    <x v="1"/>
    <x v="585"/>
    <x v="646"/>
    <x v="37"/>
    <x v="646"/>
    <x v="72"/>
    <x v="6"/>
    <x v="0"/>
  </r>
  <r>
    <x v="647"/>
    <x v="111"/>
    <x v="0"/>
    <x v="2"/>
    <x v="2"/>
    <x v="0"/>
    <x v="5"/>
    <x v="586"/>
    <x v="647"/>
    <x v="16"/>
    <x v="647"/>
    <x v="39"/>
    <x v="7"/>
    <x v="1"/>
  </r>
  <r>
    <x v="648"/>
    <x v="450"/>
    <x v="1"/>
    <x v="5"/>
    <x v="6"/>
    <x v="0"/>
    <x v="2"/>
    <x v="587"/>
    <x v="648"/>
    <x v="128"/>
    <x v="648"/>
    <x v="72"/>
    <x v="4"/>
    <x v="2"/>
  </r>
  <r>
    <x v="649"/>
    <x v="451"/>
    <x v="1"/>
    <x v="7"/>
    <x v="18"/>
    <x v="0"/>
    <x v="2"/>
    <x v="14"/>
    <x v="649"/>
    <x v="175"/>
    <x v="649"/>
    <x v="23"/>
    <x v="0"/>
    <x v="0"/>
  </r>
  <r>
    <x v="650"/>
    <x v="169"/>
    <x v="1"/>
    <x v="4"/>
    <x v="11"/>
    <x v="0"/>
    <x v="2"/>
    <x v="588"/>
    <x v="650"/>
    <x v="216"/>
    <x v="650"/>
    <x v="72"/>
    <x v="5"/>
    <x v="0"/>
  </r>
  <r>
    <x v="651"/>
    <x v="433"/>
    <x v="1"/>
    <x v="7"/>
    <x v="32"/>
    <x v="0"/>
    <x v="4"/>
    <x v="563"/>
    <x v="651"/>
    <x v="10"/>
    <x v="651"/>
    <x v="23"/>
    <x v="9"/>
    <x v="1"/>
  </r>
  <r>
    <x v="652"/>
    <x v="452"/>
    <x v="0"/>
    <x v="7"/>
    <x v="32"/>
    <x v="0"/>
    <x v="2"/>
    <x v="589"/>
    <x v="652"/>
    <x v="217"/>
    <x v="652"/>
    <x v="24"/>
    <x v="4"/>
    <x v="2"/>
  </r>
  <r>
    <x v="653"/>
    <x v="453"/>
    <x v="1"/>
    <x v="2"/>
    <x v="8"/>
    <x v="0"/>
    <x v="0"/>
    <x v="361"/>
    <x v="653"/>
    <x v="20"/>
    <x v="653"/>
    <x v="25"/>
    <x v="2"/>
    <x v="0"/>
  </r>
  <r>
    <x v="654"/>
    <x v="85"/>
    <x v="0"/>
    <x v="0"/>
    <x v="0"/>
    <x v="0"/>
    <x v="0"/>
    <x v="590"/>
    <x v="654"/>
    <x v="2"/>
    <x v="654"/>
    <x v="24"/>
    <x v="0"/>
    <x v="0"/>
  </r>
  <r>
    <x v="655"/>
    <x v="454"/>
    <x v="1"/>
    <x v="4"/>
    <x v="12"/>
    <x v="0"/>
    <x v="2"/>
    <x v="591"/>
    <x v="655"/>
    <x v="163"/>
    <x v="655"/>
    <x v="23"/>
    <x v="4"/>
    <x v="2"/>
  </r>
  <r>
    <x v="656"/>
    <x v="455"/>
    <x v="1"/>
    <x v="6"/>
    <x v="22"/>
    <x v="0"/>
    <x v="3"/>
    <x v="592"/>
    <x v="656"/>
    <x v="73"/>
    <x v="656"/>
    <x v="24"/>
    <x v="0"/>
    <x v="0"/>
  </r>
  <r>
    <x v="657"/>
    <x v="318"/>
    <x v="0"/>
    <x v="0"/>
    <x v="24"/>
    <x v="0"/>
    <x v="5"/>
    <x v="593"/>
    <x v="657"/>
    <x v="0"/>
    <x v="657"/>
    <x v="25"/>
    <x v="4"/>
    <x v="2"/>
  </r>
  <r>
    <x v="658"/>
    <x v="192"/>
    <x v="1"/>
    <x v="3"/>
    <x v="19"/>
    <x v="0"/>
    <x v="5"/>
    <x v="594"/>
    <x v="658"/>
    <x v="195"/>
    <x v="658"/>
    <x v="73"/>
    <x v="3"/>
    <x v="2"/>
  </r>
  <r>
    <x v="659"/>
    <x v="393"/>
    <x v="1"/>
    <x v="7"/>
    <x v="32"/>
    <x v="0"/>
    <x v="1"/>
    <x v="595"/>
    <x v="659"/>
    <x v="177"/>
    <x v="659"/>
    <x v="25"/>
    <x v="2"/>
    <x v="0"/>
  </r>
  <r>
    <x v="660"/>
    <x v="456"/>
    <x v="0"/>
    <x v="0"/>
    <x v="28"/>
    <x v="0"/>
    <x v="2"/>
    <x v="596"/>
    <x v="660"/>
    <x v="24"/>
    <x v="660"/>
    <x v="24"/>
    <x v="5"/>
    <x v="0"/>
  </r>
  <r>
    <x v="661"/>
    <x v="457"/>
    <x v="1"/>
    <x v="1"/>
    <x v="1"/>
    <x v="0"/>
    <x v="5"/>
    <x v="597"/>
    <x v="661"/>
    <x v="0"/>
    <x v="661"/>
    <x v="25"/>
    <x v="4"/>
    <x v="2"/>
  </r>
  <r>
    <x v="662"/>
    <x v="272"/>
    <x v="3"/>
    <x v="3"/>
    <x v="27"/>
    <x v="0"/>
    <x v="5"/>
    <x v="256"/>
    <x v="662"/>
    <x v="218"/>
    <x v="662"/>
    <x v="24"/>
    <x v="0"/>
    <x v="0"/>
  </r>
  <r>
    <x v="663"/>
    <x v="458"/>
    <x v="1"/>
    <x v="6"/>
    <x v="22"/>
    <x v="0"/>
    <x v="4"/>
    <x v="598"/>
    <x v="663"/>
    <x v="0"/>
    <x v="663"/>
    <x v="25"/>
    <x v="2"/>
    <x v="0"/>
  </r>
  <r>
    <x v="664"/>
    <x v="459"/>
    <x v="0"/>
    <x v="4"/>
    <x v="12"/>
    <x v="0"/>
    <x v="3"/>
    <x v="599"/>
    <x v="664"/>
    <x v="0"/>
    <x v="664"/>
    <x v="73"/>
    <x v="5"/>
    <x v="0"/>
  </r>
  <r>
    <x v="665"/>
    <x v="460"/>
    <x v="0"/>
    <x v="4"/>
    <x v="4"/>
    <x v="0"/>
    <x v="3"/>
    <x v="600"/>
    <x v="665"/>
    <x v="71"/>
    <x v="665"/>
    <x v="25"/>
    <x v="0"/>
    <x v="0"/>
  </r>
  <r>
    <x v="666"/>
    <x v="67"/>
    <x v="0"/>
    <x v="6"/>
    <x v="13"/>
    <x v="0"/>
    <x v="1"/>
    <x v="601"/>
    <x v="666"/>
    <x v="189"/>
    <x v="666"/>
    <x v="73"/>
    <x v="2"/>
    <x v="0"/>
  </r>
  <r>
    <x v="667"/>
    <x v="135"/>
    <x v="1"/>
    <x v="4"/>
    <x v="12"/>
    <x v="0"/>
    <x v="5"/>
    <x v="602"/>
    <x v="667"/>
    <x v="203"/>
    <x v="667"/>
    <x v="31"/>
    <x v="0"/>
    <x v="0"/>
  </r>
  <r>
    <x v="668"/>
    <x v="461"/>
    <x v="1"/>
    <x v="4"/>
    <x v="11"/>
    <x v="0"/>
    <x v="1"/>
    <x v="603"/>
    <x v="668"/>
    <x v="66"/>
    <x v="668"/>
    <x v="32"/>
    <x v="7"/>
    <x v="1"/>
  </r>
  <r>
    <x v="669"/>
    <x v="139"/>
    <x v="1"/>
    <x v="6"/>
    <x v="16"/>
    <x v="0"/>
    <x v="4"/>
    <x v="604"/>
    <x v="669"/>
    <x v="145"/>
    <x v="669"/>
    <x v="31"/>
    <x v="1"/>
    <x v="1"/>
  </r>
  <r>
    <x v="670"/>
    <x v="435"/>
    <x v="1"/>
    <x v="4"/>
    <x v="9"/>
    <x v="2"/>
    <x v="0"/>
    <x v="605"/>
    <x v="670"/>
    <x v="219"/>
    <x v="670"/>
    <x v="32"/>
    <x v="1"/>
    <x v="1"/>
  </r>
  <r>
    <x v="671"/>
    <x v="214"/>
    <x v="0"/>
    <x v="5"/>
    <x v="6"/>
    <x v="2"/>
    <x v="1"/>
    <x v="606"/>
    <x v="671"/>
    <x v="86"/>
    <x v="671"/>
    <x v="74"/>
    <x v="2"/>
    <x v="0"/>
  </r>
  <r>
    <x v="672"/>
    <x v="462"/>
    <x v="3"/>
    <x v="4"/>
    <x v="4"/>
    <x v="1"/>
    <x v="4"/>
    <x v="607"/>
    <x v="672"/>
    <x v="67"/>
    <x v="672"/>
    <x v="75"/>
    <x v="9"/>
    <x v="1"/>
  </r>
  <r>
    <x v="673"/>
    <x v="463"/>
    <x v="1"/>
    <x v="7"/>
    <x v="18"/>
    <x v="0"/>
    <x v="3"/>
    <x v="608"/>
    <x v="673"/>
    <x v="11"/>
    <x v="673"/>
    <x v="76"/>
    <x v="6"/>
    <x v="0"/>
  </r>
  <r>
    <x v="674"/>
    <x v="464"/>
    <x v="0"/>
    <x v="0"/>
    <x v="28"/>
    <x v="0"/>
    <x v="0"/>
    <x v="510"/>
    <x v="674"/>
    <x v="91"/>
    <x v="674"/>
    <x v="75"/>
    <x v="6"/>
    <x v="0"/>
  </r>
  <r>
    <x v="675"/>
    <x v="53"/>
    <x v="0"/>
    <x v="1"/>
    <x v="21"/>
    <x v="0"/>
    <x v="1"/>
    <x v="609"/>
    <x v="675"/>
    <x v="175"/>
    <x v="675"/>
    <x v="76"/>
    <x v="0"/>
    <x v="0"/>
  </r>
  <r>
    <x v="676"/>
    <x v="465"/>
    <x v="0"/>
    <x v="4"/>
    <x v="11"/>
    <x v="0"/>
    <x v="0"/>
    <x v="413"/>
    <x v="676"/>
    <x v="215"/>
    <x v="676"/>
    <x v="75"/>
    <x v="2"/>
    <x v="0"/>
  </r>
  <r>
    <x v="677"/>
    <x v="22"/>
    <x v="0"/>
    <x v="0"/>
    <x v="24"/>
    <x v="0"/>
    <x v="0"/>
    <x v="30"/>
    <x v="677"/>
    <x v="137"/>
    <x v="677"/>
    <x v="74"/>
    <x v="7"/>
    <x v="1"/>
  </r>
  <r>
    <x v="678"/>
    <x v="370"/>
    <x v="1"/>
    <x v="1"/>
    <x v="21"/>
    <x v="0"/>
    <x v="5"/>
    <x v="610"/>
    <x v="678"/>
    <x v="12"/>
    <x v="678"/>
    <x v="32"/>
    <x v="3"/>
    <x v="2"/>
  </r>
  <r>
    <x v="679"/>
    <x v="466"/>
    <x v="1"/>
    <x v="5"/>
    <x v="17"/>
    <x v="0"/>
    <x v="5"/>
    <x v="611"/>
    <x v="679"/>
    <x v="220"/>
    <x v="679"/>
    <x v="31"/>
    <x v="1"/>
    <x v="1"/>
  </r>
  <r>
    <x v="680"/>
    <x v="467"/>
    <x v="0"/>
    <x v="5"/>
    <x v="29"/>
    <x v="0"/>
    <x v="0"/>
    <x v="612"/>
    <x v="680"/>
    <x v="146"/>
    <x v="680"/>
    <x v="73"/>
    <x v="7"/>
    <x v="1"/>
  </r>
  <r>
    <x v="681"/>
    <x v="468"/>
    <x v="1"/>
    <x v="6"/>
    <x v="16"/>
    <x v="0"/>
    <x v="0"/>
    <x v="613"/>
    <x v="681"/>
    <x v="25"/>
    <x v="681"/>
    <x v="25"/>
    <x v="6"/>
    <x v="0"/>
  </r>
  <r>
    <x v="682"/>
    <x v="445"/>
    <x v="1"/>
    <x v="4"/>
    <x v="5"/>
    <x v="0"/>
    <x v="5"/>
    <x v="614"/>
    <x v="682"/>
    <x v="107"/>
    <x v="682"/>
    <x v="73"/>
    <x v="9"/>
    <x v="1"/>
  </r>
  <r>
    <x v="683"/>
    <x v="104"/>
    <x v="1"/>
    <x v="3"/>
    <x v="27"/>
    <x v="0"/>
    <x v="1"/>
    <x v="615"/>
    <x v="683"/>
    <x v="192"/>
    <x v="683"/>
    <x v="31"/>
    <x v="1"/>
    <x v="1"/>
  </r>
  <r>
    <x v="684"/>
    <x v="400"/>
    <x v="1"/>
    <x v="1"/>
    <x v="21"/>
    <x v="0"/>
    <x v="4"/>
    <x v="551"/>
    <x v="684"/>
    <x v="101"/>
    <x v="684"/>
    <x v="73"/>
    <x v="3"/>
    <x v="2"/>
  </r>
  <r>
    <x v="685"/>
    <x v="206"/>
    <x v="1"/>
    <x v="7"/>
    <x v="26"/>
    <x v="0"/>
    <x v="2"/>
    <x v="616"/>
    <x v="685"/>
    <x v="221"/>
    <x v="685"/>
    <x v="25"/>
    <x v="4"/>
    <x v="2"/>
  </r>
  <r>
    <x v="686"/>
    <x v="469"/>
    <x v="0"/>
    <x v="7"/>
    <x v="26"/>
    <x v="0"/>
    <x v="2"/>
    <x v="617"/>
    <x v="686"/>
    <x v="8"/>
    <x v="686"/>
    <x v="73"/>
    <x v="8"/>
    <x v="2"/>
  </r>
  <r>
    <x v="687"/>
    <x v="314"/>
    <x v="1"/>
    <x v="6"/>
    <x v="22"/>
    <x v="0"/>
    <x v="3"/>
    <x v="618"/>
    <x v="687"/>
    <x v="112"/>
    <x v="687"/>
    <x v="31"/>
    <x v="10"/>
    <x v="0"/>
  </r>
  <r>
    <x v="688"/>
    <x v="266"/>
    <x v="1"/>
    <x v="2"/>
    <x v="30"/>
    <x v="0"/>
    <x v="0"/>
    <x v="619"/>
    <x v="688"/>
    <x v="171"/>
    <x v="688"/>
    <x v="32"/>
    <x v="0"/>
    <x v="0"/>
  </r>
  <r>
    <x v="689"/>
    <x v="470"/>
    <x v="0"/>
    <x v="4"/>
    <x v="5"/>
    <x v="0"/>
    <x v="5"/>
    <x v="620"/>
    <x v="689"/>
    <x v="2"/>
    <x v="689"/>
    <x v="74"/>
    <x v="0"/>
    <x v="0"/>
  </r>
  <r>
    <x v="690"/>
    <x v="471"/>
    <x v="0"/>
    <x v="0"/>
    <x v="0"/>
    <x v="0"/>
    <x v="4"/>
    <x v="370"/>
    <x v="690"/>
    <x v="184"/>
    <x v="690"/>
    <x v="32"/>
    <x v="5"/>
    <x v="0"/>
  </r>
  <r>
    <x v="691"/>
    <x v="472"/>
    <x v="1"/>
    <x v="0"/>
    <x v="24"/>
    <x v="2"/>
    <x v="0"/>
    <x v="621"/>
    <x v="691"/>
    <x v="48"/>
    <x v="691"/>
    <x v="31"/>
    <x v="5"/>
    <x v="0"/>
  </r>
  <r>
    <x v="692"/>
    <x v="473"/>
    <x v="0"/>
    <x v="7"/>
    <x v="32"/>
    <x v="0"/>
    <x v="4"/>
    <x v="520"/>
    <x v="692"/>
    <x v="222"/>
    <x v="692"/>
    <x v="73"/>
    <x v="7"/>
    <x v="1"/>
  </r>
  <r>
    <x v="693"/>
    <x v="474"/>
    <x v="0"/>
    <x v="6"/>
    <x v="13"/>
    <x v="0"/>
    <x v="5"/>
    <x v="622"/>
    <x v="693"/>
    <x v="110"/>
    <x v="693"/>
    <x v="31"/>
    <x v="6"/>
    <x v="0"/>
  </r>
  <r>
    <x v="694"/>
    <x v="475"/>
    <x v="0"/>
    <x v="4"/>
    <x v="9"/>
    <x v="0"/>
    <x v="0"/>
    <x v="623"/>
    <x v="694"/>
    <x v="130"/>
    <x v="694"/>
    <x v="73"/>
    <x v="3"/>
    <x v="2"/>
  </r>
  <r>
    <x v="695"/>
    <x v="476"/>
    <x v="0"/>
    <x v="3"/>
    <x v="7"/>
    <x v="0"/>
    <x v="1"/>
    <x v="86"/>
    <x v="695"/>
    <x v="97"/>
    <x v="695"/>
    <x v="31"/>
    <x v="1"/>
    <x v="1"/>
  </r>
  <r>
    <x v="696"/>
    <x v="418"/>
    <x v="0"/>
    <x v="6"/>
    <x v="13"/>
    <x v="0"/>
    <x v="0"/>
    <x v="624"/>
    <x v="696"/>
    <x v="223"/>
    <x v="696"/>
    <x v="73"/>
    <x v="8"/>
    <x v="2"/>
  </r>
  <r>
    <x v="697"/>
    <x v="320"/>
    <x v="0"/>
    <x v="7"/>
    <x v="25"/>
    <x v="0"/>
    <x v="5"/>
    <x v="625"/>
    <x v="697"/>
    <x v="69"/>
    <x v="697"/>
    <x v="25"/>
    <x v="3"/>
    <x v="2"/>
  </r>
  <r>
    <x v="698"/>
    <x v="466"/>
    <x v="1"/>
    <x v="4"/>
    <x v="12"/>
    <x v="2"/>
    <x v="1"/>
    <x v="626"/>
    <x v="698"/>
    <x v="142"/>
    <x v="698"/>
    <x v="24"/>
    <x v="4"/>
    <x v="2"/>
  </r>
  <r>
    <x v="699"/>
    <x v="105"/>
    <x v="1"/>
    <x v="7"/>
    <x v="14"/>
    <x v="1"/>
    <x v="1"/>
    <x v="627"/>
    <x v="699"/>
    <x v="35"/>
    <x v="699"/>
    <x v="25"/>
    <x v="6"/>
    <x v="0"/>
  </r>
  <r>
    <x v="700"/>
    <x v="477"/>
    <x v="0"/>
    <x v="7"/>
    <x v="26"/>
    <x v="0"/>
    <x v="1"/>
    <x v="360"/>
    <x v="700"/>
    <x v="21"/>
    <x v="700"/>
    <x v="24"/>
    <x v="9"/>
    <x v="1"/>
  </r>
  <r>
    <x v="701"/>
    <x v="379"/>
    <x v="0"/>
    <x v="4"/>
    <x v="9"/>
    <x v="0"/>
    <x v="4"/>
    <x v="628"/>
    <x v="701"/>
    <x v="86"/>
    <x v="701"/>
    <x v="25"/>
    <x v="2"/>
    <x v="0"/>
  </r>
  <r>
    <x v="702"/>
    <x v="213"/>
    <x v="0"/>
    <x v="0"/>
    <x v="24"/>
    <x v="2"/>
    <x v="3"/>
    <x v="629"/>
    <x v="702"/>
    <x v="63"/>
    <x v="702"/>
    <x v="24"/>
    <x v="5"/>
    <x v="0"/>
  </r>
  <r>
    <x v="703"/>
    <x v="478"/>
    <x v="1"/>
    <x v="4"/>
    <x v="20"/>
    <x v="0"/>
    <x v="3"/>
    <x v="630"/>
    <x v="703"/>
    <x v="85"/>
    <x v="703"/>
    <x v="25"/>
    <x v="2"/>
    <x v="0"/>
  </r>
  <r>
    <x v="704"/>
    <x v="479"/>
    <x v="1"/>
    <x v="4"/>
    <x v="9"/>
    <x v="0"/>
    <x v="4"/>
    <x v="631"/>
    <x v="704"/>
    <x v="157"/>
    <x v="704"/>
    <x v="73"/>
    <x v="6"/>
    <x v="0"/>
  </r>
  <r>
    <x v="705"/>
    <x v="375"/>
    <x v="1"/>
    <x v="1"/>
    <x v="21"/>
    <x v="1"/>
    <x v="0"/>
    <x v="632"/>
    <x v="705"/>
    <x v="131"/>
    <x v="705"/>
    <x v="31"/>
    <x v="0"/>
    <x v="0"/>
  </r>
  <r>
    <x v="706"/>
    <x v="90"/>
    <x v="0"/>
    <x v="0"/>
    <x v="28"/>
    <x v="1"/>
    <x v="0"/>
    <x v="633"/>
    <x v="706"/>
    <x v="176"/>
    <x v="706"/>
    <x v="73"/>
    <x v="5"/>
    <x v="0"/>
  </r>
  <r>
    <x v="707"/>
    <x v="249"/>
    <x v="0"/>
    <x v="5"/>
    <x v="29"/>
    <x v="0"/>
    <x v="4"/>
    <x v="239"/>
    <x v="707"/>
    <x v="113"/>
    <x v="707"/>
    <x v="25"/>
    <x v="4"/>
    <x v="2"/>
  </r>
  <r>
    <x v="708"/>
    <x v="268"/>
    <x v="1"/>
    <x v="6"/>
    <x v="31"/>
    <x v="0"/>
    <x v="0"/>
    <x v="634"/>
    <x v="708"/>
    <x v="63"/>
    <x v="708"/>
    <x v="24"/>
    <x v="8"/>
    <x v="2"/>
  </r>
  <r>
    <x v="709"/>
    <x v="419"/>
    <x v="1"/>
    <x v="2"/>
    <x v="30"/>
    <x v="0"/>
    <x v="2"/>
    <x v="635"/>
    <x v="709"/>
    <x v="49"/>
    <x v="709"/>
    <x v="25"/>
    <x v="9"/>
    <x v="1"/>
  </r>
  <r>
    <x v="710"/>
    <x v="155"/>
    <x v="0"/>
    <x v="2"/>
    <x v="23"/>
    <x v="0"/>
    <x v="3"/>
    <x v="636"/>
    <x v="710"/>
    <x v="54"/>
    <x v="710"/>
    <x v="73"/>
    <x v="8"/>
    <x v="2"/>
  </r>
  <r>
    <x v="711"/>
    <x v="480"/>
    <x v="0"/>
    <x v="3"/>
    <x v="7"/>
    <x v="0"/>
    <x v="2"/>
    <x v="637"/>
    <x v="711"/>
    <x v="137"/>
    <x v="711"/>
    <x v="25"/>
    <x v="4"/>
    <x v="2"/>
  </r>
  <r>
    <x v="712"/>
    <x v="311"/>
    <x v="0"/>
    <x v="7"/>
    <x v="18"/>
    <x v="0"/>
    <x v="0"/>
    <x v="638"/>
    <x v="712"/>
    <x v="79"/>
    <x v="712"/>
    <x v="24"/>
    <x v="0"/>
    <x v="0"/>
  </r>
  <r>
    <x v="713"/>
    <x v="456"/>
    <x v="1"/>
    <x v="0"/>
    <x v="24"/>
    <x v="0"/>
    <x v="4"/>
    <x v="272"/>
    <x v="713"/>
    <x v="35"/>
    <x v="713"/>
    <x v="23"/>
    <x v="6"/>
    <x v="0"/>
  </r>
  <r>
    <x v="714"/>
    <x v="481"/>
    <x v="1"/>
    <x v="0"/>
    <x v="0"/>
    <x v="0"/>
    <x v="0"/>
    <x v="639"/>
    <x v="714"/>
    <x v="166"/>
    <x v="714"/>
    <x v="24"/>
    <x v="7"/>
    <x v="1"/>
  </r>
  <r>
    <x v="715"/>
    <x v="482"/>
    <x v="1"/>
    <x v="1"/>
    <x v="10"/>
    <x v="0"/>
    <x v="4"/>
    <x v="640"/>
    <x v="715"/>
    <x v="200"/>
    <x v="715"/>
    <x v="23"/>
    <x v="3"/>
    <x v="2"/>
  </r>
  <r>
    <x v="716"/>
    <x v="483"/>
    <x v="1"/>
    <x v="5"/>
    <x v="29"/>
    <x v="0"/>
    <x v="4"/>
    <x v="641"/>
    <x v="716"/>
    <x v="85"/>
    <x v="716"/>
    <x v="24"/>
    <x v="8"/>
    <x v="2"/>
  </r>
  <r>
    <x v="717"/>
    <x v="319"/>
    <x v="1"/>
    <x v="1"/>
    <x v="1"/>
    <x v="0"/>
    <x v="4"/>
    <x v="642"/>
    <x v="717"/>
    <x v="156"/>
    <x v="717"/>
    <x v="23"/>
    <x v="3"/>
    <x v="2"/>
  </r>
  <r>
    <x v="718"/>
    <x v="399"/>
    <x v="1"/>
    <x v="4"/>
    <x v="12"/>
    <x v="0"/>
    <x v="1"/>
    <x v="643"/>
    <x v="718"/>
    <x v="159"/>
    <x v="718"/>
    <x v="72"/>
    <x v="10"/>
    <x v="0"/>
  </r>
  <r>
    <x v="719"/>
    <x v="185"/>
    <x v="1"/>
    <x v="2"/>
    <x v="23"/>
    <x v="0"/>
    <x v="2"/>
    <x v="644"/>
    <x v="719"/>
    <x v="0"/>
    <x v="719"/>
    <x v="39"/>
    <x v="8"/>
    <x v="2"/>
  </r>
  <r>
    <x v="720"/>
    <x v="426"/>
    <x v="1"/>
    <x v="1"/>
    <x v="21"/>
    <x v="0"/>
    <x v="1"/>
    <x v="645"/>
    <x v="720"/>
    <x v="212"/>
    <x v="720"/>
    <x v="40"/>
    <x v="3"/>
    <x v="2"/>
  </r>
  <r>
    <x v="721"/>
    <x v="484"/>
    <x v="0"/>
    <x v="4"/>
    <x v="11"/>
    <x v="2"/>
    <x v="5"/>
    <x v="646"/>
    <x v="721"/>
    <x v="204"/>
    <x v="721"/>
    <x v="41"/>
    <x v="8"/>
    <x v="2"/>
  </r>
  <r>
    <x v="722"/>
    <x v="237"/>
    <x v="0"/>
    <x v="4"/>
    <x v="9"/>
    <x v="0"/>
    <x v="1"/>
    <x v="647"/>
    <x v="722"/>
    <x v="39"/>
    <x v="722"/>
    <x v="42"/>
    <x v="5"/>
    <x v="0"/>
  </r>
  <r>
    <x v="723"/>
    <x v="485"/>
    <x v="0"/>
    <x v="2"/>
    <x v="23"/>
    <x v="0"/>
    <x v="3"/>
    <x v="648"/>
    <x v="723"/>
    <x v="77"/>
    <x v="723"/>
    <x v="41"/>
    <x v="1"/>
    <x v="1"/>
  </r>
  <r>
    <x v="724"/>
    <x v="338"/>
    <x v="0"/>
    <x v="7"/>
    <x v="18"/>
    <x v="0"/>
    <x v="1"/>
    <x v="649"/>
    <x v="724"/>
    <x v="109"/>
    <x v="724"/>
    <x v="42"/>
    <x v="6"/>
    <x v="0"/>
  </r>
  <r>
    <x v="725"/>
    <x v="486"/>
    <x v="3"/>
    <x v="5"/>
    <x v="29"/>
    <x v="0"/>
    <x v="5"/>
    <x v="650"/>
    <x v="725"/>
    <x v="2"/>
    <x v="725"/>
    <x v="41"/>
    <x v="2"/>
    <x v="0"/>
  </r>
  <r>
    <x v="726"/>
    <x v="404"/>
    <x v="0"/>
    <x v="4"/>
    <x v="20"/>
    <x v="0"/>
    <x v="1"/>
    <x v="323"/>
    <x v="726"/>
    <x v="0"/>
    <x v="726"/>
    <x v="42"/>
    <x v="4"/>
    <x v="2"/>
  </r>
  <r>
    <x v="727"/>
    <x v="257"/>
    <x v="1"/>
    <x v="5"/>
    <x v="6"/>
    <x v="0"/>
    <x v="2"/>
    <x v="651"/>
    <x v="727"/>
    <x v="154"/>
    <x v="727"/>
    <x v="41"/>
    <x v="10"/>
    <x v="0"/>
  </r>
  <r>
    <x v="728"/>
    <x v="192"/>
    <x v="1"/>
    <x v="4"/>
    <x v="4"/>
    <x v="0"/>
    <x v="4"/>
    <x v="652"/>
    <x v="728"/>
    <x v="0"/>
    <x v="728"/>
    <x v="42"/>
    <x v="8"/>
    <x v="2"/>
  </r>
  <r>
    <x v="729"/>
    <x v="417"/>
    <x v="0"/>
    <x v="4"/>
    <x v="20"/>
    <x v="0"/>
    <x v="3"/>
    <x v="653"/>
    <x v="729"/>
    <x v="65"/>
    <x v="729"/>
    <x v="41"/>
    <x v="2"/>
    <x v="0"/>
  </r>
  <r>
    <x v="730"/>
    <x v="286"/>
    <x v="1"/>
    <x v="4"/>
    <x v="9"/>
    <x v="0"/>
    <x v="1"/>
    <x v="654"/>
    <x v="730"/>
    <x v="207"/>
    <x v="730"/>
    <x v="40"/>
    <x v="5"/>
    <x v="0"/>
  </r>
  <r>
    <x v="731"/>
    <x v="487"/>
    <x v="0"/>
    <x v="5"/>
    <x v="17"/>
    <x v="0"/>
    <x v="3"/>
    <x v="655"/>
    <x v="731"/>
    <x v="42"/>
    <x v="731"/>
    <x v="39"/>
    <x v="8"/>
    <x v="2"/>
  </r>
  <r>
    <x v="732"/>
    <x v="488"/>
    <x v="0"/>
    <x v="3"/>
    <x v="19"/>
    <x v="0"/>
    <x v="4"/>
    <x v="656"/>
    <x v="732"/>
    <x v="216"/>
    <x v="732"/>
    <x v="72"/>
    <x v="4"/>
    <x v="2"/>
  </r>
  <r>
    <x v="733"/>
    <x v="484"/>
    <x v="1"/>
    <x v="7"/>
    <x v="32"/>
    <x v="0"/>
    <x v="2"/>
    <x v="657"/>
    <x v="733"/>
    <x v="183"/>
    <x v="733"/>
    <x v="39"/>
    <x v="6"/>
    <x v="0"/>
  </r>
  <r>
    <x v="734"/>
    <x v="423"/>
    <x v="0"/>
    <x v="0"/>
    <x v="0"/>
    <x v="0"/>
    <x v="5"/>
    <x v="658"/>
    <x v="734"/>
    <x v="224"/>
    <x v="734"/>
    <x v="72"/>
    <x v="1"/>
    <x v="1"/>
  </r>
  <r>
    <x v="735"/>
    <x v="489"/>
    <x v="0"/>
    <x v="5"/>
    <x v="6"/>
    <x v="0"/>
    <x v="1"/>
    <x v="659"/>
    <x v="735"/>
    <x v="225"/>
    <x v="735"/>
    <x v="39"/>
    <x v="1"/>
    <x v="1"/>
  </r>
  <r>
    <x v="736"/>
    <x v="323"/>
    <x v="1"/>
    <x v="0"/>
    <x v="24"/>
    <x v="0"/>
    <x v="2"/>
    <x v="660"/>
    <x v="736"/>
    <x v="0"/>
    <x v="736"/>
    <x v="72"/>
    <x v="0"/>
    <x v="0"/>
  </r>
  <r>
    <x v="737"/>
    <x v="490"/>
    <x v="1"/>
    <x v="5"/>
    <x v="29"/>
    <x v="1"/>
    <x v="4"/>
    <x v="661"/>
    <x v="737"/>
    <x v="32"/>
    <x v="737"/>
    <x v="23"/>
    <x v="3"/>
    <x v="2"/>
  </r>
  <r>
    <x v="738"/>
    <x v="228"/>
    <x v="1"/>
    <x v="0"/>
    <x v="24"/>
    <x v="0"/>
    <x v="0"/>
    <x v="662"/>
    <x v="738"/>
    <x v="149"/>
    <x v="738"/>
    <x v="72"/>
    <x v="2"/>
    <x v="0"/>
  </r>
  <r>
    <x v="739"/>
    <x v="268"/>
    <x v="1"/>
    <x v="0"/>
    <x v="24"/>
    <x v="0"/>
    <x v="0"/>
    <x v="663"/>
    <x v="739"/>
    <x v="178"/>
    <x v="739"/>
    <x v="23"/>
    <x v="0"/>
    <x v="0"/>
  </r>
  <r>
    <x v="740"/>
    <x v="491"/>
    <x v="0"/>
    <x v="0"/>
    <x v="15"/>
    <x v="0"/>
    <x v="2"/>
    <x v="70"/>
    <x v="740"/>
    <x v="216"/>
    <x v="740"/>
    <x v="72"/>
    <x v="3"/>
    <x v="2"/>
  </r>
  <r>
    <x v="741"/>
    <x v="78"/>
    <x v="0"/>
    <x v="6"/>
    <x v="31"/>
    <x v="2"/>
    <x v="5"/>
    <x v="664"/>
    <x v="741"/>
    <x v="58"/>
    <x v="741"/>
    <x v="23"/>
    <x v="3"/>
    <x v="2"/>
  </r>
  <r>
    <x v="742"/>
    <x v="102"/>
    <x v="1"/>
    <x v="2"/>
    <x v="30"/>
    <x v="0"/>
    <x v="4"/>
    <x v="185"/>
    <x v="742"/>
    <x v="0"/>
    <x v="742"/>
    <x v="24"/>
    <x v="3"/>
    <x v="2"/>
  </r>
  <r>
    <x v="743"/>
    <x v="119"/>
    <x v="0"/>
    <x v="7"/>
    <x v="25"/>
    <x v="0"/>
    <x v="5"/>
    <x v="665"/>
    <x v="743"/>
    <x v="52"/>
    <x v="743"/>
    <x v="23"/>
    <x v="9"/>
    <x v="1"/>
  </r>
  <r>
    <x v="744"/>
    <x v="198"/>
    <x v="1"/>
    <x v="6"/>
    <x v="22"/>
    <x v="0"/>
    <x v="3"/>
    <x v="517"/>
    <x v="744"/>
    <x v="11"/>
    <x v="744"/>
    <x v="72"/>
    <x v="3"/>
    <x v="2"/>
  </r>
  <r>
    <x v="745"/>
    <x v="25"/>
    <x v="0"/>
    <x v="5"/>
    <x v="17"/>
    <x v="0"/>
    <x v="4"/>
    <x v="666"/>
    <x v="745"/>
    <x v="40"/>
    <x v="745"/>
    <x v="23"/>
    <x v="8"/>
    <x v="2"/>
  </r>
  <r>
    <x v="746"/>
    <x v="241"/>
    <x v="0"/>
    <x v="0"/>
    <x v="0"/>
    <x v="2"/>
    <x v="0"/>
    <x v="667"/>
    <x v="746"/>
    <x v="120"/>
    <x v="746"/>
    <x v="72"/>
    <x v="0"/>
    <x v="0"/>
  </r>
  <r>
    <x v="747"/>
    <x v="220"/>
    <x v="0"/>
    <x v="7"/>
    <x v="32"/>
    <x v="0"/>
    <x v="4"/>
    <x v="668"/>
    <x v="747"/>
    <x v="105"/>
    <x v="747"/>
    <x v="23"/>
    <x v="4"/>
    <x v="2"/>
  </r>
  <r>
    <x v="748"/>
    <x v="91"/>
    <x v="1"/>
    <x v="1"/>
    <x v="10"/>
    <x v="0"/>
    <x v="0"/>
    <x v="669"/>
    <x v="748"/>
    <x v="83"/>
    <x v="748"/>
    <x v="72"/>
    <x v="3"/>
    <x v="2"/>
  </r>
  <r>
    <x v="749"/>
    <x v="492"/>
    <x v="1"/>
    <x v="3"/>
    <x v="7"/>
    <x v="0"/>
    <x v="2"/>
    <x v="534"/>
    <x v="749"/>
    <x v="226"/>
    <x v="749"/>
    <x v="39"/>
    <x v="0"/>
    <x v="0"/>
  </r>
  <r>
    <x v="750"/>
    <x v="79"/>
    <x v="1"/>
    <x v="4"/>
    <x v="20"/>
    <x v="0"/>
    <x v="0"/>
    <x v="670"/>
    <x v="750"/>
    <x v="0"/>
    <x v="750"/>
    <x v="40"/>
    <x v="8"/>
    <x v="2"/>
  </r>
  <r>
    <x v="751"/>
    <x v="91"/>
    <x v="2"/>
    <x v="1"/>
    <x v="21"/>
    <x v="0"/>
    <x v="3"/>
    <x v="671"/>
    <x v="751"/>
    <x v="8"/>
    <x v="751"/>
    <x v="39"/>
    <x v="4"/>
    <x v="2"/>
  </r>
  <r>
    <x v="752"/>
    <x v="146"/>
    <x v="1"/>
    <x v="3"/>
    <x v="7"/>
    <x v="0"/>
    <x v="5"/>
    <x v="672"/>
    <x v="752"/>
    <x v="156"/>
    <x v="752"/>
    <x v="40"/>
    <x v="2"/>
    <x v="0"/>
  </r>
  <r>
    <x v="753"/>
    <x v="253"/>
    <x v="1"/>
    <x v="0"/>
    <x v="0"/>
    <x v="0"/>
    <x v="5"/>
    <x v="673"/>
    <x v="753"/>
    <x v="0"/>
    <x v="753"/>
    <x v="41"/>
    <x v="5"/>
    <x v="0"/>
  </r>
  <r>
    <x v="754"/>
    <x v="111"/>
    <x v="2"/>
    <x v="4"/>
    <x v="12"/>
    <x v="0"/>
    <x v="2"/>
    <x v="674"/>
    <x v="754"/>
    <x v="227"/>
    <x v="754"/>
    <x v="40"/>
    <x v="9"/>
    <x v="1"/>
  </r>
  <r>
    <x v="755"/>
    <x v="162"/>
    <x v="0"/>
    <x v="5"/>
    <x v="6"/>
    <x v="1"/>
    <x v="1"/>
    <x v="675"/>
    <x v="755"/>
    <x v="66"/>
    <x v="755"/>
    <x v="39"/>
    <x v="10"/>
    <x v="0"/>
  </r>
  <r>
    <x v="756"/>
    <x v="415"/>
    <x v="1"/>
    <x v="3"/>
    <x v="27"/>
    <x v="0"/>
    <x v="2"/>
    <x v="676"/>
    <x v="756"/>
    <x v="200"/>
    <x v="756"/>
    <x v="40"/>
    <x v="2"/>
    <x v="0"/>
  </r>
  <r>
    <x v="757"/>
    <x v="133"/>
    <x v="1"/>
    <x v="7"/>
    <x v="32"/>
    <x v="0"/>
    <x v="3"/>
    <x v="59"/>
    <x v="757"/>
    <x v="77"/>
    <x v="757"/>
    <x v="41"/>
    <x v="9"/>
    <x v="1"/>
  </r>
  <r>
    <x v="758"/>
    <x v="493"/>
    <x v="1"/>
    <x v="5"/>
    <x v="29"/>
    <x v="0"/>
    <x v="4"/>
    <x v="677"/>
    <x v="758"/>
    <x v="212"/>
    <x v="758"/>
    <x v="77"/>
    <x v="0"/>
    <x v="0"/>
  </r>
  <r>
    <x v="759"/>
    <x v="494"/>
    <x v="1"/>
    <x v="5"/>
    <x v="17"/>
    <x v="1"/>
    <x v="2"/>
    <x v="678"/>
    <x v="759"/>
    <x v="78"/>
    <x v="759"/>
    <x v="54"/>
    <x v="2"/>
    <x v="0"/>
  </r>
  <r>
    <x v="760"/>
    <x v="495"/>
    <x v="0"/>
    <x v="4"/>
    <x v="20"/>
    <x v="0"/>
    <x v="3"/>
    <x v="679"/>
    <x v="760"/>
    <x v="34"/>
    <x v="760"/>
    <x v="78"/>
    <x v="5"/>
    <x v="0"/>
  </r>
  <r>
    <x v="761"/>
    <x v="496"/>
    <x v="0"/>
    <x v="6"/>
    <x v="16"/>
    <x v="0"/>
    <x v="4"/>
    <x v="680"/>
    <x v="761"/>
    <x v="2"/>
    <x v="761"/>
    <x v="54"/>
    <x v="9"/>
    <x v="1"/>
  </r>
  <r>
    <x v="762"/>
    <x v="252"/>
    <x v="0"/>
    <x v="6"/>
    <x v="13"/>
    <x v="0"/>
    <x v="0"/>
    <x v="681"/>
    <x v="762"/>
    <x v="46"/>
    <x v="762"/>
    <x v="78"/>
    <x v="1"/>
    <x v="1"/>
  </r>
  <r>
    <x v="763"/>
    <x v="119"/>
    <x v="1"/>
    <x v="2"/>
    <x v="8"/>
    <x v="0"/>
    <x v="4"/>
    <x v="682"/>
    <x v="763"/>
    <x v="157"/>
    <x v="763"/>
    <x v="54"/>
    <x v="8"/>
    <x v="2"/>
  </r>
  <r>
    <x v="764"/>
    <x v="497"/>
    <x v="1"/>
    <x v="4"/>
    <x v="11"/>
    <x v="0"/>
    <x v="0"/>
    <x v="183"/>
    <x v="764"/>
    <x v="106"/>
    <x v="764"/>
    <x v="77"/>
    <x v="0"/>
    <x v="0"/>
  </r>
  <r>
    <x v="765"/>
    <x v="498"/>
    <x v="0"/>
    <x v="7"/>
    <x v="32"/>
    <x v="0"/>
    <x v="5"/>
    <x v="683"/>
    <x v="765"/>
    <x v="0"/>
    <x v="765"/>
    <x v="41"/>
    <x v="9"/>
    <x v="1"/>
  </r>
  <r>
    <x v="766"/>
    <x v="69"/>
    <x v="1"/>
    <x v="2"/>
    <x v="30"/>
    <x v="0"/>
    <x v="4"/>
    <x v="684"/>
    <x v="766"/>
    <x v="226"/>
    <x v="766"/>
    <x v="77"/>
    <x v="8"/>
    <x v="2"/>
  </r>
  <r>
    <x v="767"/>
    <x v="18"/>
    <x v="0"/>
    <x v="5"/>
    <x v="17"/>
    <x v="0"/>
    <x v="0"/>
    <x v="685"/>
    <x v="767"/>
    <x v="2"/>
    <x v="767"/>
    <x v="41"/>
    <x v="9"/>
    <x v="1"/>
  </r>
  <r>
    <x v="768"/>
    <x v="499"/>
    <x v="1"/>
    <x v="0"/>
    <x v="24"/>
    <x v="0"/>
    <x v="2"/>
    <x v="686"/>
    <x v="768"/>
    <x v="135"/>
    <x v="768"/>
    <x v="77"/>
    <x v="9"/>
    <x v="1"/>
  </r>
  <r>
    <x v="769"/>
    <x v="500"/>
    <x v="2"/>
    <x v="5"/>
    <x v="17"/>
    <x v="0"/>
    <x v="3"/>
    <x v="687"/>
    <x v="769"/>
    <x v="217"/>
    <x v="769"/>
    <x v="41"/>
    <x v="2"/>
    <x v="0"/>
  </r>
  <r>
    <x v="770"/>
    <x v="22"/>
    <x v="0"/>
    <x v="4"/>
    <x v="20"/>
    <x v="0"/>
    <x v="2"/>
    <x v="688"/>
    <x v="770"/>
    <x v="78"/>
    <x v="770"/>
    <x v="40"/>
    <x v="6"/>
    <x v="0"/>
  </r>
  <r>
    <x v="771"/>
    <x v="390"/>
    <x v="1"/>
    <x v="5"/>
    <x v="6"/>
    <x v="0"/>
    <x v="5"/>
    <x v="689"/>
    <x v="771"/>
    <x v="38"/>
    <x v="771"/>
    <x v="39"/>
    <x v="0"/>
    <x v="0"/>
  </r>
  <r>
    <x v="772"/>
    <x v="162"/>
    <x v="1"/>
    <x v="4"/>
    <x v="4"/>
    <x v="0"/>
    <x v="4"/>
    <x v="690"/>
    <x v="772"/>
    <x v="228"/>
    <x v="772"/>
    <x v="40"/>
    <x v="2"/>
    <x v="0"/>
  </r>
  <r>
    <x v="773"/>
    <x v="273"/>
    <x v="0"/>
    <x v="0"/>
    <x v="15"/>
    <x v="0"/>
    <x v="0"/>
    <x v="691"/>
    <x v="773"/>
    <x v="201"/>
    <x v="773"/>
    <x v="39"/>
    <x v="3"/>
    <x v="2"/>
  </r>
  <r>
    <x v="774"/>
    <x v="335"/>
    <x v="0"/>
    <x v="5"/>
    <x v="6"/>
    <x v="0"/>
    <x v="4"/>
    <x v="692"/>
    <x v="774"/>
    <x v="119"/>
    <x v="774"/>
    <x v="40"/>
    <x v="2"/>
    <x v="0"/>
  </r>
  <r>
    <x v="775"/>
    <x v="35"/>
    <x v="1"/>
    <x v="4"/>
    <x v="9"/>
    <x v="0"/>
    <x v="4"/>
    <x v="693"/>
    <x v="775"/>
    <x v="174"/>
    <x v="775"/>
    <x v="39"/>
    <x v="9"/>
    <x v="1"/>
  </r>
  <r>
    <x v="776"/>
    <x v="452"/>
    <x v="3"/>
    <x v="6"/>
    <x v="31"/>
    <x v="1"/>
    <x v="0"/>
    <x v="209"/>
    <x v="776"/>
    <x v="74"/>
    <x v="776"/>
    <x v="40"/>
    <x v="8"/>
    <x v="2"/>
  </r>
  <r>
    <x v="777"/>
    <x v="303"/>
    <x v="0"/>
    <x v="2"/>
    <x v="8"/>
    <x v="0"/>
    <x v="5"/>
    <x v="694"/>
    <x v="777"/>
    <x v="96"/>
    <x v="777"/>
    <x v="39"/>
    <x v="6"/>
    <x v="0"/>
  </r>
  <r>
    <x v="778"/>
    <x v="247"/>
    <x v="1"/>
    <x v="2"/>
    <x v="23"/>
    <x v="2"/>
    <x v="2"/>
    <x v="695"/>
    <x v="778"/>
    <x v="31"/>
    <x v="778"/>
    <x v="40"/>
    <x v="7"/>
    <x v="1"/>
  </r>
  <r>
    <x v="779"/>
    <x v="501"/>
    <x v="1"/>
    <x v="3"/>
    <x v="27"/>
    <x v="0"/>
    <x v="1"/>
    <x v="353"/>
    <x v="779"/>
    <x v="0"/>
    <x v="779"/>
    <x v="39"/>
    <x v="9"/>
    <x v="1"/>
  </r>
  <r>
    <x v="780"/>
    <x v="502"/>
    <x v="0"/>
    <x v="2"/>
    <x v="23"/>
    <x v="0"/>
    <x v="1"/>
    <x v="696"/>
    <x v="780"/>
    <x v="145"/>
    <x v="780"/>
    <x v="72"/>
    <x v="1"/>
    <x v="1"/>
  </r>
  <r>
    <x v="781"/>
    <x v="503"/>
    <x v="1"/>
    <x v="7"/>
    <x v="26"/>
    <x v="0"/>
    <x v="2"/>
    <x v="697"/>
    <x v="781"/>
    <x v="169"/>
    <x v="781"/>
    <x v="23"/>
    <x v="3"/>
    <x v="2"/>
  </r>
  <r>
    <x v="782"/>
    <x v="504"/>
    <x v="0"/>
    <x v="6"/>
    <x v="22"/>
    <x v="0"/>
    <x v="1"/>
    <x v="698"/>
    <x v="782"/>
    <x v="110"/>
    <x v="782"/>
    <x v="24"/>
    <x v="1"/>
    <x v="1"/>
  </r>
  <r>
    <x v="783"/>
    <x v="32"/>
    <x v="1"/>
    <x v="0"/>
    <x v="28"/>
    <x v="0"/>
    <x v="2"/>
    <x v="699"/>
    <x v="783"/>
    <x v="42"/>
    <x v="783"/>
    <x v="25"/>
    <x v="3"/>
    <x v="2"/>
  </r>
  <r>
    <x v="784"/>
    <x v="117"/>
    <x v="1"/>
    <x v="4"/>
    <x v="5"/>
    <x v="0"/>
    <x v="4"/>
    <x v="700"/>
    <x v="784"/>
    <x v="210"/>
    <x v="784"/>
    <x v="73"/>
    <x v="8"/>
    <x v="2"/>
  </r>
  <r>
    <x v="785"/>
    <x v="2"/>
    <x v="0"/>
    <x v="1"/>
    <x v="10"/>
    <x v="0"/>
    <x v="1"/>
    <x v="701"/>
    <x v="785"/>
    <x v="99"/>
    <x v="785"/>
    <x v="31"/>
    <x v="6"/>
    <x v="0"/>
  </r>
  <r>
    <x v="786"/>
    <x v="505"/>
    <x v="2"/>
    <x v="7"/>
    <x v="14"/>
    <x v="0"/>
    <x v="1"/>
    <x v="702"/>
    <x v="786"/>
    <x v="0"/>
    <x v="786"/>
    <x v="73"/>
    <x v="9"/>
    <x v="1"/>
  </r>
  <r>
    <x v="787"/>
    <x v="451"/>
    <x v="1"/>
    <x v="0"/>
    <x v="28"/>
    <x v="0"/>
    <x v="2"/>
    <x v="703"/>
    <x v="787"/>
    <x v="145"/>
    <x v="787"/>
    <x v="25"/>
    <x v="6"/>
    <x v="0"/>
  </r>
  <r>
    <x v="788"/>
    <x v="369"/>
    <x v="0"/>
    <x v="0"/>
    <x v="0"/>
    <x v="0"/>
    <x v="4"/>
    <x v="704"/>
    <x v="788"/>
    <x v="220"/>
    <x v="788"/>
    <x v="73"/>
    <x v="0"/>
    <x v="0"/>
  </r>
  <r>
    <x v="789"/>
    <x v="506"/>
    <x v="1"/>
    <x v="1"/>
    <x v="1"/>
    <x v="0"/>
    <x v="0"/>
    <x v="705"/>
    <x v="789"/>
    <x v="92"/>
    <x v="789"/>
    <x v="25"/>
    <x v="1"/>
    <x v="1"/>
  </r>
  <r>
    <x v="790"/>
    <x v="507"/>
    <x v="0"/>
    <x v="4"/>
    <x v="11"/>
    <x v="0"/>
    <x v="3"/>
    <x v="360"/>
    <x v="790"/>
    <x v="0"/>
    <x v="790"/>
    <x v="24"/>
    <x v="9"/>
    <x v="1"/>
  </r>
  <r>
    <x v="791"/>
    <x v="508"/>
    <x v="1"/>
    <x v="7"/>
    <x v="18"/>
    <x v="2"/>
    <x v="0"/>
    <x v="706"/>
    <x v="791"/>
    <x v="72"/>
    <x v="791"/>
    <x v="25"/>
    <x v="4"/>
    <x v="2"/>
  </r>
  <r>
    <x v="792"/>
    <x v="53"/>
    <x v="0"/>
    <x v="7"/>
    <x v="14"/>
    <x v="0"/>
    <x v="5"/>
    <x v="707"/>
    <x v="792"/>
    <x v="154"/>
    <x v="792"/>
    <x v="73"/>
    <x v="0"/>
    <x v="0"/>
  </r>
  <r>
    <x v="793"/>
    <x v="160"/>
    <x v="0"/>
    <x v="3"/>
    <x v="3"/>
    <x v="0"/>
    <x v="4"/>
    <x v="708"/>
    <x v="793"/>
    <x v="24"/>
    <x v="793"/>
    <x v="31"/>
    <x v="2"/>
    <x v="0"/>
  </r>
  <r>
    <x v="794"/>
    <x v="469"/>
    <x v="1"/>
    <x v="4"/>
    <x v="11"/>
    <x v="0"/>
    <x v="2"/>
    <x v="709"/>
    <x v="794"/>
    <x v="0"/>
    <x v="794"/>
    <x v="73"/>
    <x v="5"/>
    <x v="0"/>
  </r>
  <r>
    <x v="795"/>
    <x v="509"/>
    <x v="0"/>
    <x v="5"/>
    <x v="29"/>
    <x v="1"/>
    <x v="5"/>
    <x v="710"/>
    <x v="795"/>
    <x v="17"/>
    <x v="795"/>
    <x v="25"/>
    <x v="0"/>
    <x v="0"/>
  </r>
  <r>
    <x v="796"/>
    <x v="163"/>
    <x v="1"/>
    <x v="1"/>
    <x v="10"/>
    <x v="0"/>
    <x v="3"/>
    <x v="711"/>
    <x v="796"/>
    <x v="93"/>
    <x v="796"/>
    <x v="24"/>
    <x v="9"/>
    <x v="1"/>
  </r>
  <r>
    <x v="797"/>
    <x v="510"/>
    <x v="0"/>
    <x v="7"/>
    <x v="25"/>
    <x v="0"/>
    <x v="1"/>
    <x v="564"/>
    <x v="797"/>
    <x v="124"/>
    <x v="797"/>
    <x v="23"/>
    <x v="5"/>
    <x v="0"/>
  </r>
  <r>
    <x v="798"/>
    <x v="511"/>
    <x v="1"/>
    <x v="2"/>
    <x v="23"/>
    <x v="0"/>
    <x v="4"/>
    <x v="712"/>
    <x v="798"/>
    <x v="40"/>
    <x v="798"/>
    <x v="72"/>
    <x v="0"/>
    <x v="0"/>
  </r>
  <r>
    <x v="799"/>
    <x v="512"/>
    <x v="0"/>
    <x v="1"/>
    <x v="21"/>
    <x v="0"/>
    <x v="5"/>
    <x v="713"/>
    <x v="799"/>
    <x v="142"/>
    <x v="799"/>
    <x v="23"/>
    <x v="2"/>
    <x v="0"/>
  </r>
  <r>
    <x v="800"/>
    <x v="291"/>
    <x v="1"/>
    <x v="2"/>
    <x v="2"/>
    <x v="2"/>
    <x v="3"/>
    <x v="350"/>
    <x v="800"/>
    <x v="0"/>
    <x v="800"/>
    <x v="72"/>
    <x v="2"/>
    <x v="0"/>
  </r>
  <r>
    <x v="801"/>
    <x v="513"/>
    <x v="1"/>
    <x v="4"/>
    <x v="5"/>
    <x v="0"/>
    <x v="1"/>
    <x v="714"/>
    <x v="801"/>
    <x v="62"/>
    <x v="801"/>
    <x v="39"/>
    <x v="3"/>
    <x v="2"/>
  </r>
  <r>
    <x v="802"/>
    <x v="514"/>
    <x v="0"/>
    <x v="7"/>
    <x v="32"/>
    <x v="0"/>
    <x v="5"/>
    <x v="715"/>
    <x v="802"/>
    <x v="183"/>
    <x v="802"/>
    <x v="79"/>
    <x v="4"/>
    <x v="2"/>
  </r>
  <r>
    <x v="803"/>
    <x v="515"/>
    <x v="3"/>
    <x v="3"/>
    <x v="19"/>
    <x v="0"/>
    <x v="5"/>
    <x v="716"/>
    <x v="803"/>
    <x v="89"/>
    <x v="803"/>
    <x v="39"/>
    <x v="9"/>
    <x v="1"/>
  </r>
  <r>
    <x v="804"/>
    <x v="516"/>
    <x v="1"/>
    <x v="0"/>
    <x v="24"/>
    <x v="0"/>
    <x v="3"/>
    <x v="717"/>
    <x v="804"/>
    <x v="25"/>
    <x v="804"/>
    <x v="80"/>
    <x v="3"/>
    <x v="2"/>
  </r>
  <r>
    <x v="805"/>
    <x v="289"/>
    <x v="1"/>
    <x v="2"/>
    <x v="30"/>
    <x v="0"/>
    <x v="0"/>
    <x v="718"/>
    <x v="805"/>
    <x v="202"/>
    <x v="805"/>
    <x v="61"/>
    <x v="3"/>
    <x v="2"/>
  </r>
  <r>
    <x v="806"/>
    <x v="191"/>
    <x v="1"/>
    <x v="1"/>
    <x v="1"/>
    <x v="0"/>
    <x v="2"/>
    <x v="719"/>
    <x v="806"/>
    <x v="124"/>
    <x v="806"/>
    <x v="80"/>
    <x v="5"/>
    <x v="0"/>
  </r>
  <r>
    <x v="807"/>
    <x v="342"/>
    <x v="1"/>
    <x v="1"/>
    <x v="21"/>
    <x v="0"/>
    <x v="2"/>
    <x v="720"/>
    <x v="807"/>
    <x v="211"/>
    <x v="807"/>
    <x v="61"/>
    <x v="0"/>
    <x v="0"/>
  </r>
  <r>
    <x v="808"/>
    <x v="364"/>
    <x v="0"/>
    <x v="0"/>
    <x v="0"/>
    <x v="0"/>
    <x v="5"/>
    <x v="721"/>
    <x v="808"/>
    <x v="29"/>
    <x v="808"/>
    <x v="62"/>
    <x v="9"/>
    <x v="1"/>
  </r>
  <r>
    <x v="809"/>
    <x v="139"/>
    <x v="1"/>
    <x v="4"/>
    <x v="11"/>
    <x v="0"/>
    <x v="2"/>
    <x v="722"/>
    <x v="809"/>
    <x v="170"/>
    <x v="809"/>
    <x v="61"/>
    <x v="1"/>
    <x v="1"/>
  </r>
  <r>
    <x v="810"/>
    <x v="517"/>
    <x v="1"/>
    <x v="1"/>
    <x v="1"/>
    <x v="0"/>
    <x v="3"/>
    <x v="723"/>
    <x v="810"/>
    <x v="86"/>
    <x v="810"/>
    <x v="62"/>
    <x v="6"/>
    <x v="0"/>
  </r>
  <r>
    <x v="811"/>
    <x v="518"/>
    <x v="1"/>
    <x v="5"/>
    <x v="6"/>
    <x v="0"/>
    <x v="0"/>
    <x v="724"/>
    <x v="811"/>
    <x v="229"/>
    <x v="811"/>
    <x v="63"/>
    <x v="5"/>
    <x v="0"/>
  </r>
  <r>
    <x v="812"/>
    <x v="236"/>
    <x v="1"/>
    <x v="4"/>
    <x v="9"/>
    <x v="0"/>
    <x v="5"/>
    <x v="676"/>
    <x v="812"/>
    <x v="151"/>
    <x v="812"/>
    <x v="62"/>
    <x v="2"/>
    <x v="0"/>
  </r>
  <r>
    <x v="813"/>
    <x v="170"/>
    <x v="0"/>
    <x v="1"/>
    <x v="21"/>
    <x v="0"/>
    <x v="4"/>
    <x v="320"/>
    <x v="813"/>
    <x v="230"/>
    <x v="813"/>
    <x v="63"/>
    <x v="7"/>
    <x v="1"/>
  </r>
  <r>
    <x v="814"/>
    <x v="519"/>
    <x v="0"/>
    <x v="5"/>
    <x v="29"/>
    <x v="0"/>
    <x v="5"/>
    <x v="725"/>
    <x v="814"/>
    <x v="0"/>
    <x v="814"/>
    <x v="64"/>
    <x v="9"/>
    <x v="1"/>
  </r>
  <r>
    <x v="815"/>
    <x v="464"/>
    <x v="1"/>
    <x v="7"/>
    <x v="26"/>
    <x v="0"/>
    <x v="5"/>
    <x v="632"/>
    <x v="815"/>
    <x v="152"/>
    <x v="815"/>
    <x v="65"/>
    <x v="0"/>
    <x v="0"/>
  </r>
  <r>
    <x v="816"/>
    <x v="520"/>
    <x v="0"/>
    <x v="3"/>
    <x v="19"/>
    <x v="0"/>
    <x v="4"/>
    <x v="726"/>
    <x v="816"/>
    <x v="219"/>
    <x v="816"/>
    <x v="81"/>
    <x v="1"/>
    <x v="1"/>
  </r>
  <r>
    <x v="817"/>
    <x v="521"/>
    <x v="1"/>
    <x v="0"/>
    <x v="28"/>
    <x v="2"/>
    <x v="5"/>
    <x v="727"/>
    <x v="817"/>
    <x v="67"/>
    <x v="817"/>
    <x v="67"/>
    <x v="2"/>
    <x v="0"/>
  </r>
  <r>
    <x v="818"/>
    <x v="230"/>
    <x v="0"/>
    <x v="4"/>
    <x v="5"/>
    <x v="0"/>
    <x v="3"/>
    <x v="219"/>
    <x v="818"/>
    <x v="157"/>
    <x v="818"/>
    <x v="81"/>
    <x v="5"/>
    <x v="0"/>
  </r>
  <r>
    <x v="819"/>
    <x v="202"/>
    <x v="0"/>
    <x v="0"/>
    <x v="24"/>
    <x v="0"/>
    <x v="0"/>
    <x v="728"/>
    <x v="819"/>
    <x v="231"/>
    <x v="819"/>
    <x v="63"/>
    <x v="6"/>
    <x v="0"/>
  </r>
  <r>
    <x v="820"/>
    <x v="237"/>
    <x v="0"/>
    <x v="5"/>
    <x v="29"/>
    <x v="0"/>
    <x v="3"/>
    <x v="729"/>
    <x v="820"/>
    <x v="228"/>
    <x v="820"/>
    <x v="81"/>
    <x v="9"/>
    <x v="1"/>
  </r>
  <r>
    <x v="821"/>
    <x v="466"/>
    <x v="1"/>
    <x v="4"/>
    <x v="11"/>
    <x v="0"/>
    <x v="0"/>
    <x v="730"/>
    <x v="821"/>
    <x v="149"/>
    <x v="821"/>
    <x v="67"/>
    <x v="2"/>
    <x v="0"/>
  </r>
  <r>
    <x v="822"/>
    <x v="300"/>
    <x v="0"/>
    <x v="0"/>
    <x v="28"/>
    <x v="2"/>
    <x v="3"/>
    <x v="731"/>
    <x v="822"/>
    <x v="230"/>
    <x v="822"/>
    <x v="81"/>
    <x v="4"/>
    <x v="2"/>
  </r>
  <r>
    <x v="823"/>
    <x v="522"/>
    <x v="0"/>
    <x v="0"/>
    <x v="28"/>
    <x v="0"/>
    <x v="3"/>
    <x v="732"/>
    <x v="823"/>
    <x v="44"/>
    <x v="823"/>
    <x v="63"/>
    <x v="4"/>
    <x v="2"/>
  </r>
  <r>
    <x v="824"/>
    <x v="155"/>
    <x v="2"/>
    <x v="7"/>
    <x v="14"/>
    <x v="0"/>
    <x v="3"/>
    <x v="733"/>
    <x v="824"/>
    <x v="188"/>
    <x v="824"/>
    <x v="62"/>
    <x v="9"/>
    <x v="1"/>
  </r>
  <r>
    <x v="825"/>
    <x v="326"/>
    <x v="1"/>
    <x v="1"/>
    <x v="1"/>
    <x v="0"/>
    <x v="4"/>
    <x v="396"/>
    <x v="825"/>
    <x v="35"/>
    <x v="825"/>
    <x v="63"/>
    <x v="4"/>
    <x v="2"/>
  </r>
  <r>
    <x v="826"/>
    <x v="257"/>
    <x v="1"/>
    <x v="0"/>
    <x v="0"/>
    <x v="0"/>
    <x v="4"/>
    <x v="470"/>
    <x v="826"/>
    <x v="182"/>
    <x v="826"/>
    <x v="81"/>
    <x v="4"/>
    <x v="2"/>
  </r>
  <r>
    <x v="827"/>
    <x v="523"/>
    <x v="1"/>
    <x v="0"/>
    <x v="15"/>
    <x v="0"/>
    <x v="4"/>
    <x v="140"/>
    <x v="827"/>
    <x v="221"/>
    <x v="827"/>
    <x v="63"/>
    <x v="2"/>
    <x v="0"/>
  </r>
  <r>
    <x v="828"/>
    <x v="102"/>
    <x v="0"/>
    <x v="2"/>
    <x v="30"/>
    <x v="0"/>
    <x v="5"/>
    <x v="734"/>
    <x v="828"/>
    <x v="77"/>
    <x v="828"/>
    <x v="62"/>
    <x v="6"/>
    <x v="0"/>
  </r>
  <r>
    <x v="829"/>
    <x v="251"/>
    <x v="0"/>
    <x v="0"/>
    <x v="24"/>
    <x v="2"/>
    <x v="4"/>
    <x v="735"/>
    <x v="829"/>
    <x v="165"/>
    <x v="829"/>
    <x v="61"/>
    <x v="3"/>
    <x v="2"/>
  </r>
  <r>
    <x v="830"/>
    <x v="326"/>
    <x v="0"/>
    <x v="6"/>
    <x v="16"/>
    <x v="0"/>
    <x v="0"/>
    <x v="736"/>
    <x v="830"/>
    <x v="84"/>
    <x v="830"/>
    <x v="62"/>
    <x v="1"/>
    <x v="1"/>
  </r>
  <r>
    <x v="831"/>
    <x v="524"/>
    <x v="1"/>
    <x v="0"/>
    <x v="28"/>
    <x v="0"/>
    <x v="4"/>
    <x v="296"/>
    <x v="831"/>
    <x v="86"/>
    <x v="831"/>
    <x v="61"/>
    <x v="3"/>
    <x v="2"/>
  </r>
  <r>
    <x v="832"/>
    <x v="430"/>
    <x v="1"/>
    <x v="4"/>
    <x v="20"/>
    <x v="0"/>
    <x v="3"/>
    <x v="2"/>
    <x v="832"/>
    <x v="141"/>
    <x v="832"/>
    <x v="2"/>
    <x v="2"/>
    <x v="0"/>
  </r>
  <r>
    <x v="833"/>
    <x v="525"/>
    <x v="1"/>
    <x v="4"/>
    <x v="5"/>
    <x v="0"/>
    <x v="2"/>
    <x v="737"/>
    <x v="833"/>
    <x v="65"/>
    <x v="833"/>
    <x v="23"/>
    <x v="9"/>
    <x v="1"/>
  </r>
  <r>
    <x v="834"/>
    <x v="526"/>
    <x v="0"/>
    <x v="7"/>
    <x v="18"/>
    <x v="0"/>
    <x v="4"/>
    <x v="738"/>
    <x v="834"/>
    <x v="34"/>
    <x v="834"/>
    <x v="2"/>
    <x v="3"/>
    <x v="2"/>
  </r>
  <r>
    <x v="835"/>
    <x v="6"/>
    <x v="1"/>
    <x v="0"/>
    <x v="28"/>
    <x v="0"/>
    <x v="1"/>
    <x v="739"/>
    <x v="835"/>
    <x v="180"/>
    <x v="835"/>
    <x v="23"/>
    <x v="5"/>
    <x v="0"/>
  </r>
  <r>
    <x v="836"/>
    <x v="346"/>
    <x v="0"/>
    <x v="1"/>
    <x v="21"/>
    <x v="0"/>
    <x v="4"/>
    <x v="565"/>
    <x v="836"/>
    <x v="101"/>
    <x v="836"/>
    <x v="24"/>
    <x v="9"/>
    <x v="1"/>
  </r>
  <r>
    <x v="837"/>
    <x v="205"/>
    <x v="1"/>
    <x v="0"/>
    <x v="24"/>
    <x v="0"/>
    <x v="3"/>
    <x v="740"/>
    <x v="837"/>
    <x v="202"/>
    <x v="837"/>
    <x v="23"/>
    <x v="0"/>
    <x v="0"/>
  </r>
  <r>
    <x v="838"/>
    <x v="527"/>
    <x v="1"/>
    <x v="7"/>
    <x v="26"/>
    <x v="0"/>
    <x v="0"/>
    <x v="86"/>
    <x v="838"/>
    <x v="195"/>
    <x v="838"/>
    <x v="2"/>
    <x v="1"/>
    <x v="1"/>
  </r>
  <r>
    <x v="839"/>
    <x v="95"/>
    <x v="0"/>
    <x v="3"/>
    <x v="7"/>
    <x v="0"/>
    <x v="1"/>
    <x v="741"/>
    <x v="839"/>
    <x v="193"/>
    <x v="839"/>
    <x v="23"/>
    <x v="4"/>
    <x v="2"/>
  </r>
  <r>
    <x v="840"/>
    <x v="282"/>
    <x v="1"/>
    <x v="4"/>
    <x v="9"/>
    <x v="0"/>
    <x v="1"/>
    <x v="742"/>
    <x v="840"/>
    <x v="134"/>
    <x v="840"/>
    <x v="2"/>
    <x v="0"/>
    <x v="0"/>
  </r>
  <r>
    <x v="841"/>
    <x v="131"/>
    <x v="0"/>
    <x v="3"/>
    <x v="19"/>
    <x v="0"/>
    <x v="0"/>
    <x v="298"/>
    <x v="841"/>
    <x v="66"/>
    <x v="841"/>
    <x v="23"/>
    <x v="4"/>
    <x v="2"/>
  </r>
  <r>
    <x v="842"/>
    <x v="528"/>
    <x v="0"/>
    <x v="4"/>
    <x v="9"/>
    <x v="0"/>
    <x v="3"/>
    <x v="373"/>
    <x v="842"/>
    <x v="140"/>
    <x v="842"/>
    <x v="2"/>
    <x v="8"/>
    <x v="2"/>
  </r>
  <r>
    <x v="843"/>
    <x v="529"/>
    <x v="0"/>
    <x v="1"/>
    <x v="1"/>
    <x v="0"/>
    <x v="3"/>
    <x v="743"/>
    <x v="843"/>
    <x v="0"/>
    <x v="843"/>
    <x v="23"/>
    <x v="7"/>
    <x v="1"/>
  </r>
  <r>
    <x v="844"/>
    <x v="19"/>
    <x v="0"/>
    <x v="4"/>
    <x v="12"/>
    <x v="0"/>
    <x v="5"/>
    <x v="744"/>
    <x v="844"/>
    <x v="104"/>
    <x v="844"/>
    <x v="2"/>
    <x v="6"/>
    <x v="0"/>
  </r>
  <r>
    <x v="845"/>
    <x v="530"/>
    <x v="0"/>
    <x v="0"/>
    <x v="0"/>
    <x v="0"/>
    <x v="0"/>
    <x v="745"/>
    <x v="845"/>
    <x v="126"/>
    <x v="845"/>
    <x v="23"/>
    <x v="3"/>
    <x v="2"/>
  </r>
  <r>
    <x v="846"/>
    <x v="318"/>
    <x v="1"/>
    <x v="4"/>
    <x v="11"/>
    <x v="0"/>
    <x v="3"/>
    <x v="746"/>
    <x v="846"/>
    <x v="200"/>
    <x v="846"/>
    <x v="2"/>
    <x v="2"/>
    <x v="0"/>
  </r>
  <r>
    <x v="847"/>
    <x v="282"/>
    <x v="1"/>
    <x v="1"/>
    <x v="21"/>
    <x v="0"/>
    <x v="4"/>
    <x v="747"/>
    <x v="168"/>
    <x v="44"/>
    <x v="847"/>
    <x v="23"/>
    <x v="2"/>
    <x v="0"/>
  </r>
  <r>
    <x v="848"/>
    <x v="531"/>
    <x v="0"/>
    <x v="7"/>
    <x v="26"/>
    <x v="0"/>
    <x v="4"/>
    <x v="574"/>
    <x v="847"/>
    <x v="0"/>
    <x v="848"/>
    <x v="2"/>
    <x v="0"/>
    <x v="0"/>
  </r>
  <r>
    <x v="849"/>
    <x v="345"/>
    <x v="0"/>
    <x v="3"/>
    <x v="3"/>
    <x v="1"/>
    <x v="1"/>
    <x v="748"/>
    <x v="848"/>
    <x v="0"/>
    <x v="849"/>
    <x v="61"/>
    <x v="0"/>
    <x v="0"/>
  </r>
  <r>
    <x v="850"/>
    <x v="532"/>
    <x v="0"/>
    <x v="4"/>
    <x v="9"/>
    <x v="0"/>
    <x v="4"/>
    <x v="294"/>
    <x v="849"/>
    <x v="14"/>
    <x v="850"/>
    <x v="62"/>
    <x v="2"/>
    <x v="0"/>
  </r>
  <r>
    <x v="851"/>
    <x v="125"/>
    <x v="1"/>
    <x v="2"/>
    <x v="2"/>
    <x v="0"/>
    <x v="2"/>
    <x v="53"/>
    <x v="850"/>
    <x v="7"/>
    <x v="851"/>
    <x v="61"/>
    <x v="1"/>
    <x v="1"/>
  </r>
  <r>
    <x v="852"/>
    <x v="429"/>
    <x v="1"/>
    <x v="4"/>
    <x v="4"/>
    <x v="0"/>
    <x v="3"/>
    <x v="749"/>
    <x v="851"/>
    <x v="72"/>
    <x v="852"/>
    <x v="2"/>
    <x v="2"/>
    <x v="0"/>
  </r>
  <r>
    <x v="853"/>
    <x v="533"/>
    <x v="0"/>
    <x v="5"/>
    <x v="6"/>
    <x v="0"/>
    <x v="4"/>
    <x v="750"/>
    <x v="852"/>
    <x v="121"/>
    <x v="853"/>
    <x v="23"/>
    <x v="2"/>
    <x v="0"/>
  </r>
  <r>
    <x v="854"/>
    <x v="534"/>
    <x v="0"/>
    <x v="4"/>
    <x v="12"/>
    <x v="0"/>
    <x v="3"/>
    <x v="751"/>
    <x v="853"/>
    <x v="178"/>
    <x v="854"/>
    <x v="24"/>
    <x v="4"/>
    <x v="2"/>
  </r>
  <r>
    <x v="855"/>
    <x v="535"/>
    <x v="3"/>
    <x v="4"/>
    <x v="9"/>
    <x v="0"/>
    <x v="4"/>
    <x v="475"/>
    <x v="854"/>
    <x v="53"/>
    <x v="855"/>
    <x v="25"/>
    <x v="8"/>
    <x v="2"/>
  </r>
  <r>
    <x v="856"/>
    <x v="357"/>
    <x v="0"/>
    <x v="4"/>
    <x v="5"/>
    <x v="0"/>
    <x v="0"/>
    <x v="752"/>
    <x v="855"/>
    <x v="88"/>
    <x v="856"/>
    <x v="24"/>
    <x v="1"/>
    <x v="1"/>
  </r>
  <r>
    <x v="857"/>
    <x v="52"/>
    <x v="1"/>
    <x v="7"/>
    <x v="32"/>
    <x v="0"/>
    <x v="4"/>
    <x v="753"/>
    <x v="856"/>
    <x v="217"/>
    <x v="857"/>
    <x v="25"/>
    <x v="4"/>
    <x v="2"/>
  </r>
  <r>
    <x v="858"/>
    <x v="536"/>
    <x v="1"/>
    <x v="7"/>
    <x v="18"/>
    <x v="0"/>
    <x v="0"/>
    <x v="754"/>
    <x v="857"/>
    <x v="101"/>
    <x v="858"/>
    <x v="24"/>
    <x v="6"/>
    <x v="0"/>
  </r>
  <r>
    <x v="859"/>
    <x v="420"/>
    <x v="0"/>
    <x v="4"/>
    <x v="5"/>
    <x v="0"/>
    <x v="3"/>
    <x v="755"/>
    <x v="858"/>
    <x v="31"/>
    <x v="859"/>
    <x v="23"/>
    <x v="1"/>
    <x v="1"/>
  </r>
  <r>
    <x v="860"/>
    <x v="537"/>
    <x v="0"/>
    <x v="5"/>
    <x v="6"/>
    <x v="1"/>
    <x v="0"/>
    <x v="756"/>
    <x v="859"/>
    <x v="50"/>
    <x v="860"/>
    <x v="24"/>
    <x v="4"/>
    <x v="2"/>
  </r>
  <r>
    <x v="861"/>
    <x v="344"/>
    <x v="1"/>
    <x v="0"/>
    <x v="28"/>
    <x v="0"/>
    <x v="3"/>
    <x v="757"/>
    <x v="860"/>
    <x v="23"/>
    <x v="861"/>
    <x v="23"/>
    <x v="2"/>
    <x v="0"/>
  </r>
  <r>
    <x v="862"/>
    <x v="538"/>
    <x v="0"/>
    <x v="7"/>
    <x v="25"/>
    <x v="0"/>
    <x v="1"/>
    <x v="758"/>
    <x v="861"/>
    <x v="138"/>
    <x v="862"/>
    <x v="24"/>
    <x v="4"/>
    <x v="2"/>
  </r>
  <r>
    <x v="863"/>
    <x v="539"/>
    <x v="0"/>
    <x v="0"/>
    <x v="24"/>
    <x v="0"/>
    <x v="5"/>
    <x v="315"/>
    <x v="862"/>
    <x v="128"/>
    <x v="863"/>
    <x v="23"/>
    <x v="0"/>
    <x v="0"/>
  </r>
  <r>
    <x v="864"/>
    <x v="411"/>
    <x v="1"/>
    <x v="0"/>
    <x v="15"/>
    <x v="0"/>
    <x v="4"/>
    <x v="759"/>
    <x v="863"/>
    <x v="39"/>
    <x v="864"/>
    <x v="24"/>
    <x v="1"/>
    <x v="1"/>
  </r>
  <r>
    <x v="865"/>
    <x v="375"/>
    <x v="0"/>
    <x v="7"/>
    <x v="26"/>
    <x v="2"/>
    <x v="2"/>
    <x v="760"/>
    <x v="864"/>
    <x v="176"/>
    <x v="865"/>
    <x v="23"/>
    <x v="2"/>
    <x v="0"/>
  </r>
  <r>
    <x v="866"/>
    <x v="389"/>
    <x v="1"/>
    <x v="4"/>
    <x v="11"/>
    <x v="0"/>
    <x v="2"/>
    <x v="652"/>
    <x v="865"/>
    <x v="52"/>
    <x v="866"/>
    <x v="24"/>
    <x v="8"/>
    <x v="2"/>
  </r>
  <r>
    <x v="867"/>
    <x v="312"/>
    <x v="1"/>
    <x v="4"/>
    <x v="11"/>
    <x v="0"/>
    <x v="5"/>
    <x v="761"/>
    <x v="866"/>
    <x v="0"/>
    <x v="867"/>
    <x v="25"/>
    <x v="4"/>
    <x v="2"/>
  </r>
  <r>
    <x v="868"/>
    <x v="540"/>
    <x v="1"/>
    <x v="5"/>
    <x v="29"/>
    <x v="0"/>
    <x v="1"/>
    <x v="762"/>
    <x v="867"/>
    <x v="154"/>
    <x v="868"/>
    <x v="24"/>
    <x v="5"/>
    <x v="0"/>
  </r>
  <r>
    <x v="869"/>
    <x v="536"/>
    <x v="1"/>
    <x v="1"/>
    <x v="10"/>
    <x v="0"/>
    <x v="3"/>
    <x v="18"/>
    <x v="868"/>
    <x v="183"/>
    <x v="869"/>
    <x v="23"/>
    <x v="8"/>
    <x v="2"/>
  </r>
  <r>
    <x v="870"/>
    <x v="541"/>
    <x v="0"/>
    <x v="0"/>
    <x v="15"/>
    <x v="0"/>
    <x v="0"/>
    <x v="607"/>
    <x v="869"/>
    <x v="51"/>
    <x v="870"/>
    <x v="24"/>
    <x v="9"/>
    <x v="1"/>
  </r>
  <r>
    <x v="871"/>
    <x v="542"/>
    <x v="0"/>
    <x v="6"/>
    <x v="13"/>
    <x v="0"/>
    <x v="4"/>
    <x v="763"/>
    <x v="870"/>
    <x v="201"/>
    <x v="871"/>
    <x v="23"/>
    <x v="0"/>
    <x v="0"/>
  </r>
  <r>
    <x v="872"/>
    <x v="148"/>
    <x v="1"/>
    <x v="3"/>
    <x v="19"/>
    <x v="0"/>
    <x v="2"/>
    <x v="764"/>
    <x v="871"/>
    <x v="29"/>
    <x v="872"/>
    <x v="24"/>
    <x v="0"/>
    <x v="0"/>
  </r>
  <r>
    <x v="873"/>
    <x v="474"/>
    <x v="1"/>
    <x v="0"/>
    <x v="15"/>
    <x v="0"/>
    <x v="1"/>
    <x v="765"/>
    <x v="872"/>
    <x v="85"/>
    <x v="873"/>
    <x v="23"/>
    <x v="1"/>
    <x v="1"/>
  </r>
  <r>
    <x v="874"/>
    <x v="211"/>
    <x v="0"/>
    <x v="4"/>
    <x v="5"/>
    <x v="0"/>
    <x v="4"/>
    <x v="766"/>
    <x v="873"/>
    <x v="38"/>
    <x v="874"/>
    <x v="24"/>
    <x v="8"/>
    <x v="2"/>
  </r>
  <r>
    <x v="875"/>
    <x v="127"/>
    <x v="0"/>
    <x v="4"/>
    <x v="20"/>
    <x v="0"/>
    <x v="2"/>
    <x v="767"/>
    <x v="874"/>
    <x v="29"/>
    <x v="875"/>
    <x v="23"/>
    <x v="4"/>
    <x v="2"/>
  </r>
  <r>
    <x v="876"/>
    <x v="276"/>
    <x v="1"/>
    <x v="2"/>
    <x v="30"/>
    <x v="0"/>
    <x v="1"/>
    <x v="768"/>
    <x v="875"/>
    <x v="0"/>
    <x v="876"/>
    <x v="24"/>
    <x v="2"/>
    <x v="0"/>
  </r>
  <r>
    <x v="877"/>
    <x v="411"/>
    <x v="0"/>
    <x v="3"/>
    <x v="19"/>
    <x v="0"/>
    <x v="0"/>
    <x v="769"/>
    <x v="876"/>
    <x v="130"/>
    <x v="877"/>
    <x v="25"/>
    <x v="3"/>
    <x v="2"/>
  </r>
  <r>
    <x v="878"/>
    <x v="213"/>
    <x v="1"/>
    <x v="4"/>
    <x v="9"/>
    <x v="0"/>
    <x v="5"/>
    <x v="565"/>
    <x v="877"/>
    <x v="18"/>
    <x v="878"/>
    <x v="24"/>
    <x v="9"/>
    <x v="1"/>
  </r>
  <r>
    <x v="879"/>
    <x v="379"/>
    <x v="1"/>
    <x v="6"/>
    <x v="22"/>
    <x v="0"/>
    <x v="0"/>
    <x v="770"/>
    <x v="878"/>
    <x v="0"/>
    <x v="879"/>
    <x v="23"/>
    <x v="9"/>
    <x v="1"/>
  </r>
  <r>
    <x v="880"/>
    <x v="543"/>
    <x v="1"/>
    <x v="6"/>
    <x v="31"/>
    <x v="0"/>
    <x v="3"/>
    <x v="771"/>
    <x v="879"/>
    <x v="180"/>
    <x v="880"/>
    <x v="24"/>
    <x v="1"/>
    <x v="1"/>
  </r>
  <r>
    <x v="881"/>
    <x v="355"/>
    <x v="1"/>
    <x v="2"/>
    <x v="2"/>
    <x v="2"/>
    <x v="0"/>
    <x v="772"/>
    <x v="880"/>
    <x v="216"/>
    <x v="881"/>
    <x v="25"/>
    <x v="6"/>
    <x v="0"/>
  </r>
  <r>
    <x v="882"/>
    <x v="544"/>
    <x v="1"/>
    <x v="4"/>
    <x v="5"/>
    <x v="0"/>
    <x v="3"/>
    <x v="93"/>
    <x v="881"/>
    <x v="138"/>
    <x v="882"/>
    <x v="82"/>
    <x v="0"/>
    <x v="0"/>
  </r>
  <r>
    <x v="883"/>
    <x v="310"/>
    <x v="0"/>
    <x v="4"/>
    <x v="5"/>
    <x v="2"/>
    <x v="1"/>
    <x v="773"/>
    <x v="882"/>
    <x v="202"/>
    <x v="883"/>
    <x v="25"/>
    <x v="6"/>
    <x v="0"/>
  </r>
  <r>
    <x v="884"/>
    <x v="432"/>
    <x v="0"/>
    <x v="5"/>
    <x v="29"/>
    <x v="0"/>
    <x v="3"/>
    <x v="774"/>
    <x v="883"/>
    <x v="33"/>
    <x v="884"/>
    <x v="82"/>
    <x v="7"/>
    <x v="1"/>
  </r>
  <r>
    <x v="885"/>
    <x v="545"/>
    <x v="0"/>
    <x v="4"/>
    <x v="20"/>
    <x v="0"/>
    <x v="2"/>
    <x v="775"/>
    <x v="884"/>
    <x v="227"/>
    <x v="885"/>
    <x v="25"/>
    <x v="8"/>
    <x v="2"/>
  </r>
  <r>
    <x v="886"/>
    <x v="546"/>
    <x v="1"/>
    <x v="3"/>
    <x v="7"/>
    <x v="0"/>
    <x v="5"/>
    <x v="274"/>
    <x v="885"/>
    <x v="3"/>
    <x v="886"/>
    <x v="24"/>
    <x v="1"/>
    <x v="1"/>
  </r>
  <r>
    <x v="887"/>
    <x v="399"/>
    <x v="1"/>
    <x v="6"/>
    <x v="13"/>
    <x v="1"/>
    <x v="0"/>
    <x v="776"/>
    <x v="886"/>
    <x v="0"/>
    <x v="887"/>
    <x v="23"/>
    <x v="9"/>
    <x v="1"/>
  </r>
  <r>
    <x v="888"/>
    <x v="498"/>
    <x v="1"/>
    <x v="4"/>
    <x v="5"/>
    <x v="0"/>
    <x v="0"/>
    <x v="777"/>
    <x v="887"/>
    <x v="96"/>
    <x v="888"/>
    <x v="24"/>
    <x v="4"/>
    <x v="2"/>
  </r>
  <r>
    <x v="889"/>
    <x v="547"/>
    <x v="0"/>
    <x v="6"/>
    <x v="16"/>
    <x v="2"/>
    <x v="4"/>
    <x v="778"/>
    <x v="888"/>
    <x v="98"/>
    <x v="889"/>
    <x v="23"/>
    <x v="0"/>
    <x v="0"/>
  </r>
  <r>
    <x v="890"/>
    <x v="404"/>
    <x v="0"/>
    <x v="2"/>
    <x v="23"/>
    <x v="0"/>
    <x v="2"/>
    <x v="779"/>
    <x v="889"/>
    <x v="141"/>
    <x v="890"/>
    <x v="83"/>
    <x v="6"/>
    <x v="0"/>
  </r>
  <r>
    <x v="891"/>
    <x v="529"/>
    <x v="1"/>
    <x v="5"/>
    <x v="17"/>
    <x v="0"/>
    <x v="2"/>
    <x v="780"/>
    <x v="890"/>
    <x v="147"/>
    <x v="891"/>
    <x v="25"/>
    <x v="0"/>
    <x v="0"/>
  </r>
  <r>
    <x v="892"/>
    <x v="260"/>
    <x v="1"/>
    <x v="5"/>
    <x v="6"/>
    <x v="1"/>
    <x v="3"/>
    <x v="781"/>
    <x v="891"/>
    <x v="151"/>
    <x v="892"/>
    <x v="83"/>
    <x v="5"/>
    <x v="0"/>
  </r>
  <r>
    <x v="893"/>
    <x v="548"/>
    <x v="0"/>
    <x v="0"/>
    <x v="0"/>
    <x v="0"/>
    <x v="0"/>
    <x v="782"/>
    <x v="892"/>
    <x v="14"/>
    <x v="893"/>
    <x v="25"/>
    <x v="9"/>
    <x v="1"/>
  </r>
  <r>
    <x v="894"/>
    <x v="484"/>
    <x v="1"/>
    <x v="3"/>
    <x v="19"/>
    <x v="0"/>
    <x v="1"/>
    <x v="783"/>
    <x v="893"/>
    <x v="8"/>
    <x v="894"/>
    <x v="82"/>
    <x v="1"/>
    <x v="1"/>
  </r>
  <r>
    <x v="895"/>
    <x v="29"/>
    <x v="1"/>
    <x v="4"/>
    <x v="5"/>
    <x v="0"/>
    <x v="1"/>
    <x v="784"/>
    <x v="894"/>
    <x v="23"/>
    <x v="895"/>
    <x v="25"/>
    <x v="2"/>
    <x v="0"/>
  </r>
  <r>
    <x v="896"/>
    <x v="549"/>
    <x v="1"/>
    <x v="6"/>
    <x v="31"/>
    <x v="0"/>
    <x v="3"/>
    <x v="785"/>
    <x v="895"/>
    <x v="173"/>
    <x v="896"/>
    <x v="83"/>
    <x v="2"/>
    <x v="0"/>
  </r>
  <r>
    <x v="897"/>
    <x v="550"/>
    <x v="1"/>
    <x v="5"/>
    <x v="29"/>
    <x v="1"/>
    <x v="1"/>
    <x v="786"/>
    <x v="896"/>
    <x v="46"/>
    <x v="897"/>
    <x v="25"/>
    <x v="4"/>
    <x v="2"/>
  </r>
  <r>
    <x v="898"/>
    <x v="306"/>
    <x v="0"/>
    <x v="4"/>
    <x v="9"/>
    <x v="0"/>
    <x v="3"/>
    <x v="787"/>
    <x v="897"/>
    <x v="123"/>
    <x v="898"/>
    <x v="84"/>
    <x v="8"/>
    <x v="2"/>
  </r>
  <r>
    <x v="899"/>
    <x v="407"/>
    <x v="0"/>
    <x v="4"/>
    <x v="4"/>
    <x v="0"/>
    <x v="2"/>
    <x v="788"/>
    <x v="898"/>
    <x v="4"/>
    <x v="899"/>
    <x v="67"/>
    <x v="0"/>
    <x v="0"/>
  </r>
  <r>
    <x v="900"/>
    <x v="394"/>
    <x v="3"/>
    <x v="4"/>
    <x v="20"/>
    <x v="0"/>
    <x v="3"/>
    <x v="431"/>
    <x v="899"/>
    <x v="22"/>
    <x v="900"/>
    <x v="68"/>
    <x v="8"/>
    <x v="2"/>
  </r>
  <r>
    <x v="901"/>
    <x v="62"/>
    <x v="1"/>
    <x v="4"/>
    <x v="11"/>
    <x v="0"/>
    <x v="4"/>
    <x v="789"/>
    <x v="900"/>
    <x v="232"/>
    <x v="901"/>
    <x v="67"/>
    <x v="6"/>
    <x v="0"/>
  </r>
  <r>
    <x v="902"/>
    <x v="17"/>
    <x v="2"/>
    <x v="4"/>
    <x v="5"/>
    <x v="0"/>
    <x v="4"/>
    <x v="790"/>
    <x v="901"/>
    <x v="123"/>
    <x v="902"/>
    <x v="84"/>
    <x v="1"/>
    <x v="1"/>
  </r>
  <r>
    <x v="903"/>
    <x v="551"/>
    <x v="0"/>
    <x v="7"/>
    <x v="25"/>
    <x v="0"/>
    <x v="0"/>
    <x v="425"/>
    <x v="902"/>
    <x v="38"/>
    <x v="903"/>
    <x v="67"/>
    <x v="4"/>
    <x v="2"/>
  </r>
  <r>
    <x v="904"/>
    <x v="494"/>
    <x v="1"/>
    <x v="0"/>
    <x v="28"/>
    <x v="0"/>
    <x v="0"/>
    <x v="791"/>
    <x v="903"/>
    <x v="80"/>
    <x v="904"/>
    <x v="68"/>
    <x v="2"/>
    <x v="0"/>
  </r>
  <r>
    <x v="905"/>
    <x v="61"/>
    <x v="0"/>
    <x v="5"/>
    <x v="29"/>
    <x v="0"/>
    <x v="0"/>
    <x v="792"/>
    <x v="904"/>
    <x v="9"/>
    <x v="905"/>
    <x v="67"/>
    <x v="2"/>
    <x v="0"/>
  </r>
  <r>
    <x v="906"/>
    <x v="268"/>
    <x v="0"/>
    <x v="5"/>
    <x v="6"/>
    <x v="0"/>
    <x v="5"/>
    <x v="756"/>
    <x v="905"/>
    <x v="148"/>
    <x v="906"/>
    <x v="68"/>
    <x v="4"/>
    <x v="2"/>
  </r>
  <r>
    <x v="907"/>
    <x v="212"/>
    <x v="0"/>
    <x v="0"/>
    <x v="24"/>
    <x v="0"/>
    <x v="5"/>
    <x v="581"/>
    <x v="906"/>
    <x v="84"/>
    <x v="907"/>
    <x v="67"/>
    <x v="9"/>
    <x v="1"/>
  </r>
  <r>
    <x v="908"/>
    <x v="552"/>
    <x v="1"/>
    <x v="6"/>
    <x v="22"/>
    <x v="0"/>
    <x v="1"/>
    <x v="414"/>
    <x v="907"/>
    <x v="154"/>
    <x v="908"/>
    <x v="68"/>
    <x v="0"/>
    <x v="0"/>
  </r>
  <r>
    <x v="909"/>
    <x v="209"/>
    <x v="0"/>
    <x v="0"/>
    <x v="0"/>
    <x v="0"/>
    <x v="0"/>
    <x v="793"/>
    <x v="908"/>
    <x v="0"/>
    <x v="909"/>
    <x v="67"/>
    <x v="8"/>
    <x v="2"/>
  </r>
  <r>
    <x v="910"/>
    <x v="156"/>
    <x v="1"/>
    <x v="3"/>
    <x v="19"/>
    <x v="0"/>
    <x v="2"/>
    <x v="510"/>
    <x v="909"/>
    <x v="70"/>
    <x v="910"/>
    <x v="84"/>
    <x v="6"/>
    <x v="0"/>
  </r>
  <r>
    <x v="911"/>
    <x v="553"/>
    <x v="0"/>
    <x v="6"/>
    <x v="16"/>
    <x v="0"/>
    <x v="5"/>
    <x v="794"/>
    <x v="910"/>
    <x v="220"/>
    <x v="911"/>
    <x v="67"/>
    <x v="3"/>
    <x v="2"/>
  </r>
  <r>
    <x v="912"/>
    <x v="37"/>
    <x v="1"/>
    <x v="3"/>
    <x v="27"/>
    <x v="0"/>
    <x v="0"/>
    <x v="795"/>
    <x v="911"/>
    <x v="103"/>
    <x v="912"/>
    <x v="84"/>
    <x v="2"/>
    <x v="0"/>
  </r>
  <r>
    <x v="913"/>
    <x v="554"/>
    <x v="0"/>
    <x v="0"/>
    <x v="24"/>
    <x v="0"/>
    <x v="3"/>
    <x v="7"/>
    <x v="912"/>
    <x v="23"/>
    <x v="913"/>
    <x v="25"/>
    <x v="4"/>
    <x v="2"/>
  </r>
  <r>
    <x v="914"/>
    <x v="555"/>
    <x v="0"/>
    <x v="7"/>
    <x v="32"/>
    <x v="0"/>
    <x v="5"/>
    <x v="796"/>
    <x v="913"/>
    <x v="210"/>
    <x v="914"/>
    <x v="84"/>
    <x v="2"/>
    <x v="0"/>
  </r>
  <r>
    <x v="915"/>
    <x v="140"/>
    <x v="1"/>
    <x v="0"/>
    <x v="28"/>
    <x v="0"/>
    <x v="4"/>
    <x v="797"/>
    <x v="914"/>
    <x v="231"/>
    <x v="915"/>
    <x v="67"/>
    <x v="1"/>
    <x v="1"/>
  </r>
  <r>
    <x v="916"/>
    <x v="556"/>
    <x v="0"/>
    <x v="6"/>
    <x v="16"/>
    <x v="0"/>
    <x v="2"/>
    <x v="197"/>
    <x v="915"/>
    <x v="48"/>
    <x v="916"/>
    <x v="68"/>
    <x v="5"/>
    <x v="0"/>
  </r>
  <r>
    <x v="917"/>
    <x v="361"/>
    <x v="0"/>
    <x v="1"/>
    <x v="1"/>
    <x v="2"/>
    <x v="0"/>
    <x v="798"/>
    <x v="916"/>
    <x v="147"/>
    <x v="917"/>
    <x v="67"/>
    <x v="5"/>
    <x v="0"/>
  </r>
  <r>
    <x v="918"/>
    <x v="239"/>
    <x v="0"/>
    <x v="2"/>
    <x v="8"/>
    <x v="1"/>
    <x v="2"/>
    <x v="799"/>
    <x v="917"/>
    <x v="149"/>
    <x v="918"/>
    <x v="68"/>
    <x v="6"/>
    <x v="0"/>
  </r>
  <r>
    <x v="919"/>
    <x v="488"/>
    <x v="0"/>
    <x v="4"/>
    <x v="9"/>
    <x v="0"/>
    <x v="1"/>
    <x v="800"/>
    <x v="918"/>
    <x v="222"/>
    <x v="919"/>
    <x v="85"/>
    <x v="0"/>
    <x v="0"/>
  </r>
  <r>
    <x v="920"/>
    <x v="461"/>
    <x v="0"/>
    <x v="5"/>
    <x v="17"/>
    <x v="0"/>
    <x v="5"/>
    <x v="801"/>
    <x v="919"/>
    <x v="108"/>
    <x v="920"/>
    <x v="68"/>
    <x v="9"/>
    <x v="1"/>
  </r>
  <r>
    <x v="921"/>
    <x v="557"/>
    <x v="0"/>
    <x v="7"/>
    <x v="25"/>
    <x v="1"/>
    <x v="1"/>
    <x v="802"/>
    <x v="920"/>
    <x v="0"/>
    <x v="921"/>
    <x v="85"/>
    <x v="6"/>
    <x v="0"/>
  </r>
  <r>
    <x v="922"/>
    <x v="558"/>
    <x v="0"/>
    <x v="5"/>
    <x v="17"/>
    <x v="0"/>
    <x v="3"/>
    <x v="803"/>
    <x v="921"/>
    <x v="186"/>
    <x v="922"/>
    <x v="86"/>
    <x v="3"/>
    <x v="2"/>
  </r>
  <r>
    <x v="923"/>
    <x v="41"/>
    <x v="0"/>
    <x v="5"/>
    <x v="17"/>
    <x v="2"/>
    <x v="5"/>
    <x v="804"/>
    <x v="922"/>
    <x v="59"/>
    <x v="923"/>
    <x v="87"/>
    <x v="3"/>
    <x v="2"/>
  </r>
  <r>
    <x v="924"/>
    <x v="522"/>
    <x v="0"/>
    <x v="0"/>
    <x v="28"/>
    <x v="1"/>
    <x v="3"/>
    <x v="805"/>
    <x v="923"/>
    <x v="179"/>
    <x v="924"/>
    <x v="88"/>
    <x v="4"/>
    <x v="2"/>
  </r>
  <r>
    <x v="925"/>
    <x v="559"/>
    <x v="1"/>
    <x v="4"/>
    <x v="11"/>
    <x v="2"/>
    <x v="1"/>
    <x v="169"/>
    <x v="924"/>
    <x v="196"/>
    <x v="925"/>
    <x v="87"/>
    <x v="8"/>
    <x v="2"/>
  </r>
  <r>
    <x v="926"/>
    <x v="104"/>
    <x v="1"/>
    <x v="6"/>
    <x v="31"/>
    <x v="0"/>
    <x v="1"/>
    <x v="806"/>
    <x v="925"/>
    <x v="167"/>
    <x v="926"/>
    <x v="88"/>
    <x v="6"/>
    <x v="0"/>
  </r>
  <r>
    <x v="927"/>
    <x v="560"/>
    <x v="0"/>
    <x v="7"/>
    <x v="32"/>
    <x v="2"/>
    <x v="1"/>
    <x v="807"/>
    <x v="926"/>
    <x v="163"/>
    <x v="927"/>
    <x v="87"/>
    <x v="5"/>
    <x v="0"/>
  </r>
  <r>
    <x v="928"/>
    <x v="561"/>
    <x v="0"/>
    <x v="3"/>
    <x v="3"/>
    <x v="0"/>
    <x v="3"/>
    <x v="808"/>
    <x v="927"/>
    <x v="59"/>
    <x v="928"/>
    <x v="88"/>
    <x v="9"/>
    <x v="1"/>
  </r>
  <r>
    <x v="929"/>
    <x v="29"/>
    <x v="1"/>
    <x v="6"/>
    <x v="13"/>
    <x v="0"/>
    <x v="2"/>
    <x v="809"/>
    <x v="928"/>
    <x v="107"/>
    <x v="929"/>
    <x v="89"/>
    <x v="5"/>
    <x v="0"/>
  </r>
  <r>
    <x v="930"/>
    <x v="145"/>
    <x v="1"/>
    <x v="4"/>
    <x v="20"/>
    <x v="2"/>
    <x v="4"/>
    <x v="810"/>
    <x v="929"/>
    <x v="219"/>
    <x v="930"/>
    <x v="88"/>
    <x v="1"/>
    <x v="1"/>
  </r>
  <r>
    <x v="931"/>
    <x v="562"/>
    <x v="0"/>
    <x v="5"/>
    <x v="17"/>
    <x v="0"/>
    <x v="1"/>
    <x v="811"/>
    <x v="930"/>
    <x v="233"/>
    <x v="931"/>
    <x v="89"/>
    <x v="4"/>
    <x v="2"/>
  </r>
  <r>
    <x v="932"/>
    <x v="80"/>
    <x v="1"/>
    <x v="1"/>
    <x v="1"/>
    <x v="0"/>
    <x v="3"/>
    <x v="812"/>
    <x v="931"/>
    <x v="140"/>
    <x v="932"/>
    <x v="90"/>
    <x v="5"/>
    <x v="0"/>
  </r>
  <r>
    <x v="933"/>
    <x v="91"/>
    <x v="1"/>
    <x v="7"/>
    <x v="14"/>
    <x v="0"/>
    <x v="4"/>
    <x v="813"/>
    <x v="932"/>
    <x v="109"/>
    <x v="933"/>
    <x v="91"/>
    <x v="8"/>
    <x v="2"/>
  </r>
  <r>
    <x v="934"/>
    <x v="212"/>
    <x v="1"/>
    <x v="4"/>
    <x v="5"/>
    <x v="0"/>
    <x v="5"/>
    <x v="814"/>
    <x v="933"/>
    <x v="34"/>
    <x v="934"/>
    <x v="92"/>
    <x v="5"/>
    <x v="0"/>
  </r>
  <r>
    <x v="935"/>
    <x v="525"/>
    <x v="2"/>
    <x v="6"/>
    <x v="31"/>
    <x v="0"/>
    <x v="2"/>
    <x v="815"/>
    <x v="934"/>
    <x v="27"/>
    <x v="935"/>
    <x v="93"/>
    <x v="1"/>
    <x v="1"/>
  </r>
  <r>
    <x v="936"/>
    <x v="546"/>
    <x v="1"/>
    <x v="4"/>
    <x v="9"/>
    <x v="0"/>
    <x v="4"/>
    <x v="816"/>
    <x v="935"/>
    <x v="7"/>
    <x v="936"/>
    <x v="94"/>
    <x v="3"/>
    <x v="2"/>
  </r>
  <r>
    <x v="937"/>
    <x v="170"/>
    <x v="0"/>
    <x v="1"/>
    <x v="10"/>
    <x v="0"/>
    <x v="2"/>
    <x v="817"/>
    <x v="936"/>
    <x v="21"/>
    <x v="937"/>
    <x v="95"/>
    <x v="5"/>
    <x v="0"/>
  </r>
  <r>
    <x v="938"/>
    <x v="38"/>
    <x v="0"/>
    <x v="4"/>
    <x v="20"/>
    <x v="0"/>
    <x v="0"/>
    <x v="818"/>
    <x v="937"/>
    <x v="0"/>
    <x v="938"/>
    <x v="94"/>
    <x v="6"/>
    <x v="0"/>
  </r>
  <r>
    <x v="939"/>
    <x v="111"/>
    <x v="1"/>
    <x v="7"/>
    <x v="25"/>
    <x v="2"/>
    <x v="2"/>
    <x v="819"/>
    <x v="938"/>
    <x v="23"/>
    <x v="939"/>
    <x v="93"/>
    <x v="6"/>
    <x v="0"/>
  </r>
  <r>
    <x v="940"/>
    <x v="509"/>
    <x v="0"/>
    <x v="6"/>
    <x v="13"/>
    <x v="0"/>
    <x v="1"/>
    <x v="129"/>
    <x v="939"/>
    <x v="110"/>
    <x v="940"/>
    <x v="94"/>
    <x v="7"/>
    <x v="1"/>
  </r>
  <r>
    <x v="941"/>
    <x v="92"/>
    <x v="1"/>
    <x v="7"/>
    <x v="32"/>
    <x v="0"/>
    <x v="2"/>
    <x v="407"/>
    <x v="940"/>
    <x v="4"/>
    <x v="941"/>
    <x v="93"/>
    <x v="0"/>
    <x v="0"/>
  </r>
  <r>
    <x v="942"/>
    <x v="425"/>
    <x v="0"/>
    <x v="3"/>
    <x v="3"/>
    <x v="0"/>
    <x v="3"/>
    <x v="81"/>
    <x v="941"/>
    <x v="63"/>
    <x v="942"/>
    <x v="94"/>
    <x v="4"/>
    <x v="2"/>
  </r>
  <r>
    <x v="943"/>
    <x v="107"/>
    <x v="0"/>
    <x v="5"/>
    <x v="17"/>
    <x v="2"/>
    <x v="2"/>
    <x v="820"/>
    <x v="942"/>
    <x v="23"/>
    <x v="943"/>
    <x v="95"/>
    <x v="6"/>
    <x v="0"/>
  </r>
  <r>
    <x v="944"/>
    <x v="399"/>
    <x v="1"/>
    <x v="4"/>
    <x v="4"/>
    <x v="0"/>
    <x v="5"/>
    <x v="821"/>
    <x v="943"/>
    <x v="15"/>
    <x v="944"/>
    <x v="96"/>
    <x v="1"/>
    <x v="1"/>
  </r>
  <r>
    <x v="945"/>
    <x v="137"/>
    <x v="1"/>
    <x v="4"/>
    <x v="20"/>
    <x v="2"/>
    <x v="3"/>
    <x v="822"/>
    <x v="944"/>
    <x v="165"/>
    <x v="945"/>
    <x v="97"/>
    <x v="4"/>
    <x v="2"/>
  </r>
  <r>
    <x v="946"/>
    <x v="563"/>
    <x v="0"/>
    <x v="4"/>
    <x v="20"/>
    <x v="0"/>
    <x v="2"/>
    <x v="823"/>
    <x v="945"/>
    <x v="0"/>
    <x v="946"/>
    <x v="96"/>
    <x v="0"/>
    <x v="0"/>
  </r>
  <r>
    <x v="947"/>
    <x v="400"/>
    <x v="1"/>
    <x v="1"/>
    <x v="21"/>
    <x v="0"/>
    <x v="5"/>
    <x v="824"/>
    <x v="946"/>
    <x v="8"/>
    <x v="947"/>
    <x v="97"/>
    <x v="9"/>
    <x v="1"/>
  </r>
  <r>
    <x v="948"/>
    <x v="84"/>
    <x v="0"/>
    <x v="5"/>
    <x v="29"/>
    <x v="0"/>
    <x v="3"/>
    <x v="825"/>
    <x v="947"/>
    <x v="154"/>
    <x v="948"/>
    <x v="98"/>
    <x v="1"/>
    <x v="1"/>
  </r>
  <r>
    <x v="949"/>
    <x v="104"/>
    <x v="0"/>
    <x v="3"/>
    <x v="19"/>
    <x v="0"/>
    <x v="3"/>
    <x v="826"/>
    <x v="948"/>
    <x v="155"/>
    <x v="949"/>
    <x v="99"/>
    <x v="7"/>
    <x v="1"/>
  </r>
  <r>
    <x v="950"/>
    <x v="560"/>
    <x v="0"/>
    <x v="3"/>
    <x v="7"/>
    <x v="0"/>
    <x v="5"/>
    <x v="827"/>
    <x v="949"/>
    <x v="107"/>
    <x v="950"/>
    <x v="100"/>
    <x v="2"/>
    <x v="0"/>
  </r>
  <r>
    <x v="951"/>
    <x v="286"/>
    <x v="2"/>
    <x v="3"/>
    <x v="7"/>
    <x v="0"/>
    <x v="5"/>
    <x v="828"/>
    <x v="950"/>
    <x v="0"/>
    <x v="951"/>
    <x v="101"/>
    <x v="1"/>
    <x v="1"/>
  </r>
  <r>
    <x v="952"/>
    <x v="337"/>
    <x v="0"/>
    <x v="4"/>
    <x v="20"/>
    <x v="0"/>
    <x v="4"/>
    <x v="829"/>
    <x v="951"/>
    <x v="209"/>
    <x v="952"/>
    <x v="102"/>
    <x v="2"/>
    <x v="0"/>
  </r>
  <r>
    <x v="953"/>
    <x v="254"/>
    <x v="0"/>
    <x v="1"/>
    <x v="10"/>
    <x v="0"/>
    <x v="5"/>
    <x v="326"/>
    <x v="952"/>
    <x v="134"/>
    <x v="953"/>
    <x v="101"/>
    <x v="1"/>
    <x v="1"/>
  </r>
  <r>
    <x v="954"/>
    <x v="413"/>
    <x v="1"/>
    <x v="0"/>
    <x v="15"/>
    <x v="0"/>
    <x v="4"/>
    <x v="830"/>
    <x v="953"/>
    <x v="101"/>
    <x v="954"/>
    <x v="100"/>
    <x v="0"/>
    <x v="0"/>
  </r>
  <r>
    <x v="955"/>
    <x v="262"/>
    <x v="0"/>
    <x v="0"/>
    <x v="15"/>
    <x v="0"/>
    <x v="0"/>
    <x v="831"/>
    <x v="954"/>
    <x v="42"/>
    <x v="955"/>
    <x v="99"/>
    <x v="3"/>
    <x v="2"/>
  </r>
  <r>
    <x v="956"/>
    <x v="564"/>
    <x v="1"/>
    <x v="7"/>
    <x v="14"/>
    <x v="0"/>
    <x v="1"/>
    <x v="832"/>
    <x v="955"/>
    <x v="144"/>
    <x v="956"/>
    <x v="98"/>
    <x v="3"/>
    <x v="2"/>
  </r>
  <r>
    <x v="957"/>
    <x v="565"/>
    <x v="1"/>
    <x v="4"/>
    <x v="9"/>
    <x v="0"/>
    <x v="2"/>
    <x v="833"/>
    <x v="956"/>
    <x v="76"/>
    <x v="957"/>
    <x v="97"/>
    <x v="2"/>
    <x v="0"/>
  </r>
  <r>
    <x v="958"/>
    <x v="441"/>
    <x v="1"/>
    <x v="4"/>
    <x v="5"/>
    <x v="0"/>
    <x v="3"/>
    <x v="834"/>
    <x v="957"/>
    <x v="218"/>
    <x v="958"/>
    <x v="96"/>
    <x v="2"/>
    <x v="0"/>
  </r>
  <r>
    <x v="959"/>
    <x v="273"/>
    <x v="0"/>
    <x v="2"/>
    <x v="30"/>
    <x v="0"/>
    <x v="4"/>
    <x v="835"/>
    <x v="958"/>
    <x v="127"/>
    <x v="959"/>
    <x v="97"/>
    <x v="7"/>
    <x v="1"/>
  </r>
  <r>
    <x v="960"/>
    <x v="566"/>
    <x v="0"/>
    <x v="4"/>
    <x v="11"/>
    <x v="2"/>
    <x v="2"/>
    <x v="836"/>
    <x v="959"/>
    <x v="7"/>
    <x v="960"/>
    <x v="98"/>
    <x v="6"/>
    <x v="0"/>
  </r>
  <r>
    <x v="961"/>
    <x v="567"/>
    <x v="0"/>
    <x v="3"/>
    <x v="19"/>
    <x v="0"/>
    <x v="5"/>
    <x v="837"/>
    <x v="960"/>
    <x v="161"/>
    <x v="961"/>
    <x v="99"/>
    <x v="1"/>
    <x v="1"/>
  </r>
  <r>
    <x v="962"/>
    <x v="568"/>
    <x v="0"/>
    <x v="6"/>
    <x v="16"/>
    <x v="0"/>
    <x v="5"/>
    <x v="326"/>
    <x v="961"/>
    <x v="10"/>
    <x v="962"/>
    <x v="100"/>
    <x v="1"/>
    <x v="1"/>
  </r>
  <r>
    <x v="963"/>
    <x v="424"/>
    <x v="0"/>
    <x v="0"/>
    <x v="24"/>
    <x v="0"/>
    <x v="2"/>
    <x v="838"/>
    <x v="962"/>
    <x v="174"/>
    <x v="963"/>
    <x v="101"/>
    <x v="1"/>
    <x v="1"/>
  </r>
  <r>
    <x v="964"/>
    <x v="560"/>
    <x v="1"/>
    <x v="6"/>
    <x v="31"/>
    <x v="0"/>
    <x v="5"/>
    <x v="839"/>
    <x v="963"/>
    <x v="74"/>
    <x v="964"/>
    <x v="103"/>
    <x v="8"/>
    <x v="2"/>
  </r>
  <r>
    <x v="965"/>
    <x v="232"/>
    <x v="1"/>
    <x v="0"/>
    <x v="28"/>
    <x v="0"/>
    <x v="0"/>
    <x v="64"/>
    <x v="964"/>
    <x v="149"/>
    <x v="965"/>
    <x v="101"/>
    <x v="6"/>
    <x v="0"/>
  </r>
  <r>
    <x v="966"/>
    <x v="259"/>
    <x v="1"/>
    <x v="2"/>
    <x v="23"/>
    <x v="0"/>
    <x v="3"/>
    <x v="840"/>
    <x v="965"/>
    <x v="186"/>
    <x v="966"/>
    <x v="103"/>
    <x v="9"/>
    <x v="1"/>
  </r>
  <r>
    <x v="967"/>
    <x v="569"/>
    <x v="0"/>
    <x v="6"/>
    <x v="22"/>
    <x v="0"/>
    <x v="0"/>
    <x v="841"/>
    <x v="966"/>
    <x v="19"/>
    <x v="967"/>
    <x v="101"/>
    <x v="2"/>
    <x v="0"/>
  </r>
  <r>
    <x v="968"/>
    <x v="138"/>
    <x v="0"/>
    <x v="7"/>
    <x v="32"/>
    <x v="0"/>
    <x v="4"/>
    <x v="842"/>
    <x v="967"/>
    <x v="30"/>
    <x v="968"/>
    <x v="100"/>
    <x v="3"/>
    <x v="2"/>
  </r>
  <r>
    <x v="969"/>
    <x v="570"/>
    <x v="0"/>
    <x v="7"/>
    <x v="25"/>
    <x v="0"/>
    <x v="2"/>
    <x v="190"/>
    <x v="968"/>
    <x v="191"/>
    <x v="969"/>
    <x v="99"/>
    <x v="5"/>
    <x v="0"/>
  </r>
  <r>
    <x v="970"/>
    <x v="6"/>
    <x v="1"/>
    <x v="3"/>
    <x v="7"/>
    <x v="0"/>
    <x v="0"/>
    <x v="843"/>
    <x v="969"/>
    <x v="234"/>
    <x v="970"/>
    <x v="100"/>
    <x v="6"/>
    <x v="0"/>
  </r>
  <r>
    <x v="971"/>
    <x v="331"/>
    <x v="1"/>
    <x v="1"/>
    <x v="10"/>
    <x v="0"/>
    <x v="1"/>
    <x v="844"/>
    <x v="970"/>
    <x v="222"/>
    <x v="971"/>
    <x v="101"/>
    <x v="5"/>
    <x v="0"/>
  </r>
  <r>
    <x v="972"/>
    <x v="571"/>
    <x v="0"/>
    <x v="2"/>
    <x v="23"/>
    <x v="2"/>
    <x v="4"/>
    <x v="845"/>
    <x v="971"/>
    <x v="213"/>
    <x v="972"/>
    <x v="103"/>
    <x v="9"/>
    <x v="1"/>
  </r>
  <r>
    <x v="973"/>
    <x v="466"/>
    <x v="0"/>
    <x v="4"/>
    <x v="20"/>
    <x v="0"/>
    <x v="5"/>
    <x v="613"/>
    <x v="972"/>
    <x v="56"/>
    <x v="973"/>
    <x v="104"/>
    <x v="6"/>
    <x v="0"/>
  </r>
  <r>
    <x v="974"/>
    <x v="572"/>
    <x v="1"/>
    <x v="4"/>
    <x v="9"/>
    <x v="0"/>
    <x v="0"/>
    <x v="846"/>
    <x v="973"/>
    <x v="20"/>
    <x v="974"/>
    <x v="105"/>
    <x v="5"/>
    <x v="0"/>
  </r>
  <r>
    <x v="975"/>
    <x v="573"/>
    <x v="1"/>
    <x v="6"/>
    <x v="16"/>
    <x v="2"/>
    <x v="3"/>
    <x v="847"/>
    <x v="974"/>
    <x v="67"/>
    <x v="975"/>
    <x v="104"/>
    <x v="9"/>
    <x v="1"/>
  </r>
  <r>
    <x v="976"/>
    <x v="236"/>
    <x v="1"/>
    <x v="3"/>
    <x v="7"/>
    <x v="0"/>
    <x v="3"/>
    <x v="382"/>
    <x v="975"/>
    <x v="70"/>
    <x v="976"/>
    <x v="105"/>
    <x v="3"/>
    <x v="2"/>
  </r>
  <r>
    <x v="977"/>
    <x v="574"/>
    <x v="0"/>
    <x v="4"/>
    <x v="9"/>
    <x v="0"/>
    <x v="3"/>
    <x v="211"/>
    <x v="976"/>
    <x v="30"/>
    <x v="977"/>
    <x v="104"/>
    <x v="0"/>
    <x v="0"/>
  </r>
  <r>
    <x v="978"/>
    <x v="575"/>
    <x v="1"/>
    <x v="7"/>
    <x v="26"/>
    <x v="0"/>
    <x v="0"/>
    <x v="848"/>
    <x v="977"/>
    <x v="99"/>
    <x v="978"/>
    <x v="105"/>
    <x v="2"/>
    <x v="0"/>
  </r>
  <r>
    <x v="979"/>
    <x v="145"/>
    <x v="1"/>
    <x v="3"/>
    <x v="27"/>
    <x v="0"/>
    <x v="0"/>
    <x v="666"/>
    <x v="978"/>
    <x v="35"/>
    <x v="979"/>
    <x v="99"/>
    <x v="8"/>
    <x v="2"/>
  </r>
  <r>
    <x v="980"/>
    <x v="282"/>
    <x v="1"/>
    <x v="0"/>
    <x v="0"/>
    <x v="0"/>
    <x v="3"/>
    <x v="849"/>
    <x v="979"/>
    <x v="137"/>
    <x v="980"/>
    <x v="106"/>
    <x v="8"/>
    <x v="2"/>
  </r>
  <r>
    <x v="981"/>
    <x v="328"/>
    <x v="0"/>
    <x v="5"/>
    <x v="6"/>
    <x v="2"/>
    <x v="5"/>
    <x v="850"/>
    <x v="980"/>
    <x v="0"/>
    <x v="981"/>
    <x v="104"/>
    <x v="2"/>
    <x v="0"/>
  </r>
  <r>
    <x v="982"/>
    <x v="93"/>
    <x v="1"/>
    <x v="4"/>
    <x v="20"/>
    <x v="0"/>
    <x v="4"/>
    <x v="851"/>
    <x v="981"/>
    <x v="107"/>
    <x v="982"/>
    <x v="107"/>
    <x v="3"/>
    <x v="2"/>
  </r>
  <r>
    <x v="983"/>
    <x v="346"/>
    <x v="1"/>
    <x v="4"/>
    <x v="20"/>
    <x v="0"/>
    <x v="1"/>
    <x v="852"/>
    <x v="982"/>
    <x v="59"/>
    <x v="983"/>
    <x v="104"/>
    <x v="9"/>
    <x v="1"/>
  </r>
  <r>
    <x v="984"/>
    <x v="299"/>
    <x v="0"/>
    <x v="2"/>
    <x v="23"/>
    <x v="0"/>
    <x v="2"/>
    <x v="853"/>
    <x v="983"/>
    <x v="70"/>
    <x v="984"/>
    <x v="106"/>
    <x v="3"/>
    <x v="2"/>
  </r>
  <r>
    <x v="985"/>
    <x v="408"/>
    <x v="0"/>
    <x v="7"/>
    <x v="25"/>
    <x v="0"/>
    <x v="2"/>
    <x v="854"/>
    <x v="984"/>
    <x v="164"/>
    <x v="985"/>
    <x v="104"/>
    <x v="6"/>
    <x v="0"/>
  </r>
  <r>
    <x v="986"/>
    <x v="501"/>
    <x v="0"/>
    <x v="2"/>
    <x v="30"/>
    <x v="2"/>
    <x v="0"/>
    <x v="813"/>
    <x v="985"/>
    <x v="94"/>
    <x v="986"/>
    <x v="108"/>
    <x v="8"/>
    <x v="2"/>
  </r>
  <r>
    <x v="987"/>
    <x v="273"/>
    <x v="1"/>
    <x v="0"/>
    <x v="24"/>
    <x v="0"/>
    <x v="0"/>
    <x v="855"/>
    <x v="986"/>
    <x v="53"/>
    <x v="987"/>
    <x v="97"/>
    <x v="0"/>
    <x v="0"/>
  </r>
  <r>
    <x v="988"/>
    <x v="576"/>
    <x v="0"/>
    <x v="6"/>
    <x v="22"/>
    <x v="0"/>
    <x v="3"/>
    <x v="109"/>
    <x v="987"/>
    <x v="160"/>
    <x v="988"/>
    <x v="108"/>
    <x v="0"/>
    <x v="0"/>
  </r>
  <r>
    <x v="989"/>
    <x v="215"/>
    <x v="1"/>
    <x v="5"/>
    <x v="6"/>
    <x v="0"/>
    <x v="2"/>
    <x v="856"/>
    <x v="988"/>
    <x v="235"/>
    <x v="989"/>
    <x v="97"/>
    <x v="2"/>
    <x v="0"/>
  </r>
  <r>
    <x v="990"/>
    <x v="403"/>
    <x v="1"/>
    <x v="5"/>
    <x v="6"/>
    <x v="0"/>
    <x v="1"/>
    <x v="7"/>
    <x v="989"/>
    <x v="75"/>
    <x v="990"/>
    <x v="109"/>
    <x v="4"/>
    <x v="2"/>
  </r>
  <r>
    <x v="991"/>
    <x v="577"/>
    <x v="1"/>
    <x v="2"/>
    <x v="23"/>
    <x v="0"/>
    <x v="1"/>
    <x v="857"/>
    <x v="990"/>
    <x v="0"/>
    <x v="991"/>
    <x v="110"/>
    <x v="1"/>
    <x v="1"/>
  </r>
  <r>
    <x v="992"/>
    <x v="388"/>
    <x v="1"/>
    <x v="6"/>
    <x v="31"/>
    <x v="0"/>
    <x v="5"/>
    <x v="858"/>
    <x v="991"/>
    <x v="157"/>
    <x v="992"/>
    <x v="111"/>
    <x v="1"/>
    <x v="1"/>
  </r>
  <r>
    <x v="993"/>
    <x v="364"/>
    <x v="1"/>
    <x v="3"/>
    <x v="7"/>
    <x v="0"/>
    <x v="0"/>
    <x v="699"/>
    <x v="992"/>
    <x v="116"/>
    <x v="993"/>
    <x v="112"/>
    <x v="3"/>
    <x v="2"/>
  </r>
  <r>
    <x v="994"/>
    <x v="483"/>
    <x v="0"/>
    <x v="0"/>
    <x v="28"/>
    <x v="0"/>
    <x v="2"/>
    <x v="859"/>
    <x v="993"/>
    <x v="151"/>
    <x v="994"/>
    <x v="111"/>
    <x v="3"/>
    <x v="2"/>
  </r>
  <r>
    <x v="995"/>
    <x v="578"/>
    <x v="1"/>
    <x v="4"/>
    <x v="5"/>
    <x v="0"/>
    <x v="5"/>
    <x v="172"/>
    <x v="994"/>
    <x v="159"/>
    <x v="995"/>
    <x v="112"/>
    <x v="4"/>
    <x v="2"/>
  </r>
  <r>
    <x v="996"/>
    <x v="182"/>
    <x v="1"/>
    <x v="1"/>
    <x v="10"/>
    <x v="0"/>
    <x v="1"/>
    <x v="860"/>
    <x v="995"/>
    <x v="2"/>
    <x v="996"/>
    <x v="113"/>
    <x v="9"/>
    <x v="1"/>
  </r>
  <r>
    <x v="997"/>
    <x v="24"/>
    <x v="1"/>
    <x v="4"/>
    <x v="11"/>
    <x v="0"/>
    <x v="3"/>
    <x v="861"/>
    <x v="996"/>
    <x v="135"/>
    <x v="997"/>
    <x v="112"/>
    <x v="4"/>
    <x v="2"/>
  </r>
  <r>
    <x v="998"/>
    <x v="179"/>
    <x v="0"/>
    <x v="1"/>
    <x v="21"/>
    <x v="0"/>
    <x v="2"/>
    <x v="862"/>
    <x v="997"/>
    <x v="112"/>
    <x v="998"/>
    <x v="114"/>
    <x v="7"/>
    <x v="1"/>
  </r>
  <r>
    <x v="999"/>
    <x v="541"/>
    <x v="0"/>
    <x v="0"/>
    <x v="0"/>
    <x v="0"/>
    <x v="5"/>
    <x v="863"/>
    <x v="998"/>
    <x v="236"/>
    <x v="999"/>
    <x v="112"/>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Distribution"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3" firstHeaderRow="1" firstDataRow="1" firstDataCol="1"/>
  <pivotFields count="2">
    <pivotField axis="axisRow" compact="0" showAll="0">
      <items count="10">
        <item x="1"/>
        <item x="4"/>
        <item x="2"/>
        <item x="3"/>
        <item x="7"/>
        <item x="5"/>
        <item x="6"/>
        <item x="0"/>
        <item x="8"/>
        <item t="default"/>
      </items>
    </pivotField>
    <pivotField dataField="1" compact="0" showAll="0">
      <items count="35">
        <item x="24"/>
        <item x="23"/>
        <item x="22"/>
        <item x="32"/>
        <item x="10"/>
        <item x="4"/>
        <item x="12"/>
        <item x="2"/>
        <item x="8"/>
        <item x="14"/>
        <item x="7"/>
        <item x="3"/>
        <item x="27"/>
        <item x="11"/>
        <item x="25"/>
        <item x="26"/>
        <item x="29"/>
        <item x="6"/>
        <item x="13"/>
        <item x="31"/>
        <item x="5"/>
        <item x="19"/>
        <item x="0"/>
        <item x="15"/>
        <item x="28"/>
        <item x="30"/>
        <item x="16"/>
        <item x="20"/>
        <item x="18"/>
        <item x="9"/>
        <item x="17"/>
        <item x="21"/>
        <item x="1"/>
        <item x="33"/>
        <item t="default"/>
      </items>
    </pivotField>
  </pivotFields>
  <rowFields count="1">
    <field x="0"/>
  </rowFields>
  <rowItems count="10">
    <i>
      <x/>
    </i>
    <i>
      <x v="1"/>
    </i>
    <i>
      <x v="2"/>
    </i>
    <i>
      <x v="3"/>
    </i>
    <i>
      <x v="4"/>
    </i>
    <i>
      <x v="5"/>
    </i>
    <i>
      <x v="6"/>
    </i>
    <i>
      <x v="7"/>
    </i>
    <i>
      <x v="8"/>
    </i>
    <i t="grand">
      <x/>
    </i>
  </rowItems>
  <colItems count="1">
    <i/>
  </colItems>
  <dataFields count="1">
    <dataField name="Count of job_title" fld="1"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
    <pivotField axis="axisRow" dataField="1" compact="0" showAll="0">
      <items count="4">
        <item x="2"/>
        <item x="0"/>
        <item x="1"/>
        <item t="default"/>
      </items>
    </pivotField>
  </pivotFields>
  <rowFields count="1">
    <field x="0"/>
  </rowFields>
  <rowItems count="4">
    <i>
      <x/>
    </i>
    <i>
      <x v="1"/>
    </i>
    <i>
      <x v="2"/>
    </i>
    <i t="grand">
      <x/>
    </i>
  </rowItems>
  <colItems count="1">
    <i/>
  </colItems>
  <dataFields count="1">
    <dataField name="Count of employment_typ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10" firstHeaderRow="1" firstDataRow="1" firstDataCol="1"/>
  <pivotFields count="1">
    <pivotField axis="axisRow" dataField="1" compact="0" showAll="0">
      <items count="7">
        <item x="4"/>
        <item x="3"/>
        <item x="0"/>
        <item x="5"/>
        <item x="1"/>
        <item x="2"/>
        <item t="default"/>
      </items>
    </pivotField>
  </pivotFields>
  <rowFields count="1">
    <field x="0"/>
  </rowFields>
  <rowItems count="7">
    <i>
      <x/>
    </i>
    <i>
      <x v="1"/>
    </i>
    <i>
      <x v="2"/>
    </i>
    <i>
      <x v="3"/>
    </i>
    <i>
      <x v="4"/>
    </i>
    <i>
      <x v="5"/>
    </i>
    <i t="grand">
      <x/>
    </i>
  </rowItems>
  <colItems count="1">
    <i/>
  </colItems>
  <dataFields count="1">
    <dataField name="Count of location"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3" firstHeaderRow="1" firstDataRow="1" firstDataCol="1"/>
  <pivotFields count="6">
    <pivotField axis="axisRow" compact="0" showAll="0">
      <items count="10">
        <item x="1"/>
        <item x="4"/>
        <item x="2"/>
        <item x="3"/>
        <item x="7"/>
        <item x="5"/>
        <item x="6"/>
        <item x="0"/>
        <item x="8"/>
        <item t="default"/>
      </items>
    </pivotField>
    <pivotField compact="0" showAll="0">
      <items count="35">
        <item x="24"/>
        <item x="23"/>
        <item x="22"/>
        <item x="32"/>
        <item x="10"/>
        <item x="4"/>
        <item x="12"/>
        <item x="2"/>
        <item x="8"/>
        <item x="14"/>
        <item x="7"/>
        <item x="3"/>
        <item x="27"/>
        <item x="11"/>
        <item x="25"/>
        <item x="26"/>
        <item x="29"/>
        <item x="6"/>
        <item x="13"/>
        <item x="31"/>
        <item x="5"/>
        <item x="19"/>
        <item x="0"/>
        <item x="15"/>
        <item x="28"/>
        <item x="30"/>
        <item x="16"/>
        <item x="20"/>
        <item x="18"/>
        <item x="9"/>
        <item x="17"/>
        <item x="21"/>
        <item x="1"/>
        <item x="33"/>
        <item t="default"/>
      </items>
    </pivotField>
    <pivotField compact="0" showAll="0">
      <items count="5">
        <item x="2"/>
        <item x="0"/>
        <item x="1"/>
        <item x="3"/>
        <item t="default"/>
      </items>
    </pivotField>
    <pivotField compact="0" showAll="0">
      <items count="8">
        <item x="4"/>
        <item x="3"/>
        <item x="0"/>
        <item x="5"/>
        <item x="1"/>
        <item x="2"/>
        <item x="6"/>
        <item t="default"/>
      </items>
    </pivotField>
    <pivotField compact="0" showAll="0">
      <items count="866">
        <item x="651"/>
        <item x="43"/>
        <item x="618"/>
        <item x="225"/>
        <item x="286"/>
        <item x="56"/>
        <item x="63"/>
        <item x="675"/>
        <item x="643"/>
        <item x="502"/>
        <item x="317"/>
        <item x="620"/>
        <item x="667"/>
        <item x="331"/>
        <item x="20"/>
        <item x="54"/>
        <item x="800"/>
        <item x="211"/>
        <item x="590"/>
        <item x="600"/>
        <item x="217"/>
        <item x="234"/>
        <item x="93"/>
        <item x="788"/>
        <item x="778"/>
        <item x="720"/>
        <item x="707"/>
        <item x="410"/>
        <item x="609"/>
        <item x="446"/>
        <item x="424"/>
        <item x="712"/>
        <item x="315"/>
        <item x="85"/>
        <item x="534"/>
        <item x="710"/>
        <item x="689"/>
        <item x="281"/>
        <item x="632"/>
        <item x="254"/>
        <item x="21"/>
        <item x="178"/>
        <item x="569"/>
        <item x="66"/>
        <item x="250"/>
        <item x="592"/>
        <item x="285"/>
        <item x="405"/>
        <item x="411"/>
        <item x="763"/>
        <item x="167"/>
        <item x="6"/>
        <item x="94"/>
        <item x="435"/>
        <item x="638"/>
        <item x="704"/>
        <item x="73"/>
        <item x="830"/>
        <item x="109"/>
        <item x="155"/>
        <item x="780"/>
        <item x="677"/>
        <item x="663"/>
        <item x="397"/>
        <item x="29"/>
        <item x="231"/>
        <item x="311"/>
        <item x="104"/>
        <item x="407"/>
        <item x="764"/>
        <item x="378"/>
        <item x="355"/>
        <item x="414"/>
        <item x="512"/>
        <item x="319"/>
        <item x="348"/>
        <item x="742"/>
        <item x="619"/>
        <item x="748"/>
        <item x="105"/>
        <item x="478"/>
        <item x="256"/>
        <item x="740"/>
        <item x="580"/>
        <item x="442"/>
        <item x="249"/>
        <item x="158"/>
        <item x="660"/>
        <item x="855"/>
        <item x="823"/>
        <item x="339"/>
        <item x="417"/>
        <item x="156"/>
        <item x="14"/>
        <item x="159"/>
        <item x="498"/>
        <item x="467"/>
        <item x="146"/>
        <item x="161"/>
        <item x="602"/>
        <item x="0"/>
        <item x="516"/>
        <item x="574"/>
        <item x="368"/>
        <item x="437"/>
        <item x="183"/>
        <item x="342"/>
        <item x="100"/>
        <item x="191"/>
        <item x="80"/>
        <item x="52"/>
        <item x="272"/>
        <item x="627"/>
        <item x="799"/>
        <item x="71"/>
        <item x="269"/>
        <item x="357"/>
        <item x="128"/>
        <item x="195"/>
        <item x="329"/>
        <item x="806"/>
        <item x="295"/>
        <item x="843"/>
        <item x="631"/>
        <item x="10"/>
        <item x="818"/>
        <item x="728"/>
        <item x="579"/>
        <item x="25"/>
        <item x="110"/>
        <item x="779"/>
        <item x="67"/>
        <item x="494"/>
        <item x="487"/>
        <item x="300"/>
        <item x="854"/>
        <item x="47"/>
        <item x="523"/>
        <item x="55"/>
        <item x="688"/>
        <item x="703"/>
        <item x="819"/>
        <item x="290"/>
        <item x="510"/>
        <item x="567"/>
        <item x="613"/>
        <item x="481"/>
        <item x="232"/>
        <item x="773"/>
        <item x="227"/>
        <item x="649"/>
        <item x="46"/>
        <item x="608"/>
        <item x="369"/>
        <item x="585"/>
        <item x="40"/>
        <item x="108"/>
        <item x="622"/>
        <item x="476"/>
        <item x="434"/>
        <item x="395"/>
        <item x="152"/>
        <item x="374"/>
        <item x="789"/>
        <item x="525"/>
        <item x="187"/>
        <item x="511"/>
        <item x="251"/>
        <item x="241"/>
        <item x="836"/>
        <item x="453"/>
        <item x="772"/>
        <item x="582"/>
        <item x="562"/>
        <item x="526"/>
        <item x="532"/>
        <item x="754"/>
        <item x="354"/>
        <item x="333"/>
        <item x="445"/>
        <item x="820"/>
        <item x="372"/>
        <item x="64"/>
        <item x="51"/>
        <item x="694"/>
        <item x="299"/>
        <item x="379"/>
        <item x="218"/>
        <item x="744"/>
        <item x="527"/>
        <item x="226"/>
        <item x="701"/>
        <item x="802"/>
        <item x="734"/>
        <item x="657"/>
        <item x="429"/>
        <item x="9"/>
        <item x="723"/>
        <item x="508"/>
        <item x="359"/>
        <item x="371"/>
        <item x="564"/>
        <item x="817"/>
        <item x="844"/>
        <item x="709"/>
        <item x="287"/>
        <item x="28"/>
        <item x="33"/>
        <item x="289"/>
        <item x="16"/>
        <item x="186"/>
        <item x="504"/>
        <item x="812"/>
        <item x="135"/>
        <item x="237"/>
        <item x="266"/>
        <item x="621"/>
        <item x="35"/>
        <item x="282"/>
        <item x="83"/>
        <item x="588"/>
        <item x="190"/>
        <item x="599"/>
        <item x="199"/>
        <item x="509"/>
        <item x="138"/>
        <item x="304"/>
        <item x="37"/>
        <item x="545"/>
        <item x="596"/>
        <item x="781"/>
        <item x="367"/>
        <item x="846"/>
        <item x="538"/>
        <item x="629"/>
        <item x="60"/>
        <item x="633"/>
        <item x="547"/>
        <item x="654"/>
        <item x="679"/>
        <item x="647"/>
        <item x="343"/>
        <item x="24"/>
        <item x="447"/>
        <item x="798"/>
        <item x="568"/>
        <item x="49"/>
        <item x="472"/>
        <item x="719"/>
        <item x="673"/>
        <item x="150"/>
        <item x="292"/>
        <item x="370"/>
        <item x="809"/>
        <item x="807"/>
        <item x="65"/>
        <item x="739"/>
        <item x="216"/>
        <item x="257"/>
        <item x="583"/>
        <item x="265"/>
        <item x="219"/>
        <item x="762"/>
        <item x="403"/>
        <item x="111"/>
        <item x="8"/>
        <item x="44"/>
        <item x="197"/>
        <item x="556"/>
        <item x="456"/>
        <item x="273"/>
        <item x="471"/>
        <item x="541"/>
        <item x="814"/>
        <item x="724"/>
        <item x="413"/>
        <item x="179"/>
        <item x="628"/>
        <item x="293"/>
        <item x="833"/>
        <item x="650"/>
        <item x="708"/>
        <item x="746"/>
        <item x="121"/>
        <item x="749"/>
        <item x="513"/>
        <item x="834"/>
        <item x="630"/>
        <item x="288"/>
        <item x="90"/>
        <item x="401"/>
        <item x="750"/>
        <item x="280"/>
        <item x="222"/>
        <item x="856"/>
        <item x="548"/>
        <item x="490"/>
        <item x="350"/>
        <item x="408"/>
        <item x="243"/>
        <item x="181"/>
        <item x="147"/>
        <item x="321"/>
        <item x="796"/>
        <item x="713"/>
        <item x="394"/>
        <item x="601"/>
        <item x="827"/>
        <item x="747"/>
        <item x="430"/>
        <item x="106"/>
        <item x="392"/>
        <item x="62"/>
        <item x="245"/>
        <item x="332"/>
        <item x="117"/>
        <item x="294"/>
        <item x="38"/>
        <item x="170"/>
        <item x="727"/>
        <item x="687"/>
        <item x="352"/>
        <item x="477"/>
        <item x="23"/>
        <item x="466"/>
        <item x="606"/>
        <item x="522"/>
        <item x="460"/>
        <item x="692"/>
        <item x="140"/>
        <item x="351"/>
        <item x="223"/>
        <item x="240"/>
        <item x="505"/>
        <item x="440"/>
        <item x="678"/>
        <item x="270"/>
        <item x="829"/>
        <item x="361"/>
        <item x="482"/>
        <item x="192"/>
        <item x="224"/>
        <item x="362"/>
        <item x="757"/>
        <item x="182"/>
        <item x="406"/>
        <item x="690"/>
        <item x="760"/>
        <item x="653"/>
        <item x="173"/>
        <item x="310"/>
        <item x="676"/>
        <item x="57"/>
        <item x="5"/>
        <item x="662"/>
        <item x="848"/>
        <item x="841"/>
        <item x="77"/>
        <item x="785"/>
        <item x="503"/>
        <item x="768"/>
        <item x="454"/>
        <item x="535"/>
        <item x="784"/>
        <item x="795"/>
        <item x="2"/>
        <item x="194"/>
        <item x="552"/>
        <item x="730"/>
        <item x="412"/>
        <item x="850"/>
        <item x="242"/>
        <item x="791"/>
        <item x="572"/>
        <item x="792"/>
        <item x="164"/>
        <item x="455"/>
        <item x="672"/>
        <item x="595"/>
        <item x="151"/>
        <item x="598"/>
        <item x="238"/>
        <item x="492"/>
        <item x="524"/>
        <item x="301"/>
        <item x="118"/>
        <item x="558"/>
        <item x="786"/>
        <item x="420"/>
        <item x="597"/>
        <item x="470"/>
        <item x="671"/>
        <item x="805"/>
        <item x="457"/>
        <item x="668"/>
        <item x="486"/>
        <item x="283"/>
        <item x="349"/>
        <item x="593"/>
        <item x="312"/>
        <item x="7"/>
        <item x="715"/>
        <item x="143"/>
        <item x="732"/>
        <item x="346"/>
        <item x="230"/>
        <item x="97"/>
        <item x="325"/>
        <item x="330"/>
        <item x="767"/>
        <item x="458"/>
        <item x="861"/>
        <item x="172"/>
        <item x="139"/>
        <item x="264"/>
        <item x="591"/>
        <item x="144"/>
        <item x="656"/>
        <item x="328"/>
        <item x="561"/>
        <item x="239"/>
        <item x="69"/>
        <item x="176"/>
        <item x="626"/>
        <item x="500"/>
        <item x="260"/>
        <item x="741"/>
        <item x="753"/>
        <item x="98"/>
        <item x="148"/>
        <item x="201"/>
        <item x="323"/>
        <item x="271"/>
        <item x="136"/>
        <item x="125"/>
        <item x="298"/>
        <item x="160"/>
        <item x="761"/>
        <item x="344"/>
        <item x="316"/>
        <item x="340"/>
        <item x="731"/>
        <item x="587"/>
        <item x="533"/>
        <item x="449"/>
        <item x="777"/>
        <item x="450"/>
        <item x="396"/>
        <item x="554"/>
        <item x="263"/>
        <item x="399"/>
        <item x="258"/>
        <item x="103"/>
        <item x="756"/>
        <item x="539"/>
        <item x="822"/>
        <item x="751"/>
        <item x="811"/>
        <item x="758"/>
        <item x="75"/>
        <item x="616"/>
        <item x="387"/>
        <item x="584"/>
        <item x="425"/>
        <item x="436"/>
        <item x="589"/>
        <item x="137"/>
        <item x="81"/>
        <item x="142"/>
        <item x="122"/>
        <item x="13"/>
        <item x="637"/>
        <item x="706"/>
        <item x="91"/>
        <item x="318"/>
        <item x="336"/>
        <item x="409"/>
        <item x="421"/>
        <item x="383"/>
        <item x="697"/>
        <item x="851"/>
        <item x="398"/>
        <item x="551"/>
        <item x="669"/>
        <item x="610"/>
        <item x="718"/>
        <item x="154"/>
        <item x="432"/>
        <item x="74"/>
        <item x="699"/>
        <item x="95"/>
        <item x="571"/>
        <item x="189"/>
        <item x="261"/>
        <item x="507"/>
        <item x="277"/>
        <item x="101"/>
        <item x="816"/>
        <item x="382"/>
        <item x="735"/>
        <item x="296"/>
        <item x="803"/>
        <item x="640"/>
        <item x="305"/>
        <item x="433"/>
        <item x="594"/>
        <item x="559"/>
        <item x="82"/>
        <item x="443"/>
        <item x="123"/>
        <item x="419"/>
        <item x="185"/>
        <item x="517"/>
        <item x="501"/>
        <item x="842"/>
        <item x="358"/>
        <item x="356"/>
        <item x="268"/>
        <item x="769"/>
        <item x="78"/>
        <item x="645"/>
        <item x="714"/>
        <item x="577"/>
        <item x="804"/>
        <item x="738"/>
        <item x="89"/>
        <item x="451"/>
        <item x="661"/>
        <item x="347"/>
        <item x="859"/>
        <item x="70"/>
        <item x="497"/>
        <item x="278"/>
        <item x="560"/>
        <item x="625"/>
        <item x="794"/>
        <item x="236"/>
        <item x="120"/>
        <item x="302"/>
        <item x="546"/>
        <item x="642"/>
        <item x="519"/>
        <item x="48"/>
        <item x="832"/>
        <item x="717"/>
        <item x="664"/>
        <item x="3"/>
        <item x="745"/>
        <item x="691"/>
        <item x="115"/>
        <item x="623"/>
        <item x="831"/>
        <item x="133"/>
        <item x="853"/>
        <item x="666"/>
        <item x="32"/>
        <item x="573"/>
        <item x="166"/>
        <item x="210"/>
        <item x="468"/>
        <item x="306"/>
        <item x="491"/>
        <item x="203"/>
        <item x="169"/>
        <item x="384"/>
        <item x="27"/>
        <item x="228"/>
        <item x="787"/>
        <item x="247"/>
        <item x="553"/>
        <item x="655"/>
        <item x="427"/>
        <item x="849"/>
        <item x="324"/>
        <item x="793"/>
        <item x="198"/>
        <item x="863"/>
        <item x="646"/>
        <item x="322"/>
        <item x="184"/>
        <item x="386"/>
        <item x="422"/>
        <item x="684"/>
        <item x="479"/>
        <item x="114"/>
        <item x="34"/>
        <item x="168"/>
        <item x="61"/>
        <item x="345"/>
        <item x="404"/>
        <item x="276"/>
        <item x="79"/>
        <item x="418"/>
        <item x="488"/>
        <item x="42"/>
        <item x="248"/>
        <item x="641"/>
        <item x="19"/>
        <item x="119"/>
        <item x="462"/>
        <item x="284"/>
        <item x="180"/>
        <item x="373"/>
        <item x="475"/>
        <item x="566"/>
        <item x="431"/>
        <item x="124"/>
        <item x="262"/>
        <item x="775"/>
        <item x="107"/>
        <item x="624"/>
        <item x="212"/>
        <item x="452"/>
        <item x="540"/>
        <item x="813"/>
        <item x="207"/>
        <item x="652"/>
        <item x="84"/>
        <item x="617"/>
        <item x="253"/>
        <item x="335"/>
        <item x="206"/>
        <item x="636"/>
        <item x="112"/>
        <item x="391"/>
        <item x="393"/>
        <item x="381"/>
        <item x="682"/>
        <item x="464"/>
        <item x="400"/>
        <item x="700"/>
        <item x="644"/>
        <item x="113"/>
        <item x="390"/>
        <item x="670"/>
        <item x="766"/>
        <item x="839"/>
        <item x="634"/>
        <item x="18"/>
        <item x="327"/>
        <item x="570"/>
        <item x="17"/>
        <item x="209"/>
        <item x="389"/>
        <item x="92"/>
        <item x="415"/>
        <item x="4"/>
        <item x="783"/>
        <item x="365"/>
        <item x="444"/>
        <item x="722"/>
        <item x="465"/>
        <item x="797"/>
        <item x="605"/>
        <item x="131"/>
        <item x="428"/>
        <item x="130"/>
        <item x="377"/>
        <item x="726"/>
        <item x="483"/>
        <item x="188"/>
        <item x="681"/>
        <item x="229"/>
        <item x="213"/>
        <item x="88"/>
        <item x="53"/>
        <item x="259"/>
        <item x="485"/>
        <item x="15"/>
        <item x="480"/>
        <item x="658"/>
        <item x="149"/>
        <item x="174"/>
        <item x="279"/>
        <item x="828"/>
        <item x="308"/>
        <item x="659"/>
        <item x="171"/>
        <item x="499"/>
        <item x="765"/>
        <item x="255"/>
        <item x="208"/>
        <item x="536"/>
        <item x="274"/>
        <item x="469"/>
        <item x="275"/>
        <item x="461"/>
        <item x="790"/>
        <item x="771"/>
        <item x="388"/>
        <item x="825"/>
        <item x="696"/>
        <item x="496"/>
        <item x="1"/>
        <item x="99"/>
        <item x="153"/>
        <item x="338"/>
        <item x="755"/>
        <item x="736"/>
        <item x="529"/>
        <item x="215"/>
        <item x="815"/>
        <item x="698"/>
        <item x="611"/>
        <item x="484"/>
        <item x="838"/>
        <item x="127"/>
        <item x="220"/>
        <item x="303"/>
        <item x="810"/>
        <item x="615"/>
        <item x="448"/>
        <item x="489"/>
        <item x="326"/>
        <item x="575"/>
        <item x="837"/>
        <item x="116"/>
        <item x="102"/>
        <item x="821"/>
        <item x="441"/>
        <item x="604"/>
        <item x="705"/>
        <item x="857"/>
        <item x="752"/>
        <item x="648"/>
        <item x="858"/>
        <item x="537"/>
        <item x="134"/>
        <item x="177"/>
        <item x="244"/>
        <item x="473"/>
        <item x="759"/>
        <item x="86"/>
        <item x="363"/>
        <item x="145"/>
        <item x="680"/>
        <item x="685"/>
        <item x="801"/>
        <item x="521"/>
        <item x="163"/>
        <item x="233"/>
        <item x="68"/>
        <item x="314"/>
        <item x="733"/>
        <item x="162"/>
        <item x="72"/>
        <item x="235"/>
        <item x="297"/>
        <item x="674"/>
        <item x="543"/>
        <item x="770"/>
        <item x="175"/>
        <item x="542"/>
        <item x="721"/>
        <item x="252"/>
        <item x="267"/>
        <item x="686"/>
        <item x="614"/>
        <item x="376"/>
        <item x="385"/>
        <item x="375"/>
        <item x="221"/>
        <item x="196"/>
        <item x="581"/>
        <item x="291"/>
        <item x="31"/>
        <item x="506"/>
        <item x="204"/>
        <item x="132"/>
        <item x="860"/>
        <item x="555"/>
        <item x="518"/>
        <item x="530"/>
        <item x="683"/>
        <item x="380"/>
        <item x="39"/>
        <item x="459"/>
        <item x="808"/>
        <item x="360"/>
        <item x="246"/>
        <item x="76"/>
        <item x="557"/>
        <item x="782"/>
        <item x="353"/>
        <item x="725"/>
        <item x="776"/>
        <item x="87"/>
        <item x="544"/>
        <item x="550"/>
        <item x="665"/>
        <item x="22"/>
        <item x="26"/>
        <item x="515"/>
        <item x="59"/>
        <item x="41"/>
        <item x="463"/>
        <item x="58"/>
        <item x="847"/>
        <item x="711"/>
        <item x="607"/>
        <item x="493"/>
        <item x="423"/>
        <item x="845"/>
        <item x="126"/>
        <item x="840"/>
        <item x="635"/>
        <item x="402"/>
        <item x="737"/>
        <item x="50"/>
        <item x="729"/>
        <item x="565"/>
        <item x="334"/>
        <item x="852"/>
        <item x="309"/>
        <item x="200"/>
        <item x="549"/>
        <item x="531"/>
        <item x="426"/>
        <item x="824"/>
        <item x="438"/>
        <item x="702"/>
        <item x="165"/>
        <item x="36"/>
        <item x="693"/>
        <item x="366"/>
        <item x="716"/>
        <item x="563"/>
        <item x="205"/>
        <item x="364"/>
        <item x="743"/>
        <item x="862"/>
        <item x="12"/>
        <item x="141"/>
        <item x="495"/>
        <item x="214"/>
        <item x="30"/>
        <item x="695"/>
        <item x="586"/>
        <item x="612"/>
        <item x="528"/>
        <item x="157"/>
        <item x="337"/>
        <item x="307"/>
        <item x="520"/>
        <item x="639"/>
        <item x="439"/>
        <item x="603"/>
        <item x="514"/>
        <item x="341"/>
        <item x="202"/>
        <item x="193"/>
        <item x="826"/>
        <item x="576"/>
        <item x="96"/>
        <item x="11"/>
        <item x="774"/>
        <item x="578"/>
        <item x="835"/>
        <item x="474"/>
        <item x="129"/>
        <item x="416"/>
        <item x="45"/>
        <item x="313"/>
        <item x="320"/>
        <item x="864"/>
        <item t="default"/>
      </items>
    </pivotField>
    <pivotField dataField="1" compact="0" showAll="0">
      <items count="1001">
        <item x="358"/>
        <item x="411"/>
        <item x="885"/>
        <item x="112"/>
        <item x="717"/>
        <item x="635"/>
        <item x="843"/>
        <item x="751"/>
        <item x="749"/>
        <item x="896"/>
        <item x="551"/>
        <item x="523"/>
        <item x="530"/>
        <item x="97"/>
        <item x="797"/>
        <item x="575"/>
        <item x="194"/>
        <item x="732"/>
        <item x="349"/>
        <item x="848"/>
        <item x="1"/>
        <item x="807"/>
        <item x="76"/>
        <item x="979"/>
        <item x="950"/>
        <item x="568"/>
        <item x="513"/>
        <item x="8"/>
        <item x="338"/>
        <item x="876"/>
        <item x="574"/>
        <item x="697"/>
        <item x="161"/>
        <item x="413"/>
        <item x="212"/>
        <item x="96"/>
        <item x="524"/>
        <item x="949"/>
        <item x="308"/>
        <item x="758"/>
        <item x="571"/>
        <item x="814"/>
        <item x="127"/>
        <item x="169"/>
        <item x="204"/>
        <item x="498"/>
        <item x="461"/>
        <item x="20"/>
        <item x="247"/>
        <item x="426"/>
        <item x="793"/>
        <item x="605"/>
        <item x="441"/>
        <item x="748"/>
        <item x="765"/>
        <item x="275"/>
        <item x="298"/>
        <item x="512"/>
        <item x="825"/>
        <item x="147"/>
        <item x="286"/>
        <item x="408"/>
        <item x="675"/>
        <item x="146"/>
        <item x="488"/>
        <item x="412"/>
        <item x="734"/>
        <item x="789"/>
        <item x="841"/>
        <item x="661"/>
        <item x="615"/>
        <item x="207"/>
        <item x="737"/>
        <item x="920"/>
        <item x="595"/>
        <item x="624"/>
        <item x="70"/>
        <item x="906"/>
        <item x="465"/>
        <item x="454"/>
        <item x="320"/>
        <item x="340"/>
        <item x="473"/>
        <item x="992"/>
        <item x="997"/>
        <item x="489"/>
        <item x="193"/>
        <item x="969"/>
        <item x="134"/>
        <item x="581"/>
        <item x="43"/>
        <item x="478"/>
        <item x="921"/>
        <item x="218"/>
        <item x="17"/>
        <item x="829"/>
        <item x="73"/>
        <item x="919"/>
        <item x="743"/>
        <item x="257"/>
        <item x="133"/>
        <item x="445"/>
        <item x="747"/>
        <item x="414"/>
        <item x="712"/>
        <item x="39"/>
        <item x="962"/>
        <item x="383"/>
        <item x="95"/>
        <item x="361"/>
        <item x="114"/>
        <item x="336"/>
        <item x="80"/>
        <item x="578"/>
        <item x="186"/>
        <item x="154"/>
        <item x="614"/>
        <item x="10"/>
        <item x="484"/>
        <item x="810"/>
        <item x="35"/>
        <item x="824"/>
        <item x="273"/>
        <item x="432"/>
        <item x="719"/>
        <item x="202"/>
        <item x="576"/>
        <item x="391"/>
        <item x="283"/>
        <item x="30"/>
        <item x="500"/>
        <item x="417"/>
        <item x="201"/>
        <item x="339"/>
        <item x="691"/>
        <item x="917"/>
        <item x="397"/>
        <item x="931"/>
        <item x="534"/>
        <item x="136"/>
        <item x="341"/>
        <item x="803"/>
        <item x="188"/>
        <item x="239"/>
        <item x="198"/>
        <item x="507"/>
        <item x="262"/>
        <item x="302"/>
        <item x="401"/>
        <item x="767"/>
        <item x="442"/>
        <item x="491"/>
        <item x="450"/>
        <item x="268"/>
        <item x="303"/>
        <item x="451"/>
        <item x="187"/>
        <item x="75"/>
        <item x="81"/>
        <item x="930"/>
        <item x="589"/>
        <item x="893"/>
        <item x="226"/>
        <item x="771"/>
        <item x="248"/>
        <item x="483"/>
        <item x="799"/>
        <item x="292"/>
        <item x="216"/>
        <item x="580"/>
        <item x="266"/>
        <item x="701"/>
        <item x="378"/>
        <item x="839"/>
        <item x="806"/>
        <item x="680"/>
        <item x="871"/>
        <item x="541"/>
        <item x="306"/>
        <item x="914"/>
        <item x="307"/>
        <item x="716"/>
        <item x="355"/>
        <item x="365"/>
        <item x="924"/>
        <item x="902"/>
        <item x="174"/>
        <item x="863"/>
        <item x="995"/>
        <item x="570"/>
        <item x="55"/>
        <item x="773"/>
        <item x="150"/>
        <item x="284"/>
        <item x="115"/>
        <item x="711"/>
        <item x="291"/>
        <item x="276"/>
        <item x="363"/>
        <item x="278"/>
        <item x="206"/>
        <item x="93"/>
        <item x="845"/>
        <item x="705"/>
        <item x="11"/>
        <item x="739"/>
        <item x="508"/>
        <item x="245"/>
        <item x="210"/>
        <item x="264"/>
        <item x="496"/>
        <item x="898"/>
        <item x="946"/>
        <item x="866"/>
        <item x="725"/>
        <item x="777"/>
        <item x="522"/>
        <item x="116"/>
        <item x="482"/>
        <item x="775"/>
        <item x="389"/>
        <item x="486"/>
        <item x="714"/>
        <item x="785"/>
        <item x="881"/>
        <item x="518"/>
        <item x="277"/>
        <item x="59"/>
        <item x="453"/>
        <item x="69"/>
        <item x="554"/>
        <item x="677"/>
        <item x="66"/>
        <item x="318"/>
        <item x="242"/>
        <item x="942"/>
        <item x="796"/>
        <item x="57"/>
        <item x="474"/>
        <item x="13"/>
        <item x="382"/>
        <item x="0"/>
        <item x="819"/>
        <item x="695"/>
        <item x="402"/>
        <item x="646"/>
        <item x="253"/>
        <item x="467"/>
        <item x="165"/>
        <item x="632"/>
        <item x="745"/>
        <item x="813"/>
        <item x="973"/>
        <item x="668"/>
        <item x="752"/>
        <item x="795"/>
        <item x="975"/>
        <item x="612"/>
        <item x="261"/>
        <item x="887"/>
        <item x="867"/>
        <item x="289"/>
        <item x="351"/>
        <item x="395"/>
        <item x="29"/>
        <item x="182"/>
        <item x="205"/>
        <item x="561"/>
        <item x="366"/>
        <item x="252"/>
        <item x="425"/>
        <item x="251"/>
        <item x="986"/>
        <item x="569"/>
        <item x="531"/>
        <item x="804"/>
        <item x="577"/>
        <item x="423"/>
        <item x="756"/>
        <item x="658"/>
        <item x="192"/>
        <item x="679"/>
        <item x="540"/>
        <item x="809"/>
        <item x="958"/>
        <item x="573"/>
        <item x="933"/>
        <item x="890"/>
        <item x="794"/>
        <item x="916"/>
        <item x="357"/>
        <item x="689"/>
        <item x="233"/>
        <item x="596"/>
        <item x="877"/>
        <item x="503"/>
        <item x="618"/>
        <item x="859"/>
        <item x="25"/>
        <item x="46"/>
        <item x="120"/>
        <item x="331"/>
        <item x="457"/>
        <item x="613"/>
        <item x="479"/>
        <item x="297"/>
        <item x="926"/>
        <item x="676"/>
        <item x="33"/>
        <item x="856"/>
        <item x="475"/>
        <item x="345"/>
        <item x="94"/>
        <item x="894"/>
        <item x="380"/>
        <item x="195"/>
        <item x="352"/>
        <item x="260"/>
        <item x="649"/>
        <item x="621"/>
        <item x="138"/>
        <item x="861"/>
        <item x="359"/>
        <item x="998"/>
        <item x="246"/>
        <item x="678"/>
        <item x="431"/>
        <item x="720"/>
        <item x="929"/>
        <item x="299"/>
        <item x="912"/>
        <item x="168"/>
        <item x="241"/>
        <item x="699"/>
        <item x="290"/>
        <item x="203"/>
        <item x="343"/>
        <item x="673"/>
        <item x="330"/>
        <item x="313"/>
        <item x="883"/>
        <item x="897"/>
        <item x="510"/>
        <item x="788"/>
        <item x="836"/>
        <item x="721"/>
        <item x="305"/>
        <item x="232"/>
        <item x="164"/>
        <item x="710"/>
        <item x="249"/>
        <item x="816"/>
        <item x="626"/>
        <item x="538"/>
        <item x="5"/>
        <item x="940"/>
        <item x="683"/>
        <item x="159"/>
        <item x="371"/>
        <item x="430"/>
        <item x="327"/>
        <item x="521"/>
        <item x="884"/>
        <item x="388"/>
        <item x="664"/>
        <item x="847"/>
        <item x="3"/>
        <item x="211"/>
        <item x="199"/>
        <item x="111"/>
        <item x="126"/>
        <item x="215"/>
        <item x="270"/>
        <item x="407"/>
        <item x="390"/>
        <item x="18"/>
        <item x="123"/>
        <item x="948"/>
        <item x="653"/>
        <item x="326"/>
        <item x="314"/>
        <item x="34"/>
        <item x="501"/>
        <item x="45"/>
        <item x="520"/>
        <item x="67"/>
        <item x="755"/>
        <item x="384"/>
        <item x="706"/>
        <item x="437"/>
        <item x="244"/>
        <item x="833"/>
        <item x="553"/>
        <item x="256"/>
        <item x="535"/>
        <item x="477"/>
        <item x="68"/>
        <item x="502"/>
        <item x="854"/>
        <item x="968"/>
        <item x="869"/>
        <item x="304"/>
        <item x="812"/>
        <item x="471"/>
        <item x="727"/>
        <item x="873"/>
        <item x="555"/>
        <item x="433"/>
        <item x="434"/>
        <item x="265"/>
        <item x="957"/>
        <item x="800"/>
        <item x="913"/>
        <item x="50"/>
        <item x="684"/>
        <item x="446"/>
        <item x="693"/>
        <item x="22"/>
        <item x="718"/>
        <item x="909"/>
        <item x="271"/>
        <item x="152"/>
        <item x="485"/>
        <item x="497"/>
        <item x="960"/>
        <item x="490"/>
        <item x="255"/>
        <item x="690"/>
        <item x="922"/>
        <item x="309"/>
        <item x="932"/>
        <item x="105"/>
        <item x="172"/>
        <item x="757"/>
        <item x="837"/>
        <item x="616"/>
        <item x="707"/>
        <item x="622"/>
        <item x="148"/>
        <item x="643"/>
        <item x="590"/>
        <item x="980"/>
        <item x="71"/>
        <item x="234"/>
        <item x="742"/>
        <item x="420"/>
        <item x="74"/>
        <item x="227"/>
        <item x="385"/>
        <item x="373"/>
        <item x="295"/>
        <item x="346"/>
        <item x="934"/>
        <item x="947"/>
        <item x="506"/>
        <item x="631"/>
        <item x="364"/>
        <item x="88"/>
        <item x="525"/>
        <item x="118"/>
        <item x="415"/>
        <item x="399"/>
        <item x="636"/>
        <item x="961"/>
        <item x="759"/>
        <item x="801"/>
        <item x="904"/>
        <item x="659"/>
        <item x="644"/>
        <item x="901"/>
        <item x="176"/>
        <item x="267"/>
        <item x="654"/>
        <item x="927"/>
        <item x="786"/>
        <item x="696"/>
        <item x="504"/>
        <item x="994"/>
        <item x="941"/>
        <item x="24"/>
        <item x="723"/>
        <item x="761"/>
        <item x="857"/>
        <item x="536"/>
        <item x="392"/>
        <item x="100"/>
        <item x="938"/>
        <item x="888"/>
        <item x="544"/>
        <item x="162"/>
        <item x="350"/>
        <item x="38"/>
        <item x="228"/>
        <item x="221"/>
        <item x="639"/>
        <item x="139"/>
        <item x="405"/>
        <item x="609"/>
        <item x="328"/>
        <item x="98"/>
        <item x="499"/>
        <item x="820"/>
        <item x="47"/>
        <item x="782"/>
        <item x="65"/>
        <item x="736"/>
        <item x="517"/>
        <item x="393"/>
        <item x="641"/>
        <item x="526"/>
        <item x="545"/>
        <item x="802"/>
        <item x="458"/>
        <item x="731"/>
        <item x="515"/>
        <item x="895"/>
        <item x="2"/>
        <item x="889"/>
        <item x="87"/>
        <item x="236"/>
        <item x="376"/>
        <item x="815"/>
        <item x="235"/>
        <item x="959"/>
        <item x="935"/>
        <item x="760"/>
        <item x="377"/>
        <item x="101"/>
        <item x="822"/>
        <item x="638"/>
        <item x="54"/>
        <item x="274"/>
        <item x="532"/>
        <item x="240"/>
        <item x="258"/>
        <item x="650"/>
        <item x="835"/>
        <item x="769"/>
        <item x="879"/>
        <item x="572"/>
        <item x="651"/>
        <item x="662"/>
        <item x="449"/>
        <item x="548"/>
        <item x="722"/>
        <item x="369"/>
        <item x="549"/>
        <item x="28"/>
        <item x="23"/>
        <item x="315"/>
        <item x="592"/>
        <item x="296"/>
        <item x="964"/>
        <item x="648"/>
        <item x="463"/>
        <item x="493"/>
        <item x="396"/>
        <item x="629"/>
        <item x="882"/>
        <item x="175"/>
        <item x="41"/>
        <item x="970"/>
        <item x="546"/>
        <item x="645"/>
        <item x="280"/>
        <item x="324"/>
        <item x="552"/>
        <item x="586"/>
        <item x="12"/>
        <item x="787"/>
        <item x="145"/>
        <item x="728"/>
        <item x="911"/>
        <item x="945"/>
        <item x="567"/>
        <item x="374"/>
        <item x="135"/>
        <item x="427"/>
        <item x="686"/>
        <item x="229"/>
        <item x="421"/>
        <item x="335"/>
        <item x="779"/>
        <item x="900"/>
        <item x="943"/>
        <item x="362"/>
        <item x="184"/>
        <item x="89"/>
        <item x="53"/>
        <item x="200"/>
        <item x="219"/>
        <item x="768"/>
        <item x="808"/>
        <item x="287"/>
        <item x="6"/>
        <item x="600"/>
        <item x="403"/>
        <item x="983"/>
        <item x="792"/>
        <item x="481"/>
        <item x="78"/>
        <item x="181"/>
        <item x="772"/>
        <item x="593"/>
        <item x="754"/>
        <item x="470"/>
        <item x="128"/>
        <item x="113"/>
        <item x="996"/>
        <item x="356"/>
        <item x="237"/>
        <item x="132"/>
        <item x="565"/>
        <item x="908"/>
        <item x="516"/>
        <item x="780"/>
        <item x="416"/>
        <item x="42"/>
        <item x="753"/>
        <item x="818"/>
        <item x="435"/>
        <item x="702"/>
        <item x="82"/>
        <item x="667"/>
        <item x="811"/>
        <item x="137"/>
        <item x="978"/>
        <item x="971"/>
        <item x="153"/>
        <item x="32"/>
        <item x="602"/>
        <item x="608"/>
        <item x="368"/>
        <item x="611"/>
        <item x="738"/>
        <item x="851"/>
        <item x="746"/>
        <item x="213"/>
        <item x="177"/>
        <item x="505"/>
        <item x="381"/>
        <item x="406"/>
        <item x="764"/>
        <item x="560"/>
        <item x="583"/>
        <item x="733"/>
        <item x="628"/>
        <item x="144"/>
        <item x="99"/>
        <item x="692"/>
        <item x="655"/>
        <item x="763"/>
        <item x="119"/>
        <item x="582"/>
        <item x="62"/>
        <item x="585"/>
        <item x="514"/>
        <item x="550"/>
        <item x="865"/>
        <item x="27"/>
        <item x="597"/>
        <item x="367"/>
        <item x="51"/>
        <item x="469"/>
        <item x="440"/>
        <item x="533"/>
        <item x="429"/>
        <item x="936"/>
        <item x="322"/>
        <item x="591"/>
        <item x="142"/>
        <item x="798"/>
        <item x="231"/>
        <item x="404"/>
        <item x="519"/>
        <item x="90"/>
        <item x="954"/>
        <item x="191"/>
        <item x="892"/>
        <item x="259"/>
        <item x="868"/>
        <item x="834"/>
        <item x="625"/>
        <item x="627"/>
        <item x="529"/>
        <item x="672"/>
        <item x="254"/>
        <item x="826"/>
        <item x="652"/>
        <item x="599"/>
        <item x="156"/>
        <item x="7"/>
        <item x="197"/>
        <item x="784"/>
        <item x="4"/>
        <item x="862"/>
        <item x="838"/>
        <item x="495"/>
        <item x="61"/>
        <item x="170"/>
        <item x="40"/>
        <item x="984"/>
        <item x="509"/>
        <item x="58"/>
        <item x="279"/>
        <item x="370"/>
        <item x="955"/>
        <item x="952"/>
        <item x="117"/>
        <item x="459"/>
        <item x="334"/>
        <item x="511"/>
        <item x="293"/>
        <item x="993"/>
        <item x="543"/>
        <item x="353"/>
        <item x="528"/>
        <item x="178"/>
        <item x="438"/>
        <item x="418"/>
        <item x="821"/>
        <item x="15"/>
        <item x="928"/>
        <item x="878"/>
        <item x="603"/>
        <item x="487"/>
        <item x="173"/>
        <item x="708"/>
        <item x="72"/>
        <item x="606"/>
        <item x="715"/>
        <item x="104"/>
        <item x="846"/>
        <item x="588"/>
        <item x="163"/>
        <item x="724"/>
        <item x="464"/>
        <item x="310"/>
        <item x="670"/>
        <item x="462"/>
        <item x="783"/>
        <item x="360"/>
        <item x="52"/>
        <item x="387"/>
        <item x="49"/>
        <item x="77"/>
        <item x="422"/>
        <item x="190"/>
        <item x="476"/>
        <item x="443"/>
        <item x="601"/>
        <item x="791"/>
        <item x="989"/>
        <item x="400"/>
        <item x="905"/>
        <item x="319"/>
        <item x="967"/>
        <item x="840"/>
        <item x="167"/>
        <item x="704"/>
        <item x="604"/>
        <item x="342"/>
        <item x="282"/>
        <item x="316"/>
        <item x="965"/>
        <item x="740"/>
        <item x="439"/>
        <item x="109"/>
        <item x="735"/>
        <item x="130"/>
        <item x="106"/>
        <item x="480"/>
        <item x="394"/>
        <item x="347"/>
        <item x="633"/>
        <item x="899"/>
        <item x="762"/>
        <item x="870"/>
        <item x="741"/>
        <item x="460"/>
        <item x="587"/>
        <item x="317"/>
        <item x="853"/>
        <item x="272"/>
        <item x="990"/>
        <item x="189"/>
        <item x="166"/>
        <item x="472"/>
        <item x="9"/>
        <item x="557"/>
        <item x="666"/>
        <item x="220"/>
        <item x="966"/>
        <item x="594"/>
        <item x="185"/>
        <item x="223"/>
        <item x="790"/>
        <item x="129"/>
        <item x="637"/>
        <item x="325"/>
        <item x="944"/>
        <item x="19"/>
        <item x="217"/>
        <item x="974"/>
        <item x="657"/>
        <item x="713"/>
        <item x="160"/>
        <item x="225"/>
        <item x="858"/>
        <item x="263"/>
        <item x="778"/>
        <item x="976"/>
        <item x="183"/>
        <item x="157"/>
        <item x="321"/>
        <item x="844"/>
        <item x="448"/>
        <item x="179"/>
        <item x="140"/>
        <item x="121"/>
        <item x="444"/>
        <item x="180"/>
        <item x="300"/>
        <item x="83"/>
        <item x="864"/>
        <item x="805"/>
        <item x="875"/>
        <item x="730"/>
        <item x="817"/>
        <item x="456"/>
        <item x="171"/>
        <item x="222"/>
        <item x="85"/>
        <item x="547"/>
        <item x="891"/>
        <item x="647"/>
        <item x="598"/>
        <item x="766"/>
        <item x="852"/>
        <item x="288"/>
        <item x="238"/>
        <item x="831"/>
        <item x="386"/>
        <item x="208"/>
        <item x="230"/>
        <item x="729"/>
        <item x="682"/>
        <item x="939"/>
        <item x="956"/>
        <item x="607"/>
        <item x="337"/>
        <item x="494"/>
        <item x="671"/>
        <item x="988"/>
        <item x="424"/>
        <item x="125"/>
        <item x="155"/>
        <item x="903"/>
        <item x="63"/>
        <item x="584"/>
        <item x="37"/>
        <item x="849"/>
        <item x="985"/>
        <item x="694"/>
        <item x="301"/>
        <item x="56"/>
        <item x="774"/>
        <item x="398"/>
        <item x="323"/>
        <item x="559"/>
        <item x="886"/>
        <item x="250"/>
        <item x="562"/>
        <item x="566"/>
        <item x="48"/>
        <item x="681"/>
        <item x="937"/>
        <item x="379"/>
        <item x="665"/>
        <item x="141"/>
        <item x="107"/>
        <item x="333"/>
        <item x="372"/>
        <item x="21"/>
        <item x="642"/>
        <item x="311"/>
        <item x="923"/>
        <item x="781"/>
        <item x="214"/>
        <item x="26"/>
        <item x="285"/>
        <item x="709"/>
        <item x="663"/>
        <item x="855"/>
        <item x="669"/>
        <item x="332"/>
        <item x="344"/>
        <item x="294"/>
        <item x="14"/>
        <item x="842"/>
        <item x="827"/>
        <item x="419"/>
        <item x="925"/>
        <item x="329"/>
        <item x="660"/>
        <item x="122"/>
        <item x="409"/>
        <item x="860"/>
        <item x="918"/>
        <item x="563"/>
        <item x="60"/>
        <item x="196"/>
        <item x="674"/>
        <item x="977"/>
        <item x="16"/>
        <item x="455"/>
        <item x="44"/>
        <item x="610"/>
        <item x="151"/>
        <item x="623"/>
        <item x="640"/>
        <item x="436"/>
        <item x="688"/>
        <item x="685"/>
        <item x="410"/>
        <item x="31"/>
        <item x="91"/>
        <item x="823"/>
        <item x="700"/>
        <item x="103"/>
        <item x="149"/>
        <item x="620"/>
        <item x="348"/>
        <item x="850"/>
        <item x="224"/>
        <item x="564"/>
        <item x="963"/>
        <item x="556"/>
        <item x="910"/>
        <item x="243"/>
        <item x="579"/>
        <item x="492"/>
        <item x="703"/>
        <item x="630"/>
        <item x="953"/>
        <item x="750"/>
        <item x="102"/>
        <item x="558"/>
        <item x="158"/>
        <item x="312"/>
        <item x="619"/>
        <item x="447"/>
        <item x="466"/>
        <item x="92"/>
        <item x="972"/>
        <item x="991"/>
        <item x="830"/>
        <item x="281"/>
        <item x="452"/>
        <item x="744"/>
        <item x="634"/>
        <item x="428"/>
        <item x="86"/>
        <item x="880"/>
        <item x="84"/>
        <item x="269"/>
        <item x="542"/>
        <item x="108"/>
        <item x="776"/>
        <item x="987"/>
        <item x="110"/>
        <item x="209"/>
        <item x="468"/>
        <item x="79"/>
        <item x="770"/>
        <item x="539"/>
        <item x="874"/>
        <item x="354"/>
        <item x="907"/>
        <item x="656"/>
        <item x="828"/>
        <item x="726"/>
        <item x="872"/>
        <item x="951"/>
        <item x="375"/>
        <item x="832"/>
        <item x="143"/>
        <item x="698"/>
        <item x="981"/>
        <item x="617"/>
        <item x="36"/>
        <item x="982"/>
        <item x="915"/>
        <item x="537"/>
        <item x="527"/>
        <item x="124"/>
        <item x="131"/>
        <item x="64"/>
        <item x="687"/>
        <item x="999"/>
        <item t="default"/>
      </items>
    </pivotField>
  </pivotFields>
  <rowFields count="1">
    <field x="0"/>
  </rowFields>
  <rowItems count="10">
    <i>
      <x/>
    </i>
    <i>
      <x v="1"/>
    </i>
    <i>
      <x v="2"/>
    </i>
    <i>
      <x v="3"/>
    </i>
    <i>
      <x v="4"/>
    </i>
    <i>
      <x v="5"/>
    </i>
    <i>
      <x v="6"/>
    </i>
    <i>
      <x v="7"/>
    </i>
    <i>
      <x v="8"/>
    </i>
    <i t="grand">
      <x/>
    </i>
  </rowItems>
  <colItems count="1">
    <i/>
  </colItems>
  <dataFields count="1">
    <dataField name="Average of monthly_salary_bdt" fld="5" subtotal="average"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4"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4" firstHeaderRow="1" firstDataRow="1" firstDataCol="1"/>
  <pivotFields count="9">
    <pivotField compact="0" showAll="0">
      <items count="10">
        <item x="1"/>
        <item x="4"/>
        <item x="2"/>
        <item x="3"/>
        <item x="7"/>
        <item x="5"/>
        <item x="6"/>
        <item x="0"/>
        <item x="8"/>
        <item t="default"/>
      </items>
    </pivotField>
    <pivotField axis="axisRow" compact="0" multipleItemSelectionAllowed="1" showAll="0">
      <items count="35">
        <item h="1" x="24"/>
        <item h="1" x="23"/>
        <item x="22"/>
        <item h="1" x="32"/>
        <item x="10"/>
        <item h="1" x="4"/>
        <item x="12"/>
        <item x="2"/>
        <item h="1" x="8"/>
        <item h="1" x="14"/>
        <item h="1" x="7"/>
        <item h="1" x="3"/>
        <item x="27"/>
        <item h="1" x="11"/>
        <item h="1" x="25"/>
        <item x="26"/>
        <item h="1" x="29"/>
        <item x="6"/>
        <item h="1" x="13"/>
        <item x="31"/>
        <item h="1" x="5"/>
        <item h="1" x="19"/>
        <item h="1" x="0"/>
        <item x="15"/>
        <item h="1" x="28"/>
        <item h="1" x="30"/>
        <item x="16"/>
        <item h="1" x="20"/>
        <item h="1" x="18"/>
        <item h="1" x="9"/>
        <item h="1" x="17"/>
        <item h="1" x="21"/>
        <item h="1" x="1"/>
        <item h="1" x="33"/>
        <item t="default"/>
      </items>
    </pivotField>
    <pivotField compact="0" showAll="0"/>
    <pivotField compact="0" showAll="0"/>
    <pivotField compact="0" showAll="0"/>
    <pivotField compact="0" showAll="0"/>
    <pivotField dataField="1" compact="0" showAll="0"/>
    <pivotField compact="0" showAll="0"/>
    <pivotField compact="0" showAll="0">
      <items count="117">
        <item x="114"/>
        <item x="113"/>
        <item x="112"/>
        <item x="111"/>
        <item x="110"/>
        <item x="82"/>
        <item x="76"/>
        <item x="75"/>
        <item x="74"/>
        <item x="32"/>
        <item x="31"/>
        <item x="30"/>
        <item x="29"/>
        <item x="28"/>
        <item x="73"/>
        <item x="27"/>
        <item x="26"/>
        <item x="25"/>
        <item x="24"/>
        <item x="23"/>
        <item x="22"/>
        <item x="21"/>
        <item x="20"/>
        <item x="33"/>
        <item x="19"/>
        <item x="18"/>
        <item x="17"/>
        <item x="16"/>
        <item x="15"/>
        <item x="34"/>
        <item x="14"/>
        <item x="13"/>
        <item x="12"/>
        <item x="72"/>
        <item x="11"/>
        <item x="10"/>
        <item x="35"/>
        <item x="9"/>
        <item x="8"/>
        <item x="7"/>
        <item x="6"/>
        <item x="71"/>
        <item x="5"/>
        <item x="4"/>
        <item x="3"/>
        <item x="43"/>
        <item x="0"/>
        <item x="36"/>
        <item x="83"/>
        <item x="1"/>
        <item x="2"/>
        <item x="37"/>
        <item x="38"/>
        <item x="39"/>
        <item x="40"/>
        <item x="41"/>
        <item x="42"/>
        <item x="44"/>
        <item x="45"/>
        <item x="79"/>
        <item x="84"/>
        <item x="46"/>
        <item x="70"/>
        <item x="47"/>
        <item x="77"/>
        <item x="48"/>
        <item x="80"/>
        <item x="49"/>
        <item x="69"/>
        <item x="50"/>
        <item x="51"/>
        <item x="52"/>
        <item x="53"/>
        <item x="54"/>
        <item x="55"/>
        <item x="56"/>
        <item x="78"/>
        <item x="57"/>
        <item x="60"/>
        <item x="58"/>
        <item x="59"/>
        <item x="61"/>
        <item x="62"/>
        <item x="63"/>
        <item x="64"/>
        <item x="81"/>
        <item x="65"/>
        <item x="66"/>
        <item x="67"/>
        <item x="68"/>
        <item x="85"/>
        <item x="86"/>
        <item x="109"/>
        <item x="87"/>
        <item x="88"/>
        <item x="89"/>
        <item x="90"/>
        <item x="91"/>
        <item x="92"/>
        <item x="93"/>
        <item x="94"/>
        <item x="95"/>
        <item x="96"/>
        <item x="97"/>
        <item x="98"/>
        <item x="99"/>
        <item x="100"/>
        <item x="101"/>
        <item x="102"/>
        <item x="106"/>
        <item x="105"/>
        <item x="103"/>
        <item x="108"/>
        <item x="104"/>
        <item x="107"/>
        <item x="115"/>
        <item t="default"/>
      </items>
    </pivotField>
  </pivotFields>
  <rowFields count="1">
    <field x="1"/>
  </rowFields>
  <rowItems count="11">
    <i>
      <x v="2"/>
    </i>
    <i>
      <x v="4"/>
    </i>
    <i>
      <x v="6"/>
    </i>
    <i>
      <x v="7"/>
    </i>
    <i>
      <x v="12"/>
    </i>
    <i>
      <x v="15"/>
    </i>
    <i>
      <x v="17"/>
    </i>
    <i>
      <x v="19"/>
    </i>
    <i>
      <x v="23"/>
    </i>
    <i>
      <x v="26"/>
    </i>
    <i t="grand">
      <x/>
    </i>
  </rowItems>
  <colItems count="1">
    <i/>
  </colItems>
  <dataFields count="1">
    <dataField name="Count of manager_id" fld="6"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5"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D45" firstHeaderRow="0" firstDataRow="1" firstDataCol="2"/>
  <pivotFields count="13">
    <pivotField compact="0" showAll="0"/>
    <pivotField compact="0" showAll="0"/>
    <pivotField compact="0" showAll="0"/>
    <pivotField axis="axisRow" dataField="1" compact="0" showAll="0">
      <items count="9">
        <item x="1"/>
        <item x="4"/>
        <item x="2"/>
        <item x="3"/>
        <item x="7"/>
        <item x="5"/>
        <item x="6"/>
        <item x="0"/>
        <item t="default"/>
      </items>
    </pivotField>
    <pivotField axis="axisRow" compact="0" showAll="0">
      <items count="34">
        <item x="24"/>
        <item x="23"/>
        <item x="22"/>
        <item x="32"/>
        <item x="10"/>
        <item x="4"/>
        <item x="12"/>
        <item x="2"/>
        <item x="8"/>
        <item x="14"/>
        <item x="7"/>
        <item x="3"/>
        <item x="27"/>
        <item x="11"/>
        <item x="25"/>
        <item x="26"/>
        <item x="29"/>
        <item x="6"/>
        <item x="13"/>
        <item x="31"/>
        <item x="5"/>
        <item x="19"/>
        <item x="0"/>
        <item x="15"/>
        <item x="28"/>
        <item x="30"/>
        <item x="16"/>
        <item x="20"/>
        <item x="18"/>
        <item x="9"/>
        <item x="17"/>
        <item x="21"/>
        <item x="1"/>
        <item t="default"/>
      </items>
    </pivotField>
    <pivotField compact="0" showAll="0"/>
    <pivotField compact="0" showAll="0"/>
    <pivotField compact="0" numFmtId="178" showAll="0"/>
    <pivotField compact="0" numFmtId="179" showAll="0"/>
    <pivotField compact="0" showAll="0"/>
    <pivotField compact="0" showAll="0"/>
    <pivotField compact="0" showAll="0"/>
    <pivotField dataField="1" compact="0" showAll="0"/>
  </pivotFields>
  <rowFields count="2">
    <field x="3"/>
    <field x="4"/>
  </rowFields>
  <rowItems count="42">
    <i>
      <x/>
    </i>
    <i r="1">
      <x v="4"/>
    </i>
    <i r="1">
      <x v="31"/>
    </i>
    <i r="1">
      <x v="32"/>
    </i>
    <i>
      <x v="1"/>
    </i>
    <i r="1">
      <x v="5"/>
    </i>
    <i r="1">
      <x v="6"/>
    </i>
    <i r="1">
      <x v="13"/>
    </i>
    <i r="1">
      <x v="20"/>
    </i>
    <i r="1">
      <x v="27"/>
    </i>
    <i r="1">
      <x v="29"/>
    </i>
    <i>
      <x v="2"/>
    </i>
    <i r="1">
      <x v="1"/>
    </i>
    <i r="1">
      <x v="7"/>
    </i>
    <i r="1">
      <x v="8"/>
    </i>
    <i r="1">
      <x v="25"/>
    </i>
    <i>
      <x v="3"/>
    </i>
    <i r="1">
      <x v="10"/>
    </i>
    <i r="1">
      <x v="11"/>
    </i>
    <i r="1">
      <x v="12"/>
    </i>
    <i r="1">
      <x v="21"/>
    </i>
    <i>
      <x v="4"/>
    </i>
    <i r="1">
      <x v="3"/>
    </i>
    <i r="1">
      <x v="9"/>
    </i>
    <i r="1">
      <x v="14"/>
    </i>
    <i r="1">
      <x v="15"/>
    </i>
    <i r="1">
      <x v="28"/>
    </i>
    <i>
      <x v="5"/>
    </i>
    <i r="1">
      <x v="16"/>
    </i>
    <i r="1">
      <x v="17"/>
    </i>
    <i r="1">
      <x v="30"/>
    </i>
    <i>
      <x v="6"/>
    </i>
    <i r="1">
      <x v="2"/>
    </i>
    <i r="1">
      <x v="18"/>
    </i>
    <i r="1">
      <x v="19"/>
    </i>
    <i r="1">
      <x v="26"/>
    </i>
    <i>
      <x v="7"/>
    </i>
    <i r="1">
      <x/>
    </i>
    <i r="1">
      <x v="22"/>
    </i>
    <i r="1">
      <x v="23"/>
    </i>
    <i r="1">
      <x v="24"/>
    </i>
    <i t="grand">
      <x/>
    </i>
  </rowItems>
  <colFields count="1">
    <field x="-2"/>
  </colFields>
  <colItems count="2">
    <i>
      <x/>
    </i>
    <i i="1">
      <x v="1"/>
    </i>
  </colItems>
  <dataFields count="2">
    <dataField name="Average of Tenure" fld="12" subtotal="average" baseField="0" baseItem="0"/>
    <dataField name="Count of department"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5"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12" firstHeaderRow="1" firstDataRow="1" firstDataCol="1"/>
  <pivotFields count="13">
    <pivotField compact="0" showAll="0"/>
    <pivotField compact="0" showAll="0"/>
    <pivotField compact="0" showAll="0"/>
    <pivotField axis="axisRow" compact="0" showAll="0">
      <items count="9">
        <item x="1"/>
        <item x="4"/>
        <item x="2"/>
        <item x="3"/>
        <item x="7"/>
        <item x="5"/>
        <item x="6"/>
        <item x="0"/>
        <item t="default"/>
      </items>
    </pivotField>
    <pivotField compact="0" showAll="0"/>
    <pivotField compact="0" showAll="0"/>
    <pivotField compact="0" showAll="0"/>
    <pivotField compact="0" numFmtId="178" showAll="0"/>
    <pivotField compact="0" numFmtId="179" showAll="0"/>
    <pivotField compact="0" showAll="0"/>
    <pivotField compact="0" showAll="0"/>
    <pivotField compact="0" showAll="0"/>
    <pivotField dataField="1" compact="0" showAll="0"/>
  </pivotFields>
  <rowFields count="1">
    <field x="3"/>
  </rowFields>
  <rowItems count="9">
    <i>
      <x/>
    </i>
    <i>
      <x v="1"/>
    </i>
    <i>
      <x v="2"/>
    </i>
    <i>
      <x v="3"/>
    </i>
    <i>
      <x v="4"/>
    </i>
    <i>
      <x v="5"/>
    </i>
    <i>
      <x v="6"/>
    </i>
    <i>
      <x v="7"/>
    </i>
    <i t="grand">
      <x/>
    </i>
  </rowItems>
  <colItems count="1">
    <i/>
  </colItems>
  <dataFields count="1">
    <dataField name="Sum of Tenure" fld="12"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6"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C36" firstHeaderRow="1" firstDataRow="1" firstDataCol="2"/>
  <pivotFields count="14">
    <pivotField compact="0" showAll="0"/>
    <pivotField compact="0" showAll="0"/>
    <pivotField compact="0" showAll="0"/>
    <pivotField axis="axisRow" compact="0" showAll="0">
      <items count="9">
        <item x="1"/>
        <item x="4"/>
        <item x="2"/>
        <item x="3"/>
        <item x="7"/>
        <item x="5"/>
        <item x="6"/>
        <item x="0"/>
        <item t="default"/>
      </items>
    </pivotField>
    <pivotField compact="0" showAll="0"/>
    <pivotField compact="0" showAll="0"/>
    <pivotField compact="0" showAll="0"/>
    <pivotField compact="0" numFmtId="178" showAll="0"/>
    <pivotField compact="0" numFmtId="179" showAll="0"/>
    <pivotField compact="0" showAll="0"/>
    <pivotField compact="0" showAll="0"/>
    <pivotField compact="0" showAll="0"/>
    <pivotField compact="0" numFmtId="180" showAll="0"/>
    <pivotField axis="axisRow" dataField="1" compact="0" showAll="0">
      <items count="4">
        <item x="0"/>
        <item x="2"/>
        <item x="1"/>
        <item t="default"/>
      </items>
    </pivotField>
  </pivotFields>
  <rowFields count="2">
    <field x="3"/>
    <field x="13"/>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Items count="1">
    <i/>
  </colItems>
  <dataFields count="1">
    <dataField name="Count of Tenure groups" fld="1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3">
    <a:dk1>
      <a:srgbClr val="000000"/>
    </a:dk1>
    <a:lt1>
      <a:srgbClr val="FFFFFF"/>
    </a:lt1>
    <a:dk2>
      <a:srgbClr val="44546A"/>
    </a:dk2>
    <a:lt2>
      <a:srgbClr val="E7E6E6"/>
    </a:lt2>
    <a:accent1>
      <a:srgbClr val="EE5796"/>
    </a:accent1>
    <a:accent2>
      <a:srgbClr val="F9B525"/>
    </a:accent2>
    <a:accent3>
      <a:srgbClr val="6D78FA"/>
    </a:accent3>
    <a:accent4>
      <a:srgbClr val="0EE2EF"/>
    </a:accent4>
    <a:accent5>
      <a:srgbClr val="93DE03"/>
    </a:accent5>
    <a:accent6>
      <a:srgbClr val="F5F804"/>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workbookViewId="0">
      <selection activeCell="C12" sqref="C12"/>
    </sheetView>
  </sheetViews>
  <sheetFormatPr defaultColWidth="9.14285714285714" defaultRowHeight="15"/>
  <cols>
    <col min="1" max="1" width="20" style="22" customWidth="1"/>
    <col min="2" max="2" width="22" style="22" customWidth="1"/>
    <col min="3" max="3" width="21.4285714285714" style="22" customWidth="1"/>
    <col min="4" max="4" width="18.1428571428571" style="22" customWidth="1"/>
    <col min="5" max="5" width="20" style="22" customWidth="1"/>
    <col min="6" max="6" width="20.7142857142857" style="22" customWidth="1"/>
    <col min="7" max="7" width="16.7142857142857" style="22" customWidth="1"/>
    <col min="8" max="8" width="18.7142857142857" style="22" customWidth="1"/>
    <col min="9" max="9" width="17.5714285714286" style="22" customWidth="1"/>
    <col min="10" max="10" width="10.2857142857143" style="22"/>
    <col min="11" max="16384" width="9.14285714285714" style="22"/>
  </cols>
  <sheetData>
    <row r="1" s="22" customFormat="1" spans="1:10">
      <c r="A1" s="23" t="s">
        <v>0</v>
      </c>
      <c r="B1" s="24" t="s">
        <v>1</v>
      </c>
      <c r="C1" s="24" t="s">
        <v>2</v>
      </c>
      <c r="D1" s="24" t="s">
        <v>3</v>
      </c>
      <c r="E1" s="24" t="s">
        <v>4</v>
      </c>
      <c r="F1" s="24" t="s">
        <v>5</v>
      </c>
      <c r="G1" s="24" t="s">
        <v>6</v>
      </c>
      <c r="H1" s="24" t="s">
        <v>7</v>
      </c>
      <c r="I1" s="24" t="s">
        <v>8</v>
      </c>
      <c r="J1" s="25" t="s">
        <v>9</v>
      </c>
    </row>
    <row r="2" s="22" customFormat="1" spans="1:10">
      <c r="A2" s="26" t="s">
        <v>10</v>
      </c>
      <c r="B2" s="27" t="s">
        <v>11</v>
      </c>
      <c r="C2" s="27" t="s">
        <v>12</v>
      </c>
      <c r="D2" s="27" t="s">
        <v>13</v>
      </c>
      <c r="E2" s="27" t="s">
        <v>14</v>
      </c>
      <c r="F2" s="27" t="s">
        <v>15</v>
      </c>
      <c r="G2" s="27" t="s">
        <v>16</v>
      </c>
      <c r="H2" s="28">
        <v>42776</v>
      </c>
      <c r="I2" s="27">
        <v>97605</v>
      </c>
      <c r="J2" s="29"/>
    </row>
    <row r="3" s="22" customFormat="1" spans="1:10">
      <c r="A3" s="30" t="s">
        <v>17</v>
      </c>
      <c r="B3" s="31" t="s">
        <v>18</v>
      </c>
      <c r="C3" s="31" t="s">
        <v>19</v>
      </c>
      <c r="D3" s="31" t="s">
        <v>20</v>
      </c>
      <c r="E3" s="31" t="s">
        <v>21</v>
      </c>
      <c r="F3" s="31" t="s">
        <v>22</v>
      </c>
      <c r="G3" s="31" t="s">
        <v>16</v>
      </c>
      <c r="H3" s="32">
        <v>45178</v>
      </c>
      <c r="I3" s="31">
        <v>57499</v>
      </c>
      <c r="J3" s="33" t="s">
        <v>23</v>
      </c>
    </row>
    <row r="4" s="22" customFormat="1" spans="1:10">
      <c r="A4" s="26" t="s">
        <v>24</v>
      </c>
      <c r="B4" s="27" t="s">
        <v>25</v>
      </c>
      <c r="C4" s="27" t="s">
        <v>19</v>
      </c>
      <c r="D4" s="27" t="s">
        <v>26</v>
      </c>
      <c r="E4" s="27" t="s">
        <v>27</v>
      </c>
      <c r="F4" s="27" t="s">
        <v>15</v>
      </c>
      <c r="G4" s="27" t="s">
        <v>28</v>
      </c>
      <c r="H4" s="28">
        <v>43874</v>
      </c>
      <c r="I4" s="27">
        <v>136659</v>
      </c>
      <c r="J4" s="29" t="s">
        <v>29</v>
      </c>
    </row>
    <row r="5" s="22" customFormat="1" spans="1:10">
      <c r="A5" s="30" t="s">
        <v>30</v>
      </c>
      <c r="B5" s="31" t="s">
        <v>31</v>
      </c>
      <c r="C5" s="31" t="s">
        <v>19</v>
      </c>
      <c r="D5" s="31" t="s">
        <v>32</v>
      </c>
      <c r="E5" s="31" t="s">
        <v>33</v>
      </c>
      <c r="F5" s="31" t="s">
        <v>15</v>
      </c>
      <c r="G5" s="31" t="s">
        <v>34</v>
      </c>
      <c r="H5" s="32">
        <v>44600</v>
      </c>
      <c r="I5" s="31">
        <v>115085</v>
      </c>
      <c r="J5" s="33" t="s">
        <v>35</v>
      </c>
    </row>
    <row r="6" s="22" customFormat="1" spans="1:10">
      <c r="A6" s="26" t="s">
        <v>36</v>
      </c>
      <c r="B6" s="27" t="s">
        <v>37</v>
      </c>
      <c r="C6" s="27" t="s">
        <v>12</v>
      </c>
      <c r="D6" s="27" t="s">
        <v>38</v>
      </c>
      <c r="E6" s="27" t="s">
        <v>39</v>
      </c>
      <c r="F6" s="27" t="s">
        <v>15</v>
      </c>
      <c r="G6" s="27" t="s">
        <v>40</v>
      </c>
      <c r="H6" s="28">
        <v>45011</v>
      </c>
      <c r="I6" s="27">
        <v>164000</v>
      </c>
      <c r="J6" s="29" t="s">
        <v>41</v>
      </c>
    </row>
    <row r="7" s="22" customFormat="1" spans="1:10">
      <c r="A7" s="30" t="s">
        <v>42</v>
      </c>
      <c r="B7" s="31" t="s">
        <v>43</v>
      </c>
      <c r="C7" s="31" t="s">
        <v>12</v>
      </c>
      <c r="D7" s="31" t="s">
        <v>38</v>
      </c>
      <c r="E7" s="31" t="s">
        <v>44</v>
      </c>
      <c r="F7" s="31" t="s">
        <v>15</v>
      </c>
      <c r="G7" s="31" t="s">
        <v>40</v>
      </c>
      <c r="H7" s="32">
        <v>43839</v>
      </c>
      <c r="I7" s="31">
        <v>113810</v>
      </c>
      <c r="J7" s="33" t="s">
        <v>45</v>
      </c>
    </row>
    <row r="8" s="22" customFormat="1" spans="1:10">
      <c r="A8" s="26" t="s">
        <v>46</v>
      </c>
      <c r="B8" s="27" t="s">
        <v>47</v>
      </c>
      <c r="C8" s="27" t="s">
        <v>12</v>
      </c>
      <c r="D8" s="27" t="s">
        <v>38</v>
      </c>
      <c r="E8" s="27" t="s">
        <v>44</v>
      </c>
      <c r="F8" s="27" t="s">
        <v>48</v>
      </c>
      <c r="G8" s="27" t="s">
        <v>34</v>
      </c>
      <c r="H8" s="28">
        <v>42618</v>
      </c>
      <c r="I8" s="27">
        <v>148804</v>
      </c>
      <c r="J8" s="29" t="s">
        <v>49</v>
      </c>
    </row>
    <row r="9" s="22" customFormat="1" spans="1:10">
      <c r="A9" s="30" t="s">
        <v>50</v>
      </c>
      <c r="B9" s="31" t="s">
        <v>51</v>
      </c>
      <c r="C9" s="31" t="s">
        <v>19</v>
      </c>
      <c r="D9" s="31" t="s">
        <v>52</v>
      </c>
      <c r="E9" s="31" t="s">
        <v>53</v>
      </c>
      <c r="F9" s="31" t="s">
        <v>15</v>
      </c>
      <c r="G9" s="31" t="s">
        <v>16</v>
      </c>
      <c r="H9" s="32">
        <v>44000</v>
      </c>
      <c r="I9" s="31">
        <v>163417</v>
      </c>
      <c r="J9" s="33" t="s">
        <v>54</v>
      </c>
    </row>
    <row r="10" s="22" customFormat="1" spans="1:10">
      <c r="A10" s="26" t="s">
        <v>55</v>
      </c>
      <c r="B10" s="27" t="s">
        <v>56</v>
      </c>
      <c r="C10" s="27" t="s">
        <v>19</v>
      </c>
      <c r="D10" s="27" t="s">
        <v>32</v>
      </c>
      <c r="E10" s="27" t="s">
        <v>57</v>
      </c>
      <c r="F10" s="27" t="s">
        <v>15</v>
      </c>
      <c r="G10" s="27" t="s">
        <v>40</v>
      </c>
      <c r="H10" s="28">
        <v>43500</v>
      </c>
      <c r="I10" s="27">
        <v>59023</v>
      </c>
      <c r="J10" s="29" t="s">
        <v>58</v>
      </c>
    </row>
    <row r="11" s="22" customFormat="1" spans="1:10">
      <c r="A11" s="30" t="s">
        <v>59</v>
      </c>
      <c r="B11" s="31" t="s">
        <v>60</v>
      </c>
      <c r="C11" s="31" t="s">
        <v>19</v>
      </c>
      <c r="D11" s="31" t="s">
        <v>26</v>
      </c>
      <c r="E11" s="31" t="s">
        <v>61</v>
      </c>
      <c r="F11" s="31" t="s">
        <v>15</v>
      </c>
      <c r="G11" s="31" t="s">
        <v>62</v>
      </c>
      <c r="H11" s="32">
        <v>43147</v>
      </c>
      <c r="I11" s="31">
        <v>184800</v>
      </c>
      <c r="J11" s="33" t="s">
        <v>63</v>
      </c>
    </row>
    <row r="12" s="22" customFormat="1" spans="1:10">
      <c r="A12" s="26" t="s">
        <v>64</v>
      </c>
      <c r="B12" s="27" t="s">
        <v>65</v>
      </c>
      <c r="C12" s="27" t="s">
        <v>19</v>
      </c>
      <c r="D12" s="27" t="s">
        <v>38</v>
      </c>
      <c r="E12" s="27" t="s">
        <v>66</v>
      </c>
      <c r="F12" s="27" t="s">
        <v>22</v>
      </c>
      <c r="G12" s="27" t="s">
        <v>28</v>
      </c>
      <c r="H12" s="28">
        <v>42870</v>
      </c>
      <c r="I12" s="27">
        <v>76400</v>
      </c>
      <c r="J12" s="29" t="s">
        <v>67</v>
      </c>
    </row>
    <row r="13" s="22" customFormat="1" spans="1:10">
      <c r="A13" s="30" t="s">
        <v>68</v>
      </c>
      <c r="B13" s="31" t="s">
        <v>69</v>
      </c>
      <c r="C13" s="31" t="s">
        <v>19</v>
      </c>
      <c r="D13" s="31" t="s">
        <v>20</v>
      </c>
      <c r="E13" s="31" t="s">
        <v>70</v>
      </c>
      <c r="F13" s="31" t="s">
        <v>15</v>
      </c>
      <c r="G13" s="31" t="s">
        <v>40</v>
      </c>
      <c r="H13" s="32">
        <v>45843</v>
      </c>
      <c r="I13" s="31">
        <v>91466</v>
      </c>
      <c r="J13" s="33" t="s">
        <v>71</v>
      </c>
    </row>
    <row r="14" s="22" customFormat="1" spans="1:10">
      <c r="A14" s="26" t="s">
        <v>72</v>
      </c>
      <c r="B14" s="27" t="s">
        <v>73</v>
      </c>
      <c r="C14" s="27" t="s">
        <v>19</v>
      </c>
      <c r="D14" s="27" t="s">
        <v>52</v>
      </c>
      <c r="E14" s="27" t="s">
        <v>53</v>
      </c>
      <c r="F14" s="27" t="s">
        <v>48</v>
      </c>
      <c r="G14" s="27" t="s">
        <v>16</v>
      </c>
      <c r="H14" s="28">
        <v>45745</v>
      </c>
      <c r="I14" s="27">
        <v>144623</v>
      </c>
      <c r="J14" s="29" t="s">
        <v>74</v>
      </c>
    </row>
    <row r="15" s="22" customFormat="1" spans="1:10">
      <c r="A15" s="30" t="s">
        <v>75</v>
      </c>
      <c r="B15" s="31" t="s">
        <v>76</v>
      </c>
      <c r="C15" s="31" t="s">
        <v>19</v>
      </c>
      <c r="D15" s="31" t="s">
        <v>38</v>
      </c>
      <c r="E15" s="31" t="s">
        <v>77</v>
      </c>
      <c r="F15" s="31" t="s">
        <v>15</v>
      </c>
      <c r="G15" s="31" t="s">
        <v>16</v>
      </c>
      <c r="H15" s="32">
        <v>44232</v>
      </c>
      <c r="I15" s="31">
        <v>97343</v>
      </c>
      <c r="J15" s="33" t="s">
        <v>78</v>
      </c>
    </row>
    <row r="16" s="22" customFormat="1" spans="1:10">
      <c r="A16" s="26" t="s">
        <v>79</v>
      </c>
      <c r="B16" s="27" t="s">
        <v>80</v>
      </c>
      <c r="C16" s="27" t="s">
        <v>12</v>
      </c>
      <c r="D16" s="27" t="s">
        <v>38</v>
      </c>
      <c r="E16" s="27" t="s">
        <v>44</v>
      </c>
      <c r="F16" s="27" t="s">
        <v>15</v>
      </c>
      <c r="G16" s="27" t="s">
        <v>40</v>
      </c>
      <c r="H16" s="28">
        <v>42745</v>
      </c>
      <c r="I16" s="27">
        <v>221527</v>
      </c>
      <c r="J16" s="29" t="s">
        <v>81</v>
      </c>
    </row>
    <row r="17" s="22" customFormat="1" spans="1:10">
      <c r="A17" s="30" t="s">
        <v>82</v>
      </c>
      <c r="B17" s="31" t="s">
        <v>83</v>
      </c>
      <c r="C17" s="31" t="s">
        <v>19</v>
      </c>
      <c r="D17" s="31" t="s">
        <v>38</v>
      </c>
      <c r="E17" s="31" t="s">
        <v>84</v>
      </c>
      <c r="F17" s="31" t="s">
        <v>15</v>
      </c>
      <c r="G17" s="31" t="s">
        <v>28</v>
      </c>
      <c r="H17" s="32">
        <v>45084</v>
      </c>
      <c r="I17" s="31">
        <v>169776</v>
      </c>
      <c r="J17" s="33" t="s">
        <v>67</v>
      </c>
    </row>
    <row r="18" s="22" customFormat="1" spans="1:10">
      <c r="A18" s="26" t="s">
        <v>85</v>
      </c>
      <c r="B18" s="27" t="s">
        <v>86</v>
      </c>
      <c r="C18" s="27" t="s">
        <v>19</v>
      </c>
      <c r="D18" s="27" t="s">
        <v>87</v>
      </c>
      <c r="E18" s="27" t="s">
        <v>88</v>
      </c>
      <c r="F18" s="27" t="s">
        <v>15</v>
      </c>
      <c r="G18" s="27" t="s">
        <v>40</v>
      </c>
      <c r="H18" s="28">
        <v>43238</v>
      </c>
      <c r="I18" s="27">
        <v>227464</v>
      </c>
      <c r="J18" s="29" t="s">
        <v>89</v>
      </c>
    </row>
    <row r="19" s="22" customFormat="1" spans="1:10">
      <c r="A19" s="30" t="s">
        <v>90</v>
      </c>
      <c r="B19" s="31" t="s">
        <v>91</v>
      </c>
      <c r="C19" s="31" t="s">
        <v>12</v>
      </c>
      <c r="D19" s="31" t="s">
        <v>92</v>
      </c>
      <c r="E19" s="31" t="s">
        <v>93</v>
      </c>
      <c r="F19" s="31" t="s">
        <v>15</v>
      </c>
      <c r="G19" s="31" t="s">
        <v>94</v>
      </c>
      <c r="H19" s="32">
        <v>44998</v>
      </c>
      <c r="I19" s="31">
        <v>73216</v>
      </c>
      <c r="J19" s="33" t="s">
        <v>95</v>
      </c>
    </row>
    <row r="20" s="22" customFormat="1" spans="1:10">
      <c r="A20" s="26" t="s">
        <v>96</v>
      </c>
      <c r="B20" s="27" t="s">
        <v>97</v>
      </c>
      <c r="C20" s="27" t="s">
        <v>12</v>
      </c>
      <c r="D20" s="27" t="s">
        <v>13</v>
      </c>
      <c r="E20" s="27" t="s">
        <v>98</v>
      </c>
      <c r="F20" s="27" t="s">
        <v>15</v>
      </c>
      <c r="G20" s="27" t="s">
        <v>40</v>
      </c>
      <c r="H20" s="28">
        <v>44989</v>
      </c>
      <c r="I20" s="27">
        <v>116055</v>
      </c>
      <c r="J20" s="29" t="s">
        <v>99</v>
      </c>
    </row>
    <row r="21" s="22" customFormat="1" spans="1:10">
      <c r="A21" s="30" t="s">
        <v>100</v>
      </c>
      <c r="B21" s="31" t="s">
        <v>101</v>
      </c>
      <c r="C21" s="31" t="s">
        <v>19</v>
      </c>
      <c r="D21" s="31" t="s">
        <v>87</v>
      </c>
      <c r="E21" s="31" t="s">
        <v>88</v>
      </c>
      <c r="F21" s="31" t="s">
        <v>15</v>
      </c>
      <c r="G21" s="31" t="s">
        <v>94</v>
      </c>
      <c r="H21" s="32">
        <v>44815</v>
      </c>
      <c r="I21" s="31">
        <v>188711</v>
      </c>
      <c r="J21" s="33" t="s">
        <v>102</v>
      </c>
    </row>
    <row r="22" s="22" customFormat="1" spans="1:10">
      <c r="A22" s="26" t="s">
        <v>103</v>
      </c>
      <c r="B22" s="27" t="s">
        <v>104</v>
      </c>
      <c r="C22" s="27" t="s">
        <v>12</v>
      </c>
      <c r="D22" s="27" t="s">
        <v>32</v>
      </c>
      <c r="E22" s="27" t="s">
        <v>33</v>
      </c>
      <c r="F22" s="27" t="s">
        <v>48</v>
      </c>
      <c r="G22" s="27" t="s">
        <v>34</v>
      </c>
      <c r="H22" s="28">
        <v>42457</v>
      </c>
      <c r="I22" s="27">
        <v>63778</v>
      </c>
      <c r="J22" s="29" t="s">
        <v>105</v>
      </c>
    </row>
    <row r="23" s="22" customFormat="1" spans="1:10">
      <c r="A23" s="30" t="s">
        <v>106</v>
      </c>
      <c r="B23" s="31" t="s">
        <v>107</v>
      </c>
      <c r="C23" s="31" t="s">
        <v>12</v>
      </c>
      <c r="D23" s="31" t="s">
        <v>38</v>
      </c>
      <c r="E23" s="31" t="s">
        <v>66</v>
      </c>
      <c r="F23" s="31" t="s">
        <v>48</v>
      </c>
      <c r="G23" s="31" t="s">
        <v>16</v>
      </c>
      <c r="H23" s="32">
        <v>42577</v>
      </c>
      <c r="I23" s="31">
        <v>215065</v>
      </c>
      <c r="J23" s="33" t="s">
        <v>108</v>
      </c>
    </row>
    <row r="24" s="22" customFormat="1" spans="1:10">
      <c r="A24" s="26" t="s">
        <v>109</v>
      </c>
      <c r="B24" s="27" t="s">
        <v>110</v>
      </c>
      <c r="C24" s="27" t="s">
        <v>19</v>
      </c>
      <c r="D24" s="27" t="s">
        <v>87</v>
      </c>
      <c r="E24" s="27" t="s">
        <v>111</v>
      </c>
      <c r="F24" s="27" t="s">
        <v>48</v>
      </c>
      <c r="G24" s="27" t="s">
        <v>94</v>
      </c>
      <c r="H24" s="28">
        <v>45592</v>
      </c>
      <c r="I24" s="27">
        <v>122086</v>
      </c>
      <c r="J24" s="29" t="s">
        <v>78</v>
      </c>
    </row>
    <row r="25" s="22" customFormat="1" spans="1:10">
      <c r="A25" s="30" t="s">
        <v>112</v>
      </c>
      <c r="B25" s="31" t="s">
        <v>113</v>
      </c>
      <c r="C25" s="31" t="s">
        <v>19</v>
      </c>
      <c r="D25" s="31" t="s">
        <v>13</v>
      </c>
      <c r="E25" s="31" t="s">
        <v>98</v>
      </c>
      <c r="F25" s="31" t="s">
        <v>15</v>
      </c>
      <c r="G25" s="31" t="s">
        <v>40</v>
      </c>
      <c r="H25" s="32">
        <v>43736</v>
      </c>
      <c r="I25" s="31">
        <v>141478</v>
      </c>
      <c r="J25" s="33" t="s">
        <v>114</v>
      </c>
    </row>
    <row r="26" s="22" customFormat="1" spans="1:10">
      <c r="A26" s="26" t="s">
        <v>115</v>
      </c>
      <c r="B26" s="27" t="s">
        <v>116</v>
      </c>
      <c r="C26" s="27" t="s">
        <v>12</v>
      </c>
      <c r="D26" s="27" t="s">
        <v>13</v>
      </c>
      <c r="E26" s="27" t="s">
        <v>98</v>
      </c>
      <c r="F26" s="27" t="s">
        <v>15</v>
      </c>
      <c r="G26" s="27" t="s">
        <v>34</v>
      </c>
      <c r="H26" s="28">
        <v>43367</v>
      </c>
      <c r="I26" s="27">
        <v>131411</v>
      </c>
      <c r="J26" s="29" t="s">
        <v>117</v>
      </c>
    </row>
    <row r="27" s="22" customFormat="1" spans="1:10">
      <c r="A27" s="30" t="s">
        <v>118</v>
      </c>
      <c r="B27" s="31" t="s">
        <v>119</v>
      </c>
      <c r="C27" s="31" t="s">
        <v>19</v>
      </c>
      <c r="D27" s="31" t="s">
        <v>52</v>
      </c>
      <c r="E27" s="31" t="s">
        <v>120</v>
      </c>
      <c r="F27" s="31" t="s">
        <v>15</v>
      </c>
      <c r="G27" s="31" t="s">
        <v>16</v>
      </c>
      <c r="H27" s="32">
        <v>42885</v>
      </c>
      <c r="I27" s="31">
        <v>104751</v>
      </c>
      <c r="J27" s="33" t="s">
        <v>121</v>
      </c>
    </row>
    <row r="28" s="22" customFormat="1" spans="1:10">
      <c r="A28" s="26" t="s">
        <v>122</v>
      </c>
      <c r="B28" s="27" t="s">
        <v>123</v>
      </c>
      <c r="C28" s="27" t="s">
        <v>19</v>
      </c>
      <c r="D28" s="27" t="s">
        <v>38</v>
      </c>
      <c r="E28" s="27" t="s">
        <v>39</v>
      </c>
      <c r="F28" s="27" t="s">
        <v>15</v>
      </c>
      <c r="G28" s="27" t="s">
        <v>28</v>
      </c>
      <c r="H28" s="28">
        <v>45593</v>
      </c>
      <c r="I28" s="27">
        <v>218329</v>
      </c>
      <c r="J28" s="29" t="s">
        <v>41</v>
      </c>
    </row>
    <row r="29" s="22" customFormat="1" spans="1:10">
      <c r="A29" s="30" t="s">
        <v>124</v>
      </c>
      <c r="B29" s="31" t="s">
        <v>125</v>
      </c>
      <c r="C29" s="31" t="s">
        <v>19</v>
      </c>
      <c r="D29" s="31" t="s">
        <v>92</v>
      </c>
      <c r="E29" s="31" t="s">
        <v>126</v>
      </c>
      <c r="F29" s="31" t="s">
        <v>15</v>
      </c>
      <c r="G29" s="31" t="s">
        <v>40</v>
      </c>
      <c r="H29" s="32">
        <v>44682</v>
      </c>
      <c r="I29" s="31">
        <v>157690</v>
      </c>
      <c r="J29" s="33" t="s">
        <v>127</v>
      </c>
    </row>
    <row r="30" s="22" customFormat="1" spans="1:10">
      <c r="A30" s="26" t="s">
        <v>128</v>
      </c>
      <c r="B30" s="27" t="s">
        <v>129</v>
      </c>
      <c r="C30" s="27" t="s">
        <v>12</v>
      </c>
      <c r="D30" s="27" t="s">
        <v>32</v>
      </c>
      <c r="E30" s="27" t="s">
        <v>130</v>
      </c>
      <c r="F30" s="27" t="s">
        <v>15</v>
      </c>
      <c r="G30" s="27" t="s">
        <v>40</v>
      </c>
      <c r="H30" s="28">
        <v>43210</v>
      </c>
      <c r="I30" s="27">
        <v>141183</v>
      </c>
      <c r="J30" s="29" t="s">
        <v>131</v>
      </c>
    </row>
    <row r="31" s="22" customFormat="1" spans="1:10">
      <c r="A31" s="30" t="s">
        <v>132</v>
      </c>
      <c r="B31" s="31" t="s">
        <v>133</v>
      </c>
      <c r="C31" s="31" t="s">
        <v>12</v>
      </c>
      <c r="D31" s="31" t="s">
        <v>38</v>
      </c>
      <c r="E31" s="31" t="s">
        <v>39</v>
      </c>
      <c r="F31" s="31" t="s">
        <v>15</v>
      </c>
      <c r="G31" s="31" t="s">
        <v>16</v>
      </c>
      <c r="H31" s="32">
        <v>42651</v>
      </c>
      <c r="I31" s="31">
        <v>99920</v>
      </c>
      <c r="J31" s="33" t="s">
        <v>134</v>
      </c>
    </row>
    <row r="32" s="22" customFormat="1" spans="1:10">
      <c r="A32" s="26" t="s">
        <v>135</v>
      </c>
      <c r="B32" s="27" t="s">
        <v>136</v>
      </c>
      <c r="C32" s="27" t="s">
        <v>12</v>
      </c>
      <c r="D32" s="27" t="s">
        <v>32</v>
      </c>
      <c r="E32" s="27" t="s">
        <v>57</v>
      </c>
      <c r="F32" s="27" t="s">
        <v>15</v>
      </c>
      <c r="G32" s="27" t="s">
        <v>94</v>
      </c>
      <c r="H32" s="28">
        <v>45768</v>
      </c>
      <c r="I32" s="27">
        <v>78647</v>
      </c>
      <c r="J32" s="29" t="s">
        <v>137</v>
      </c>
    </row>
    <row r="33" s="22" customFormat="1" spans="1:10">
      <c r="A33" s="30" t="s">
        <v>138</v>
      </c>
      <c r="B33" s="31" t="s">
        <v>139</v>
      </c>
      <c r="C33" s="31" t="s">
        <v>12</v>
      </c>
      <c r="D33" s="31" t="s">
        <v>38</v>
      </c>
      <c r="E33" s="31" t="s">
        <v>140</v>
      </c>
      <c r="F33" s="31" t="s">
        <v>48</v>
      </c>
      <c r="G33" s="31" t="s">
        <v>34</v>
      </c>
      <c r="H33" s="32">
        <v>45504</v>
      </c>
      <c r="I33" s="31">
        <v>233085</v>
      </c>
      <c r="J33" s="33" t="s">
        <v>141</v>
      </c>
    </row>
    <row r="34" s="22" customFormat="1" spans="1:10">
      <c r="A34" s="26" t="s">
        <v>142</v>
      </c>
      <c r="B34" s="27" t="s">
        <v>143</v>
      </c>
      <c r="C34" s="27" t="s">
        <v>19</v>
      </c>
      <c r="D34" s="27" t="s">
        <v>38</v>
      </c>
      <c r="E34" s="27" t="s">
        <v>66</v>
      </c>
      <c r="F34" s="27" t="s">
        <v>15</v>
      </c>
      <c r="G34" s="27" t="s">
        <v>28</v>
      </c>
      <c r="H34" s="28">
        <v>44640</v>
      </c>
      <c r="I34" s="27">
        <v>153390</v>
      </c>
      <c r="J34" s="29" t="s">
        <v>95</v>
      </c>
    </row>
    <row r="35" s="22" customFormat="1" spans="1:10">
      <c r="A35" s="30" t="s">
        <v>144</v>
      </c>
      <c r="B35" s="31" t="s">
        <v>145</v>
      </c>
      <c r="C35" s="31" t="s">
        <v>146</v>
      </c>
      <c r="D35" s="31" t="s">
        <v>20</v>
      </c>
      <c r="E35" s="31" t="s">
        <v>147</v>
      </c>
      <c r="F35" s="31" t="s">
        <v>15</v>
      </c>
      <c r="G35" s="31" t="s">
        <v>62</v>
      </c>
      <c r="H35" s="32">
        <v>43218</v>
      </c>
      <c r="I35" s="31">
        <v>105962</v>
      </c>
      <c r="J35" s="33" t="s">
        <v>148</v>
      </c>
    </row>
    <row r="36" s="22" customFormat="1" spans="1:10">
      <c r="A36" s="26" t="s">
        <v>149</v>
      </c>
      <c r="B36" s="27" t="s">
        <v>150</v>
      </c>
      <c r="C36" s="27" t="s">
        <v>19</v>
      </c>
      <c r="D36" s="27" t="s">
        <v>20</v>
      </c>
      <c r="E36" s="27" t="s">
        <v>147</v>
      </c>
      <c r="F36" s="27" t="s">
        <v>15</v>
      </c>
      <c r="G36" s="27" t="s">
        <v>40</v>
      </c>
      <c r="H36" s="28">
        <v>44771</v>
      </c>
      <c r="I36" s="27">
        <v>116624</v>
      </c>
      <c r="J36" s="29" t="s">
        <v>151</v>
      </c>
    </row>
    <row r="37" s="22" customFormat="1" spans="1:10">
      <c r="A37" s="30" t="s">
        <v>152</v>
      </c>
      <c r="B37" s="31" t="s">
        <v>153</v>
      </c>
      <c r="C37" s="31" t="s">
        <v>12</v>
      </c>
      <c r="D37" s="31" t="s">
        <v>52</v>
      </c>
      <c r="E37" s="31" t="s">
        <v>120</v>
      </c>
      <c r="F37" s="31" t="s">
        <v>15</v>
      </c>
      <c r="G37" s="31" t="s">
        <v>62</v>
      </c>
      <c r="H37" s="32">
        <v>43254</v>
      </c>
      <c r="I37" s="31">
        <v>77427</v>
      </c>
      <c r="J37" s="33"/>
    </row>
    <row r="38" s="22" customFormat="1" spans="1:10">
      <c r="A38" s="26" t="s">
        <v>154</v>
      </c>
      <c r="B38" s="27" t="s">
        <v>155</v>
      </c>
      <c r="C38" s="27" t="s">
        <v>12</v>
      </c>
      <c r="D38" s="27" t="s">
        <v>87</v>
      </c>
      <c r="E38" s="27" t="s">
        <v>156</v>
      </c>
      <c r="F38" s="27" t="s">
        <v>48</v>
      </c>
      <c r="G38" s="27" t="s">
        <v>40</v>
      </c>
      <c r="H38" s="28">
        <v>45700</v>
      </c>
      <c r="I38" s="27">
        <v>317015</v>
      </c>
      <c r="J38" s="29" t="s">
        <v>63</v>
      </c>
    </row>
    <row r="39" s="22" customFormat="1" spans="1:10">
      <c r="A39" s="30" t="s">
        <v>157</v>
      </c>
      <c r="B39" s="31" t="s">
        <v>158</v>
      </c>
      <c r="C39" s="31" t="s">
        <v>12</v>
      </c>
      <c r="D39" s="31" t="s">
        <v>38</v>
      </c>
      <c r="E39" s="31" t="s">
        <v>44</v>
      </c>
      <c r="F39" s="31" t="s">
        <v>15</v>
      </c>
      <c r="G39" s="31" t="s">
        <v>94</v>
      </c>
      <c r="H39" s="32">
        <v>43324</v>
      </c>
      <c r="I39" s="31">
        <v>206071</v>
      </c>
      <c r="J39" s="33" t="s">
        <v>159</v>
      </c>
    </row>
    <row r="40" s="22" customFormat="1" spans="1:10">
      <c r="A40" s="26" t="s">
        <v>160</v>
      </c>
      <c r="B40" s="27" t="s">
        <v>161</v>
      </c>
      <c r="C40" s="27" t="s">
        <v>12</v>
      </c>
      <c r="D40" s="27" t="s">
        <v>26</v>
      </c>
      <c r="E40" s="27" t="s">
        <v>162</v>
      </c>
      <c r="F40" s="27" t="s">
        <v>48</v>
      </c>
      <c r="G40" s="27" t="s">
        <v>94</v>
      </c>
      <c r="H40" s="28">
        <v>43715</v>
      </c>
      <c r="I40" s="27">
        <v>132584</v>
      </c>
      <c r="J40" s="29"/>
    </row>
    <row r="41" s="22" customFormat="1" spans="1:10">
      <c r="A41" s="30" t="s">
        <v>163</v>
      </c>
      <c r="B41" s="31" t="s">
        <v>164</v>
      </c>
      <c r="C41" s="31" t="s">
        <v>12</v>
      </c>
      <c r="D41" s="31" t="s">
        <v>13</v>
      </c>
      <c r="E41" s="31" t="s">
        <v>165</v>
      </c>
      <c r="F41" s="31" t="s">
        <v>15</v>
      </c>
      <c r="G41" s="31" t="s">
        <v>94</v>
      </c>
      <c r="H41" s="32">
        <v>45541</v>
      </c>
      <c r="I41" s="31">
        <v>74566</v>
      </c>
      <c r="J41" s="33" t="s">
        <v>166</v>
      </c>
    </row>
    <row r="42" s="22" customFormat="1" spans="1:10">
      <c r="A42" s="26" t="s">
        <v>167</v>
      </c>
      <c r="B42" s="27" t="s">
        <v>168</v>
      </c>
      <c r="C42" s="27" t="s">
        <v>12</v>
      </c>
      <c r="D42" s="27" t="s">
        <v>38</v>
      </c>
      <c r="E42" s="27" t="s">
        <v>140</v>
      </c>
      <c r="F42" s="27" t="s">
        <v>15</v>
      </c>
      <c r="G42" s="27" t="s">
        <v>16</v>
      </c>
      <c r="H42" s="28">
        <v>42974</v>
      </c>
      <c r="I42" s="27">
        <v>164307</v>
      </c>
      <c r="J42" s="29" t="s">
        <v>169</v>
      </c>
    </row>
    <row r="43" s="22" customFormat="1" spans="1:10">
      <c r="A43" s="30" t="s">
        <v>170</v>
      </c>
      <c r="B43" s="31" t="s">
        <v>171</v>
      </c>
      <c r="C43" s="31" t="s">
        <v>19</v>
      </c>
      <c r="D43" s="31" t="s">
        <v>92</v>
      </c>
      <c r="E43" s="31" t="s">
        <v>126</v>
      </c>
      <c r="F43" s="31" t="s">
        <v>15</v>
      </c>
      <c r="G43" s="31" t="s">
        <v>16</v>
      </c>
      <c r="H43" s="32">
        <v>45600</v>
      </c>
      <c r="I43" s="31">
        <v>143885</v>
      </c>
      <c r="J43" s="33" t="s">
        <v>172</v>
      </c>
    </row>
    <row r="44" s="22" customFormat="1" spans="1:10">
      <c r="A44" s="26" t="s">
        <v>173</v>
      </c>
      <c r="B44" s="27" t="s">
        <v>174</v>
      </c>
      <c r="C44" s="27" t="s">
        <v>19</v>
      </c>
      <c r="D44" s="27" t="s">
        <v>38</v>
      </c>
      <c r="E44" s="27" t="s">
        <v>66</v>
      </c>
      <c r="F44" s="27" t="s">
        <v>15</v>
      </c>
      <c r="G44" s="27" t="s">
        <v>28</v>
      </c>
      <c r="H44" s="28">
        <v>44811</v>
      </c>
      <c r="I44" s="27">
        <v>151772</v>
      </c>
      <c r="J44" s="29" t="s">
        <v>175</v>
      </c>
    </row>
    <row r="45" s="22" customFormat="1" spans="1:10">
      <c r="A45" s="30" t="s">
        <v>176</v>
      </c>
      <c r="B45" s="31" t="s">
        <v>177</v>
      </c>
      <c r="C45" s="31" t="s">
        <v>19</v>
      </c>
      <c r="D45" s="31" t="s">
        <v>20</v>
      </c>
      <c r="E45" s="31" t="s">
        <v>21</v>
      </c>
      <c r="F45" s="31" t="s">
        <v>15</v>
      </c>
      <c r="G45" s="31" t="s">
        <v>94</v>
      </c>
      <c r="H45" s="32">
        <v>42381</v>
      </c>
      <c r="I45" s="31">
        <v>72635</v>
      </c>
      <c r="J45" s="33" t="s">
        <v>178</v>
      </c>
    </row>
    <row r="46" s="22" customFormat="1" spans="1:10">
      <c r="A46" s="26" t="s">
        <v>179</v>
      </c>
      <c r="B46" s="27" t="s">
        <v>180</v>
      </c>
      <c r="C46" s="27" t="s">
        <v>19</v>
      </c>
      <c r="D46" s="27" t="s">
        <v>87</v>
      </c>
      <c r="E46" s="27" t="s">
        <v>111</v>
      </c>
      <c r="F46" s="27" t="s">
        <v>15</v>
      </c>
      <c r="G46" s="27" t="s">
        <v>62</v>
      </c>
      <c r="H46" s="28">
        <v>43505</v>
      </c>
      <c r="I46" s="27">
        <v>228086</v>
      </c>
      <c r="J46" s="29" t="s">
        <v>115</v>
      </c>
    </row>
    <row r="47" s="22" customFormat="1" spans="1:10">
      <c r="A47" s="30" t="s">
        <v>181</v>
      </c>
      <c r="B47" s="31" t="s">
        <v>182</v>
      </c>
      <c r="C47" s="31" t="s">
        <v>19</v>
      </c>
      <c r="D47" s="31" t="s">
        <v>32</v>
      </c>
      <c r="E47" s="31" t="s">
        <v>33</v>
      </c>
      <c r="F47" s="31" t="s">
        <v>15</v>
      </c>
      <c r="G47" s="31" t="s">
        <v>94</v>
      </c>
      <c r="H47" s="32">
        <v>45886</v>
      </c>
      <c r="I47" s="31">
        <v>117000</v>
      </c>
      <c r="J47" s="33" t="s">
        <v>183</v>
      </c>
    </row>
    <row r="48" s="22" customFormat="1" spans="1:10">
      <c r="A48" s="26" t="s">
        <v>184</v>
      </c>
      <c r="B48" s="27" t="s">
        <v>185</v>
      </c>
      <c r="C48" s="27" t="s">
        <v>19</v>
      </c>
      <c r="D48" s="27" t="s">
        <v>87</v>
      </c>
      <c r="E48" s="27" t="s">
        <v>88</v>
      </c>
      <c r="F48" s="27" t="s">
        <v>15</v>
      </c>
      <c r="G48" s="27" t="s">
        <v>94</v>
      </c>
      <c r="H48" s="28">
        <v>42962</v>
      </c>
      <c r="I48" s="27">
        <v>104908</v>
      </c>
      <c r="J48" s="29" t="s">
        <v>186</v>
      </c>
    </row>
    <row r="49" s="22" customFormat="1" spans="1:10">
      <c r="A49" s="30" t="s">
        <v>187</v>
      </c>
      <c r="B49" s="31" t="s">
        <v>188</v>
      </c>
      <c r="C49" s="31" t="s">
        <v>19</v>
      </c>
      <c r="D49" s="31" t="s">
        <v>92</v>
      </c>
      <c r="E49" s="31" t="s">
        <v>189</v>
      </c>
      <c r="F49" s="31" t="s">
        <v>15</v>
      </c>
      <c r="G49" s="31" t="s">
        <v>16</v>
      </c>
      <c r="H49" s="32">
        <v>42902</v>
      </c>
      <c r="I49" s="31">
        <v>134577</v>
      </c>
      <c r="J49" s="33" t="s">
        <v>190</v>
      </c>
    </row>
    <row r="50" s="22" customFormat="1" spans="1:10">
      <c r="A50" s="26" t="s">
        <v>191</v>
      </c>
      <c r="B50" s="27" t="s">
        <v>192</v>
      </c>
      <c r="C50" s="27" t="s">
        <v>12</v>
      </c>
      <c r="D50" s="27" t="s">
        <v>92</v>
      </c>
      <c r="E50" s="27" t="s">
        <v>193</v>
      </c>
      <c r="F50" s="27" t="s">
        <v>15</v>
      </c>
      <c r="G50" s="27" t="s">
        <v>62</v>
      </c>
      <c r="H50" s="28">
        <v>44582</v>
      </c>
      <c r="I50" s="27">
        <v>211918</v>
      </c>
      <c r="J50" s="29" t="s">
        <v>89</v>
      </c>
    </row>
    <row r="51" s="22" customFormat="1" spans="1:10">
      <c r="A51" s="30" t="s">
        <v>194</v>
      </c>
      <c r="B51" s="31" t="s">
        <v>195</v>
      </c>
      <c r="C51" s="31" t="s">
        <v>19</v>
      </c>
      <c r="D51" s="31" t="s">
        <v>38</v>
      </c>
      <c r="E51" s="31" t="s">
        <v>77</v>
      </c>
      <c r="F51" s="31" t="s">
        <v>15</v>
      </c>
      <c r="G51" s="31" t="s">
        <v>40</v>
      </c>
      <c r="H51" s="32">
        <v>43396</v>
      </c>
      <c r="I51" s="31">
        <v>173897</v>
      </c>
      <c r="J51" s="33" t="s">
        <v>196</v>
      </c>
    </row>
    <row r="52" s="22" customFormat="1" spans="1:10">
      <c r="A52" s="26" t="s">
        <v>197</v>
      </c>
      <c r="B52" s="27" t="s">
        <v>198</v>
      </c>
      <c r="C52" s="27" t="s">
        <v>19</v>
      </c>
      <c r="D52" s="27" t="s">
        <v>20</v>
      </c>
      <c r="E52" s="27" t="s">
        <v>70</v>
      </c>
      <c r="F52" s="27" t="s">
        <v>48</v>
      </c>
      <c r="G52" s="27" t="s">
        <v>28</v>
      </c>
      <c r="H52" s="28">
        <v>45640</v>
      </c>
      <c r="I52" s="27">
        <v>121481</v>
      </c>
      <c r="J52" s="29" t="s">
        <v>166</v>
      </c>
    </row>
    <row r="53" s="22" customFormat="1" spans="1:10">
      <c r="A53" s="30" t="s">
        <v>199</v>
      </c>
      <c r="B53" s="31" t="s">
        <v>200</v>
      </c>
      <c r="C53" s="31" t="s">
        <v>19</v>
      </c>
      <c r="D53" s="31" t="s">
        <v>52</v>
      </c>
      <c r="E53" s="31" t="s">
        <v>120</v>
      </c>
      <c r="F53" s="31" t="s">
        <v>15</v>
      </c>
      <c r="G53" s="31" t="s">
        <v>28</v>
      </c>
      <c r="H53" s="32">
        <v>43084</v>
      </c>
      <c r="I53" s="31">
        <v>158063</v>
      </c>
      <c r="J53" s="33" t="s">
        <v>201</v>
      </c>
    </row>
    <row r="54" s="22" customFormat="1" spans="1:10">
      <c r="A54" s="26" t="s">
        <v>202</v>
      </c>
      <c r="B54" s="27" t="s">
        <v>203</v>
      </c>
      <c r="C54" s="27" t="s">
        <v>19</v>
      </c>
      <c r="D54" s="27" t="s">
        <v>20</v>
      </c>
      <c r="E54" s="27" t="s">
        <v>70</v>
      </c>
      <c r="F54" s="27" t="s">
        <v>15</v>
      </c>
      <c r="G54" s="27" t="s">
        <v>34</v>
      </c>
      <c r="H54" s="28">
        <v>42820</v>
      </c>
      <c r="I54" s="27">
        <v>173570</v>
      </c>
      <c r="J54" s="29" t="s">
        <v>159</v>
      </c>
    </row>
    <row r="55" s="22" customFormat="1" spans="1:10">
      <c r="A55" s="30" t="s">
        <v>204</v>
      </c>
      <c r="B55" s="31" t="s">
        <v>205</v>
      </c>
      <c r="C55" s="31" t="s">
        <v>12</v>
      </c>
      <c r="D55" s="31" t="s">
        <v>52</v>
      </c>
      <c r="E55" s="31" t="s">
        <v>53</v>
      </c>
      <c r="F55" s="31" t="s">
        <v>15</v>
      </c>
      <c r="G55" s="31" t="s">
        <v>40</v>
      </c>
      <c r="H55" s="32">
        <v>45077</v>
      </c>
      <c r="I55" s="31">
        <v>147590</v>
      </c>
      <c r="J55" s="33"/>
    </row>
    <row r="56" s="22" customFormat="1" spans="1:10">
      <c r="A56" s="26" t="s">
        <v>206</v>
      </c>
      <c r="B56" s="27" t="s">
        <v>207</v>
      </c>
      <c r="C56" s="27" t="s">
        <v>12</v>
      </c>
      <c r="D56" s="27" t="s">
        <v>32</v>
      </c>
      <c r="E56" s="27" t="s">
        <v>208</v>
      </c>
      <c r="F56" s="27" t="s">
        <v>15</v>
      </c>
      <c r="G56" s="27" t="s">
        <v>34</v>
      </c>
      <c r="H56" s="28">
        <v>42475</v>
      </c>
      <c r="I56" s="27">
        <v>138544</v>
      </c>
      <c r="J56" s="29" t="s">
        <v>209</v>
      </c>
    </row>
    <row r="57" s="22" customFormat="1" spans="1:10">
      <c r="A57" s="30" t="s">
        <v>210</v>
      </c>
      <c r="B57" s="31" t="s">
        <v>211</v>
      </c>
      <c r="C57" s="31" t="s">
        <v>12</v>
      </c>
      <c r="D57" s="31" t="s">
        <v>20</v>
      </c>
      <c r="E57" s="31" t="s">
        <v>147</v>
      </c>
      <c r="F57" s="31" t="s">
        <v>15</v>
      </c>
      <c r="G57" s="31" t="s">
        <v>94</v>
      </c>
      <c r="H57" s="32">
        <v>42909</v>
      </c>
      <c r="I57" s="31">
        <v>89940</v>
      </c>
      <c r="J57" s="33" t="s">
        <v>212</v>
      </c>
    </row>
    <row r="58" s="22" customFormat="1" spans="1:10">
      <c r="A58" s="26" t="s">
        <v>213</v>
      </c>
      <c r="B58" s="27" t="s">
        <v>214</v>
      </c>
      <c r="C58" s="27" t="s">
        <v>19</v>
      </c>
      <c r="D58" s="27" t="s">
        <v>38</v>
      </c>
      <c r="E58" s="27" t="s">
        <v>44</v>
      </c>
      <c r="F58" s="27" t="s">
        <v>15</v>
      </c>
      <c r="G58" s="27" t="s">
        <v>94</v>
      </c>
      <c r="H58" s="28">
        <v>42430</v>
      </c>
      <c r="I58" s="27">
        <v>209299</v>
      </c>
      <c r="J58" s="29" t="s">
        <v>215</v>
      </c>
    </row>
    <row r="59" s="22" customFormat="1" spans="1:10">
      <c r="A59" s="30" t="s">
        <v>216</v>
      </c>
      <c r="B59" s="31" t="s">
        <v>217</v>
      </c>
      <c r="C59" s="31" t="s">
        <v>12</v>
      </c>
      <c r="D59" s="31" t="s">
        <v>38</v>
      </c>
      <c r="E59" s="31" t="s">
        <v>66</v>
      </c>
      <c r="F59" s="31" t="s">
        <v>15</v>
      </c>
      <c r="G59" s="31" t="s">
        <v>28</v>
      </c>
      <c r="H59" s="32">
        <v>43837</v>
      </c>
      <c r="I59" s="31">
        <v>96715</v>
      </c>
      <c r="J59" s="33"/>
    </row>
    <row r="60" s="22" customFormat="1" spans="1:10">
      <c r="A60" s="26" t="s">
        <v>218</v>
      </c>
      <c r="B60" s="27" t="s">
        <v>219</v>
      </c>
      <c r="C60" s="27" t="s">
        <v>19</v>
      </c>
      <c r="D60" s="27" t="s">
        <v>38</v>
      </c>
      <c r="E60" s="27" t="s">
        <v>140</v>
      </c>
      <c r="F60" s="27" t="s">
        <v>15</v>
      </c>
      <c r="G60" s="27" t="s">
        <v>28</v>
      </c>
      <c r="H60" s="28">
        <v>45605</v>
      </c>
      <c r="I60" s="27">
        <v>165688</v>
      </c>
      <c r="J60" s="29" t="s">
        <v>220</v>
      </c>
    </row>
    <row r="61" s="22" customFormat="1" spans="1:10">
      <c r="A61" s="30" t="s">
        <v>221</v>
      </c>
      <c r="B61" s="31" t="s">
        <v>222</v>
      </c>
      <c r="C61" s="31" t="s">
        <v>19</v>
      </c>
      <c r="D61" s="31" t="s">
        <v>13</v>
      </c>
      <c r="E61" s="31" t="s">
        <v>223</v>
      </c>
      <c r="F61" s="31" t="s">
        <v>15</v>
      </c>
      <c r="G61" s="31" t="s">
        <v>28</v>
      </c>
      <c r="H61" s="32">
        <v>45599</v>
      </c>
      <c r="I61" s="31">
        <v>95553</v>
      </c>
      <c r="J61" s="33" t="s">
        <v>224</v>
      </c>
    </row>
    <row r="62" s="22" customFormat="1" spans="1:10">
      <c r="A62" s="26" t="s">
        <v>225</v>
      </c>
      <c r="B62" s="27" t="s">
        <v>150</v>
      </c>
      <c r="C62" s="27" t="s">
        <v>146</v>
      </c>
      <c r="D62" s="27" t="s">
        <v>13</v>
      </c>
      <c r="E62" s="27" t="s">
        <v>98</v>
      </c>
      <c r="F62" s="27" t="s">
        <v>15</v>
      </c>
      <c r="G62" s="27" t="s">
        <v>40</v>
      </c>
      <c r="H62" s="28">
        <v>43344</v>
      </c>
      <c r="I62" s="27">
        <v>225796</v>
      </c>
      <c r="J62" s="29" t="s">
        <v>226</v>
      </c>
    </row>
    <row r="63" s="22" customFormat="1" spans="1:10">
      <c r="A63" s="30" t="s">
        <v>227</v>
      </c>
      <c r="B63" s="31" t="s">
        <v>228</v>
      </c>
      <c r="C63" s="31" t="s">
        <v>12</v>
      </c>
      <c r="D63" s="31" t="s">
        <v>87</v>
      </c>
      <c r="E63" s="31" t="s">
        <v>111</v>
      </c>
      <c r="F63" s="31" t="s">
        <v>15</v>
      </c>
      <c r="G63" s="31" t="s">
        <v>28</v>
      </c>
      <c r="H63" s="32">
        <v>44781</v>
      </c>
      <c r="I63" s="31">
        <v>164207</v>
      </c>
      <c r="J63" s="33" t="s">
        <v>229</v>
      </c>
    </row>
    <row r="64" s="22" customFormat="1" spans="1:10">
      <c r="A64" s="26" t="s">
        <v>230</v>
      </c>
      <c r="B64" s="27" t="s">
        <v>231</v>
      </c>
      <c r="C64" s="27" t="s">
        <v>12</v>
      </c>
      <c r="D64" s="27" t="s">
        <v>52</v>
      </c>
      <c r="E64" s="27" t="s">
        <v>53</v>
      </c>
      <c r="F64" s="27" t="s">
        <v>15</v>
      </c>
      <c r="G64" s="27" t="s">
        <v>94</v>
      </c>
      <c r="H64" s="28">
        <v>43696</v>
      </c>
      <c r="I64" s="27">
        <v>157208</v>
      </c>
      <c r="J64" s="29" t="s">
        <v>117</v>
      </c>
    </row>
    <row r="65" s="22" customFormat="1" spans="1:10">
      <c r="A65" s="30" t="s">
        <v>232</v>
      </c>
      <c r="B65" s="31" t="s">
        <v>233</v>
      </c>
      <c r="C65" s="31" t="s">
        <v>12</v>
      </c>
      <c r="D65" s="31" t="s">
        <v>13</v>
      </c>
      <c r="E65" s="31" t="s">
        <v>165</v>
      </c>
      <c r="F65" s="31" t="s">
        <v>15</v>
      </c>
      <c r="G65" s="31" t="s">
        <v>34</v>
      </c>
      <c r="H65" s="32">
        <v>42434</v>
      </c>
      <c r="I65" s="31">
        <v>205545</v>
      </c>
      <c r="J65" s="33" t="s">
        <v>234</v>
      </c>
    </row>
    <row r="66" s="22" customFormat="1" spans="1:10">
      <c r="A66" s="26" t="s">
        <v>235</v>
      </c>
      <c r="B66" s="27" t="s">
        <v>236</v>
      </c>
      <c r="C66" s="27" t="s">
        <v>12</v>
      </c>
      <c r="D66" s="27" t="s">
        <v>87</v>
      </c>
      <c r="E66" s="27" t="s">
        <v>156</v>
      </c>
      <c r="F66" s="27" t="s">
        <v>48</v>
      </c>
      <c r="G66" s="27" t="s">
        <v>16</v>
      </c>
      <c r="H66" s="28">
        <v>43083</v>
      </c>
      <c r="I66" s="27">
        <v>331486</v>
      </c>
      <c r="J66" s="29" t="s">
        <v>237</v>
      </c>
    </row>
    <row r="67" s="22" customFormat="1" spans="1:10">
      <c r="A67" s="30" t="s">
        <v>238</v>
      </c>
      <c r="B67" s="31" t="s">
        <v>239</v>
      </c>
      <c r="C67" s="31" t="s">
        <v>12</v>
      </c>
      <c r="D67" s="31" t="s">
        <v>92</v>
      </c>
      <c r="E67" s="31" t="s">
        <v>126</v>
      </c>
      <c r="F67" s="31" t="s">
        <v>22</v>
      </c>
      <c r="G67" s="31" t="s">
        <v>16</v>
      </c>
      <c r="H67" s="32">
        <v>43456</v>
      </c>
      <c r="I67" s="31">
        <v>134863</v>
      </c>
      <c r="J67" s="33" t="s">
        <v>240</v>
      </c>
    </row>
    <row r="68" s="22" customFormat="1" spans="1:10">
      <c r="A68" s="26" t="s">
        <v>241</v>
      </c>
      <c r="B68" s="27" t="s">
        <v>242</v>
      </c>
      <c r="C68" s="27" t="s">
        <v>19</v>
      </c>
      <c r="D68" s="27" t="s">
        <v>38</v>
      </c>
      <c r="E68" s="27" t="s">
        <v>66</v>
      </c>
      <c r="F68" s="27" t="s">
        <v>15</v>
      </c>
      <c r="G68" s="27" t="s">
        <v>28</v>
      </c>
      <c r="H68" s="28">
        <v>42584</v>
      </c>
      <c r="I68" s="27">
        <v>96418</v>
      </c>
      <c r="J68" s="29" t="s">
        <v>243</v>
      </c>
    </row>
    <row r="69" s="22" customFormat="1" spans="1:10">
      <c r="A69" s="30" t="s">
        <v>244</v>
      </c>
      <c r="B69" s="31" t="s">
        <v>245</v>
      </c>
      <c r="C69" s="31" t="s">
        <v>19</v>
      </c>
      <c r="D69" s="31" t="s">
        <v>52</v>
      </c>
      <c r="E69" s="31" t="s">
        <v>246</v>
      </c>
      <c r="F69" s="31" t="s">
        <v>15</v>
      </c>
      <c r="G69" s="31" t="s">
        <v>16</v>
      </c>
      <c r="H69" s="32">
        <v>42889</v>
      </c>
      <c r="I69" s="31">
        <v>117217</v>
      </c>
      <c r="J69" s="33" t="s">
        <v>121</v>
      </c>
    </row>
    <row r="70" s="22" customFormat="1" spans="1:10">
      <c r="A70" s="26" t="s">
        <v>247</v>
      </c>
      <c r="B70" s="27" t="s">
        <v>188</v>
      </c>
      <c r="C70" s="27" t="s">
        <v>19</v>
      </c>
      <c r="D70" s="27" t="s">
        <v>38</v>
      </c>
      <c r="E70" s="27" t="s">
        <v>66</v>
      </c>
      <c r="F70" s="27" t="s">
        <v>15</v>
      </c>
      <c r="G70" s="27" t="s">
        <v>40</v>
      </c>
      <c r="H70" s="28">
        <v>45408</v>
      </c>
      <c r="I70" s="27">
        <v>119297</v>
      </c>
      <c r="J70" s="29" t="s">
        <v>235</v>
      </c>
    </row>
    <row r="71" s="22" customFormat="1" spans="1:10">
      <c r="A71" s="30" t="s">
        <v>248</v>
      </c>
      <c r="B71" s="31" t="s">
        <v>249</v>
      </c>
      <c r="C71" s="31" t="s">
        <v>19</v>
      </c>
      <c r="D71" s="31" t="s">
        <v>20</v>
      </c>
      <c r="E71" s="31" t="s">
        <v>147</v>
      </c>
      <c r="F71" s="31" t="s">
        <v>15</v>
      </c>
      <c r="G71" s="31" t="s">
        <v>40</v>
      </c>
      <c r="H71" s="32">
        <v>44094</v>
      </c>
      <c r="I71" s="31">
        <v>96180</v>
      </c>
      <c r="J71" s="33" t="s">
        <v>250</v>
      </c>
    </row>
    <row r="72" s="22" customFormat="1" spans="1:10">
      <c r="A72" s="26" t="s">
        <v>251</v>
      </c>
      <c r="B72" s="27" t="s">
        <v>252</v>
      </c>
      <c r="C72" s="27" t="s">
        <v>19</v>
      </c>
      <c r="D72" s="27" t="s">
        <v>52</v>
      </c>
      <c r="E72" s="27" t="s">
        <v>246</v>
      </c>
      <c r="F72" s="27" t="s">
        <v>15</v>
      </c>
      <c r="G72" s="27" t="s">
        <v>62</v>
      </c>
      <c r="H72" s="28">
        <v>44524</v>
      </c>
      <c r="I72" s="27">
        <v>69424</v>
      </c>
      <c r="J72" s="29" t="s">
        <v>253</v>
      </c>
    </row>
    <row r="73" s="22" customFormat="1" spans="1:10">
      <c r="A73" s="30" t="s">
        <v>254</v>
      </c>
      <c r="B73" s="31" t="s">
        <v>255</v>
      </c>
      <c r="C73" s="31" t="s">
        <v>12</v>
      </c>
      <c r="D73" s="31" t="s">
        <v>38</v>
      </c>
      <c r="E73" s="31" t="s">
        <v>66</v>
      </c>
      <c r="F73" s="31" t="s">
        <v>15</v>
      </c>
      <c r="G73" s="31" t="s">
        <v>40</v>
      </c>
      <c r="H73" s="32">
        <v>42835</v>
      </c>
      <c r="I73" s="31">
        <v>125767</v>
      </c>
      <c r="J73" s="33" t="s">
        <v>256</v>
      </c>
    </row>
    <row r="74" s="22" customFormat="1" spans="1:10">
      <c r="A74" s="26" t="s">
        <v>257</v>
      </c>
      <c r="B74" s="27" t="s">
        <v>258</v>
      </c>
      <c r="C74" s="27" t="s">
        <v>12</v>
      </c>
      <c r="D74" s="27" t="s">
        <v>38</v>
      </c>
      <c r="E74" s="27" t="s">
        <v>77</v>
      </c>
      <c r="F74" s="27" t="s">
        <v>15</v>
      </c>
      <c r="G74" s="27" t="s">
        <v>40</v>
      </c>
      <c r="H74" s="28">
        <v>45424</v>
      </c>
      <c r="I74" s="27">
        <v>171120</v>
      </c>
      <c r="J74" s="29" t="s">
        <v>259</v>
      </c>
    </row>
    <row r="75" s="22" customFormat="1" spans="1:10">
      <c r="A75" s="30" t="s">
        <v>260</v>
      </c>
      <c r="B75" s="31" t="s">
        <v>261</v>
      </c>
      <c r="C75" s="31" t="s">
        <v>19</v>
      </c>
      <c r="D75" s="31" t="s">
        <v>52</v>
      </c>
      <c r="E75" s="31" t="s">
        <v>246</v>
      </c>
      <c r="F75" s="31" t="s">
        <v>15</v>
      </c>
      <c r="G75" s="31" t="s">
        <v>16</v>
      </c>
      <c r="H75" s="32">
        <v>42630</v>
      </c>
      <c r="I75" s="31">
        <v>73342</v>
      </c>
      <c r="J75" s="33" t="s">
        <v>134</v>
      </c>
    </row>
    <row r="76" s="22" customFormat="1" spans="1:10">
      <c r="A76" s="26" t="s">
        <v>262</v>
      </c>
      <c r="B76" s="27" t="s">
        <v>263</v>
      </c>
      <c r="C76" s="27" t="s">
        <v>12</v>
      </c>
      <c r="D76" s="27" t="s">
        <v>26</v>
      </c>
      <c r="E76" s="27" t="s">
        <v>27</v>
      </c>
      <c r="F76" s="27" t="s">
        <v>15</v>
      </c>
      <c r="G76" s="27" t="s">
        <v>94</v>
      </c>
      <c r="H76" s="28">
        <v>44320</v>
      </c>
      <c r="I76" s="27">
        <v>126028</v>
      </c>
      <c r="J76" s="29" t="s">
        <v>50</v>
      </c>
    </row>
    <row r="77" s="22" customFormat="1" spans="1:10">
      <c r="A77" s="30" t="s">
        <v>264</v>
      </c>
      <c r="B77" s="31" t="s">
        <v>265</v>
      </c>
      <c r="C77" s="31" t="s">
        <v>19</v>
      </c>
      <c r="D77" s="31" t="s">
        <v>26</v>
      </c>
      <c r="E77" s="31" t="s">
        <v>61</v>
      </c>
      <c r="F77" s="31" t="s">
        <v>15</v>
      </c>
      <c r="G77" s="31" t="s">
        <v>94</v>
      </c>
      <c r="H77" s="32">
        <v>44206</v>
      </c>
      <c r="I77" s="31">
        <v>84403</v>
      </c>
      <c r="J77" s="33" t="s">
        <v>127</v>
      </c>
    </row>
    <row r="78" s="22" customFormat="1" spans="1:10">
      <c r="A78" s="26" t="s">
        <v>266</v>
      </c>
      <c r="B78" s="27" t="s">
        <v>267</v>
      </c>
      <c r="C78" s="27" t="s">
        <v>12</v>
      </c>
      <c r="D78" s="27" t="s">
        <v>52</v>
      </c>
      <c r="E78" s="27" t="s">
        <v>120</v>
      </c>
      <c r="F78" s="27" t="s">
        <v>15</v>
      </c>
      <c r="G78" s="27" t="s">
        <v>94</v>
      </c>
      <c r="H78" s="28">
        <v>45556</v>
      </c>
      <c r="I78" s="27">
        <v>58098</v>
      </c>
      <c r="J78" s="29" t="s">
        <v>179</v>
      </c>
    </row>
    <row r="79" s="22" customFormat="1" spans="1:10">
      <c r="A79" s="30" t="s">
        <v>268</v>
      </c>
      <c r="B79" s="31" t="s">
        <v>269</v>
      </c>
      <c r="C79" s="31" t="s">
        <v>19</v>
      </c>
      <c r="D79" s="31" t="s">
        <v>38</v>
      </c>
      <c r="E79" s="31" t="s">
        <v>44</v>
      </c>
      <c r="F79" s="31" t="s">
        <v>15</v>
      </c>
      <c r="G79" s="31" t="s">
        <v>34</v>
      </c>
      <c r="H79" s="32">
        <v>43852</v>
      </c>
      <c r="I79" s="31">
        <v>173927</v>
      </c>
      <c r="J79" s="33" t="s">
        <v>58</v>
      </c>
    </row>
    <row r="80" s="22" customFormat="1" spans="1:10">
      <c r="A80" s="26" t="s">
        <v>270</v>
      </c>
      <c r="B80" s="27" t="s">
        <v>271</v>
      </c>
      <c r="C80" s="27" t="s">
        <v>19</v>
      </c>
      <c r="D80" s="27" t="s">
        <v>13</v>
      </c>
      <c r="E80" s="27" t="s">
        <v>14</v>
      </c>
      <c r="F80" s="27" t="s">
        <v>48</v>
      </c>
      <c r="G80" s="27" t="s">
        <v>16</v>
      </c>
      <c r="H80" s="28">
        <v>44472</v>
      </c>
      <c r="I80" s="27">
        <v>149187</v>
      </c>
      <c r="J80" s="29" t="s">
        <v>240</v>
      </c>
    </row>
    <row r="81" s="22" customFormat="1" spans="1:10">
      <c r="A81" s="30" t="s">
        <v>272</v>
      </c>
      <c r="B81" s="31" t="s">
        <v>273</v>
      </c>
      <c r="C81" s="31" t="s">
        <v>19</v>
      </c>
      <c r="D81" s="31" t="s">
        <v>38</v>
      </c>
      <c r="E81" s="31" t="s">
        <v>84</v>
      </c>
      <c r="F81" s="31" t="s">
        <v>15</v>
      </c>
      <c r="G81" s="31" t="s">
        <v>40</v>
      </c>
      <c r="H81" s="32">
        <v>44801</v>
      </c>
      <c r="I81" s="31">
        <v>278581</v>
      </c>
      <c r="J81" s="33" t="s">
        <v>274</v>
      </c>
    </row>
    <row r="82" s="22" customFormat="1" spans="1:10">
      <c r="A82" s="26" t="s">
        <v>275</v>
      </c>
      <c r="B82" s="27" t="s">
        <v>276</v>
      </c>
      <c r="C82" s="27" t="s">
        <v>12</v>
      </c>
      <c r="D82" s="27" t="s">
        <v>52</v>
      </c>
      <c r="E82" s="27" t="s">
        <v>53</v>
      </c>
      <c r="F82" s="27" t="s">
        <v>15</v>
      </c>
      <c r="G82" s="27" t="s">
        <v>94</v>
      </c>
      <c r="H82" s="28">
        <v>42816</v>
      </c>
      <c r="I82" s="27">
        <v>75559</v>
      </c>
      <c r="J82" s="29" t="s">
        <v>277</v>
      </c>
    </row>
    <row r="83" s="22" customFormat="1" spans="1:10">
      <c r="A83" s="30" t="s">
        <v>278</v>
      </c>
      <c r="B83" s="31" t="s">
        <v>279</v>
      </c>
      <c r="C83" s="31" t="s">
        <v>19</v>
      </c>
      <c r="D83" s="31" t="s">
        <v>32</v>
      </c>
      <c r="E83" s="31" t="s">
        <v>57</v>
      </c>
      <c r="F83" s="31" t="s">
        <v>15</v>
      </c>
      <c r="G83" s="31" t="s">
        <v>94</v>
      </c>
      <c r="H83" s="32">
        <v>44221</v>
      </c>
      <c r="I83" s="31">
        <v>84502</v>
      </c>
      <c r="J83" s="33" t="s">
        <v>280</v>
      </c>
    </row>
    <row r="84" s="22" customFormat="1" spans="1:10">
      <c r="A84" s="26" t="s">
        <v>281</v>
      </c>
      <c r="B84" s="27" t="s">
        <v>282</v>
      </c>
      <c r="C84" s="27" t="s">
        <v>12</v>
      </c>
      <c r="D84" s="27" t="s">
        <v>13</v>
      </c>
      <c r="E84" s="27" t="s">
        <v>165</v>
      </c>
      <c r="F84" s="27" t="s">
        <v>15</v>
      </c>
      <c r="G84" s="27" t="s">
        <v>62</v>
      </c>
      <c r="H84" s="28">
        <v>44433</v>
      </c>
      <c r="I84" s="27">
        <v>152331</v>
      </c>
      <c r="J84" s="29" t="s">
        <v>230</v>
      </c>
    </row>
    <row r="85" s="22" customFormat="1" spans="1:10">
      <c r="A85" s="30" t="s">
        <v>283</v>
      </c>
      <c r="B85" s="31" t="s">
        <v>284</v>
      </c>
      <c r="C85" s="31" t="s">
        <v>12</v>
      </c>
      <c r="D85" s="31" t="s">
        <v>38</v>
      </c>
      <c r="E85" s="31" t="s">
        <v>39</v>
      </c>
      <c r="F85" s="31" t="s">
        <v>15</v>
      </c>
      <c r="G85" s="31" t="s">
        <v>62</v>
      </c>
      <c r="H85" s="32">
        <v>43277</v>
      </c>
      <c r="I85" s="31">
        <v>195944</v>
      </c>
      <c r="J85" s="33" t="s">
        <v>285</v>
      </c>
    </row>
    <row r="86" s="22" customFormat="1" spans="1:10">
      <c r="A86" s="26" t="s">
        <v>286</v>
      </c>
      <c r="B86" s="27" t="s">
        <v>287</v>
      </c>
      <c r="C86" s="27" t="s">
        <v>19</v>
      </c>
      <c r="D86" s="27" t="s">
        <v>87</v>
      </c>
      <c r="E86" s="27" t="s">
        <v>111</v>
      </c>
      <c r="F86" s="27" t="s">
        <v>15</v>
      </c>
      <c r="G86" s="27" t="s">
        <v>94</v>
      </c>
      <c r="H86" s="28">
        <v>44889</v>
      </c>
      <c r="I86" s="27">
        <v>268922</v>
      </c>
      <c r="J86" s="29" t="s">
        <v>288</v>
      </c>
    </row>
    <row r="87" s="22" customFormat="1" spans="1:10">
      <c r="A87" s="30" t="s">
        <v>289</v>
      </c>
      <c r="B87" s="31" t="s">
        <v>290</v>
      </c>
      <c r="C87" s="31" t="s">
        <v>19</v>
      </c>
      <c r="D87" s="31" t="s">
        <v>13</v>
      </c>
      <c r="E87" s="31" t="s">
        <v>165</v>
      </c>
      <c r="F87" s="31" t="s">
        <v>15</v>
      </c>
      <c r="G87" s="31" t="s">
        <v>62</v>
      </c>
      <c r="H87" s="32">
        <v>42547</v>
      </c>
      <c r="I87" s="31">
        <v>198013</v>
      </c>
      <c r="J87" s="33" t="s">
        <v>166</v>
      </c>
    </row>
    <row r="88" s="22" customFormat="1" spans="1:10">
      <c r="A88" s="26" t="s">
        <v>291</v>
      </c>
      <c r="B88" s="27" t="s">
        <v>292</v>
      </c>
      <c r="C88" s="27" t="s">
        <v>293</v>
      </c>
      <c r="D88" s="27" t="s">
        <v>26</v>
      </c>
      <c r="E88" s="27" t="s">
        <v>294</v>
      </c>
      <c r="F88" s="27" t="s">
        <v>15</v>
      </c>
      <c r="G88" s="27" t="s">
        <v>16</v>
      </c>
      <c r="H88" s="28">
        <v>45348</v>
      </c>
      <c r="I88" s="27">
        <v>266602</v>
      </c>
      <c r="J88" s="29" t="s">
        <v>295</v>
      </c>
    </row>
    <row r="89" s="22" customFormat="1" spans="1:10">
      <c r="A89" s="30" t="s">
        <v>296</v>
      </c>
      <c r="B89" s="31" t="s">
        <v>297</v>
      </c>
      <c r="C89" s="31" t="s">
        <v>19</v>
      </c>
      <c r="D89" s="31" t="s">
        <v>32</v>
      </c>
      <c r="E89" s="31" t="s">
        <v>57</v>
      </c>
      <c r="F89" s="31" t="s">
        <v>15</v>
      </c>
      <c r="G89" s="31" t="s">
        <v>94</v>
      </c>
      <c r="H89" s="32">
        <v>45578</v>
      </c>
      <c r="I89" s="31">
        <v>136974</v>
      </c>
      <c r="J89" s="33" t="s">
        <v>298</v>
      </c>
    </row>
    <row r="90" s="22" customFormat="1" spans="1:10">
      <c r="A90" s="26" t="s">
        <v>299</v>
      </c>
      <c r="B90" s="27" t="s">
        <v>300</v>
      </c>
      <c r="C90" s="27" t="s">
        <v>19</v>
      </c>
      <c r="D90" s="27" t="s">
        <v>52</v>
      </c>
      <c r="E90" s="27" t="s">
        <v>53</v>
      </c>
      <c r="F90" s="27" t="s">
        <v>15</v>
      </c>
      <c r="G90" s="27" t="s">
        <v>34</v>
      </c>
      <c r="H90" s="28">
        <v>45068</v>
      </c>
      <c r="I90" s="27">
        <v>127230</v>
      </c>
      <c r="J90" s="29"/>
    </row>
    <row r="91" s="22" customFormat="1" spans="1:10">
      <c r="A91" s="30" t="s">
        <v>301</v>
      </c>
      <c r="B91" s="31" t="s">
        <v>302</v>
      </c>
      <c r="C91" s="31" t="s">
        <v>19</v>
      </c>
      <c r="D91" s="31" t="s">
        <v>92</v>
      </c>
      <c r="E91" s="31" t="s">
        <v>189</v>
      </c>
      <c r="F91" s="31" t="s">
        <v>48</v>
      </c>
      <c r="G91" s="31" t="s">
        <v>94</v>
      </c>
      <c r="H91" s="32">
        <v>44505</v>
      </c>
      <c r="I91" s="31">
        <v>147356</v>
      </c>
      <c r="J91" s="33" t="s">
        <v>303</v>
      </c>
    </row>
    <row r="92" s="22" customFormat="1" spans="1:10">
      <c r="A92" s="26" t="s">
        <v>304</v>
      </c>
      <c r="B92" s="27" t="s">
        <v>305</v>
      </c>
      <c r="C92" s="27" t="s">
        <v>19</v>
      </c>
      <c r="D92" s="27" t="s">
        <v>38</v>
      </c>
      <c r="E92" s="27" t="s">
        <v>84</v>
      </c>
      <c r="F92" s="27" t="s">
        <v>15</v>
      </c>
      <c r="G92" s="27" t="s">
        <v>28</v>
      </c>
      <c r="H92" s="28">
        <v>43605</v>
      </c>
      <c r="I92" s="27">
        <v>161402</v>
      </c>
      <c r="J92" s="29" t="s">
        <v>306</v>
      </c>
    </row>
    <row r="93" s="22" customFormat="1" spans="1:10">
      <c r="A93" s="30" t="s">
        <v>307</v>
      </c>
      <c r="B93" s="31" t="s">
        <v>308</v>
      </c>
      <c r="C93" s="31" t="s">
        <v>12</v>
      </c>
      <c r="D93" s="31" t="s">
        <v>26</v>
      </c>
      <c r="E93" s="31" t="s">
        <v>294</v>
      </c>
      <c r="F93" s="31" t="s">
        <v>22</v>
      </c>
      <c r="G93" s="31" t="s">
        <v>16</v>
      </c>
      <c r="H93" s="32">
        <v>44246</v>
      </c>
      <c r="I93" s="31">
        <v>233536</v>
      </c>
      <c r="J93" s="33" t="s">
        <v>309</v>
      </c>
    </row>
    <row r="94" s="22" customFormat="1" spans="1:10">
      <c r="A94" s="26" t="s">
        <v>310</v>
      </c>
      <c r="B94" s="27" t="s">
        <v>311</v>
      </c>
      <c r="C94" s="27" t="s">
        <v>12</v>
      </c>
      <c r="D94" s="27" t="s">
        <v>26</v>
      </c>
      <c r="E94" s="27" t="s">
        <v>294</v>
      </c>
      <c r="F94" s="27" t="s">
        <v>15</v>
      </c>
      <c r="G94" s="27" t="s">
        <v>40</v>
      </c>
      <c r="H94" s="28">
        <v>45005</v>
      </c>
      <c r="I94" s="27">
        <v>257374</v>
      </c>
      <c r="J94" s="29" t="s">
        <v>274</v>
      </c>
    </row>
    <row r="95" s="22" customFormat="1" spans="1:10">
      <c r="A95" s="30" t="s">
        <v>312</v>
      </c>
      <c r="B95" s="31" t="s">
        <v>313</v>
      </c>
      <c r="C95" s="31" t="s">
        <v>19</v>
      </c>
      <c r="D95" s="31" t="s">
        <v>92</v>
      </c>
      <c r="E95" s="31" t="s">
        <v>93</v>
      </c>
      <c r="F95" s="31" t="s">
        <v>15</v>
      </c>
      <c r="G95" s="31" t="s">
        <v>16</v>
      </c>
      <c r="H95" s="32">
        <v>42497</v>
      </c>
      <c r="I95" s="31">
        <v>91158</v>
      </c>
      <c r="J95" s="33" t="s">
        <v>190</v>
      </c>
    </row>
    <row r="96" s="22" customFormat="1" spans="1:10">
      <c r="A96" s="26" t="s">
        <v>314</v>
      </c>
      <c r="B96" s="27" t="s">
        <v>315</v>
      </c>
      <c r="C96" s="27" t="s">
        <v>19</v>
      </c>
      <c r="D96" s="27" t="s">
        <v>52</v>
      </c>
      <c r="E96" s="27" t="s">
        <v>246</v>
      </c>
      <c r="F96" s="27" t="s">
        <v>15</v>
      </c>
      <c r="G96" s="27" t="s">
        <v>16</v>
      </c>
      <c r="H96" s="28">
        <v>42619</v>
      </c>
      <c r="I96" s="27">
        <v>106333</v>
      </c>
      <c r="J96" s="29" t="s">
        <v>316</v>
      </c>
    </row>
    <row r="97" s="22" customFormat="1" spans="1:10">
      <c r="A97" s="30" t="s">
        <v>317</v>
      </c>
      <c r="B97" s="31" t="s">
        <v>318</v>
      </c>
      <c r="C97" s="31" t="s">
        <v>19</v>
      </c>
      <c r="D97" s="31" t="s">
        <v>92</v>
      </c>
      <c r="E97" s="31" t="s">
        <v>189</v>
      </c>
      <c r="F97" s="31" t="s">
        <v>15</v>
      </c>
      <c r="G97" s="31" t="s">
        <v>28</v>
      </c>
      <c r="H97" s="32">
        <v>44331</v>
      </c>
      <c r="I97" s="31">
        <v>75235</v>
      </c>
      <c r="J97" s="33"/>
    </row>
    <row r="98" s="22" customFormat="1" spans="1:10">
      <c r="A98" s="26" t="s">
        <v>319</v>
      </c>
      <c r="B98" s="27" t="s">
        <v>211</v>
      </c>
      <c r="C98" s="27" t="s">
        <v>293</v>
      </c>
      <c r="D98" s="27" t="s">
        <v>92</v>
      </c>
      <c r="E98" s="27" t="s">
        <v>189</v>
      </c>
      <c r="F98" s="27" t="s">
        <v>48</v>
      </c>
      <c r="G98" s="27" t="s">
        <v>40</v>
      </c>
      <c r="H98" s="28">
        <v>45840</v>
      </c>
      <c r="I98" s="27">
        <v>60785</v>
      </c>
      <c r="J98" s="29" t="s">
        <v>226</v>
      </c>
    </row>
    <row r="99" s="22" customFormat="1" spans="1:10">
      <c r="A99" s="30" t="s">
        <v>320</v>
      </c>
      <c r="B99" s="31" t="s">
        <v>321</v>
      </c>
      <c r="C99" s="31" t="s">
        <v>19</v>
      </c>
      <c r="D99" s="31" t="s">
        <v>13</v>
      </c>
      <c r="E99" s="31" t="s">
        <v>14</v>
      </c>
      <c r="F99" s="31" t="s">
        <v>15</v>
      </c>
      <c r="G99" s="31" t="s">
        <v>40</v>
      </c>
      <c r="H99" s="32">
        <v>44015</v>
      </c>
      <c r="I99" s="31">
        <v>55786</v>
      </c>
      <c r="J99" s="33" t="s">
        <v>322</v>
      </c>
    </row>
    <row r="100" s="22" customFormat="1" spans="1:10">
      <c r="A100" s="26" t="s">
        <v>323</v>
      </c>
      <c r="B100" s="27" t="s">
        <v>324</v>
      </c>
      <c r="C100" s="27" t="s">
        <v>146</v>
      </c>
      <c r="D100" s="27" t="s">
        <v>38</v>
      </c>
      <c r="E100" s="27" t="s">
        <v>39</v>
      </c>
      <c r="F100" s="27" t="s">
        <v>15</v>
      </c>
      <c r="G100" s="27" t="s">
        <v>34</v>
      </c>
      <c r="H100" s="28">
        <v>44116</v>
      </c>
      <c r="I100" s="27">
        <v>134271</v>
      </c>
      <c r="J100" s="29" t="s">
        <v>325</v>
      </c>
    </row>
    <row r="101" s="22" customFormat="1" spans="1:10">
      <c r="A101" s="30" t="s">
        <v>326</v>
      </c>
      <c r="B101" s="31" t="s">
        <v>327</v>
      </c>
      <c r="C101" s="31" t="s">
        <v>12</v>
      </c>
      <c r="D101" s="31" t="s">
        <v>38</v>
      </c>
      <c r="E101" s="31" t="s">
        <v>66</v>
      </c>
      <c r="F101" s="31" t="s">
        <v>15</v>
      </c>
      <c r="G101" s="31" t="s">
        <v>34</v>
      </c>
      <c r="H101" s="32">
        <v>45180</v>
      </c>
      <c r="I101" s="31">
        <v>156178</v>
      </c>
      <c r="J101" s="33" t="s">
        <v>179</v>
      </c>
    </row>
    <row r="102" s="22" customFormat="1" spans="1:10">
      <c r="A102" s="26" t="s">
        <v>328</v>
      </c>
      <c r="B102" s="27" t="s">
        <v>329</v>
      </c>
      <c r="C102" s="27" t="s">
        <v>19</v>
      </c>
      <c r="D102" s="27" t="s">
        <v>38</v>
      </c>
      <c r="E102" s="27" t="s">
        <v>77</v>
      </c>
      <c r="F102" s="27" t="s">
        <v>48</v>
      </c>
      <c r="G102" s="27" t="s">
        <v>94</v>
      </c>
      <c r="H102" s="28">
        <v>42812</v>
      </c>
      <c r="I102" s="27">
        <v>131877</v>
      </c>
      <c r="J102" s="29" t="s">
        <v>58</v>
      </c>
    </row>
    <row r="103" s="22" customFormat="1" spans="1:10">
      <c r="A103" s="30" t="s">
        <v>49</v>
      </c>
      <c r="B103" s="31" t="s">
        <v>330</v>
      </c>
      <c r="C103" s="31" t="s">
        <v>12</v>
      </c>
      <c r="D103" s="31" t="s">
        <v>32</v>
      </c>
      <c r="E103" s="31" t="s">
        <v>208</v>
      </c>
      <c r="F103" s="31" t="s">
        <v>15</v>
      </c>
      <c r="G103" s="31" t="s">
        <v>62</v>
      </c>
      <c r="H103" s="32">
        <v>44378</v>
      </c>
      <c r="I103" s="31">
        <v>138408</v>
      </c>
      <c r="J103" s="33" t="s">
        <v>331</v>
      </c>
    </row>
    <row r="104" s="22" customFormat="1" spans="1:10">
      <c r="A104" s="26" t="s">
        <v>332</v>
      </c>
      <c r="B104" s="27" t="s">
        <v>333</v>
      </c>
      <c r="C104" s="27" t="s">
        <v>12</v>
      </c>
      <c r="D104" s="27" t="s">
        <v>87</v>
      </c>
      <c r="E104" s="27" t="s">
        <v>111</v>
      </c>
      <c r="F104" s="27" t="s">
        <v>48</v>
      </c>
      <c r="G104" s="27" t="s">
        <v>16</v>
      </c>
      <c r="H104" s="28">
        <v>45287</v>
      </c>
      <c r="I104" s="27">
        <v>253791</v>
      </c>
      <c r="J104" s="29" t="s">
        <v>196</v>
      </c>
    </row>
    <row r="105" s="22" customFormat="1" spans="1:10">
      <c r="A105" s="30" t="s">
        <v>334</v>
      </c>
      <c r="B105" s="31" t="s">
        <v>335</v>
      </c>
      <c r="C105" s="31" t="s">
        <v>19</v>
      </c>
      <c r="D105" s="31" t="s">
        <v>92</v>
      </c>
      <c r="E105" s="31" t="s">
        <v>193</v>
      </c>
      <c r="F105" s="31" t="s">
        <v>15</v>
      </c>
      <c r="G105" s="31" t="s">
        <v>16</v>
      </c>
      <c r="H105" s="32">
        <v>44186</v>
      </c>
      <c r="I105" s="31">
        <v>234882</v>
      </c>
      <c r="J105" s="33" t="s">
        <v>336</v>
      </c>
    </row>
    <row r="106" s="22" customFormat="1" spans="1:10">
      <c r="A106" s="26" t="s">
        <v>337</v>
      </c>
      <c r="B106" s="27" t="s">
        <v>338</v>
      </c>
      <c r="C106" s="27" t="s">
        <v>19</v>
      </c>
      <c r="D106" s="27" t="s">
        <v>20</v>
      </c>
      <c r="E106" s="27" t="s">
        <v>70</v>
      </c>
      <c r="F106" s="27" t="s">
        <v>15</v>
      </c>
      <c r="G106" s="27" t="s">
        <v>40</v>
      </c>
      <c r="H106" s="28">
        <v>42671</v>
      </c>
      <c r="I106" s="27">
        <v>171732</v>
      </c>
      <c r="J106" s="29" t="s">
        <v>229</v>
      </c>
    </row>
    <row r="107" s="22" customFormat="1" spans="1:10">
      <c r="A107" s="30" t="s">
        <v>339</v>
      </c>
      <c r="B107" s="31" t="s">
        <v>340</v>
      </c>
      <c r="C107" s="31" t="s">
        <v>12</v>
      </c>
      <c r="D107" s="31" t="s">
        <v>87</v>
      </c>
      <c r="E107" s="31" t="s">
        <v>88</v>
      </c>
      <c r="F107" s="31" t="s">
        <v>15</v>
      </c>
      <c r="G107" s="31" t="s">
        <v>16</v>
      </c>
      <c r="H107" s="32">
        <v>42700</v>
      </c>
      <c r="I107" s="31">
        <v>124374</v>
      </c>
      <c r="J107" s="33" t="s">
        <v>341</v>
      </c>
    </row>
    <row r="108" s="22" customFormat="1" spans="1:10">
      <c r="A108" s="26" t="s">
        <v>342</v>
      </c>
      <c r="B108" s="27" t="s">
        <v>343</v>
      </c>
      <c r="C108" s="27" t="s">
        <v>19</v>
      </c>
      <c r="D108" s="27" t="s">
        <v>13</v>
      </c>
      <c r="E108" s="27" t="s">
        <v>165</v>
      </c>
      <c r="F108" s="27" t="s">
        <v>15</v>
      </c>
      <c r="G108" s="27" t="s">
        <v>16</v>
      </c>
      <c r="H108" s="28">
        <v>43689</v>
      </c>
      <c r="I108" s="27">
        <v>180577</v>
      </c>
      <c r="J108" s="29" t="s">
        <v>344</v>
      </c>
    </row>
    <row r="109" s="22" customFormat="1" spans="1:10">
      <c r="A109" s="30" t="s">
        <v>345</v>
      </c>
      <c r="B109" s="31" t="s">
        <v>346</v>
      </c>
      <c r="C109" s="31" t="s">
        <v>19</v>
      </c>
      <c r="D109" s="31" t="s">
        <v>26</v>
      </c>
      <c r="E109" s="31" t="s">
        <v>294</v>
      </c>
      <c r="F109" s="31" t="s">
        <v>15</v>
      </c>
      <c r="G109" s="31" t="s">
        <v>40</v>
      </c>
      <c r="H109" s="32">
        <v>44861</v>
      </c>
      <c r="I109" s="31">
        <v>214709</v>
      </c>
      <c r="J109" s="33" t="s">
        <v>347</v>
      </c>
    </row>
    <row r="110" s="22" customFormat="1" spans="1:10">
      <c r="A110" s="26" t="s">
        <v>253</v>
      </c>
      <c r="B110" s="27" t="s">
        <v>348</v>
      </c>
      <c r="C110" s="27" t="s">
        <v>19</v>
      </c>
      <c r="D110" s="27" t="s">
        <v>87</v>
      </c>
      <c r="E110" s="27" t="s">
        <v>349</v>
      </c>
      <c r="F110" s="27" t="s">
        <v>15</v>
      </c>
      <c r="G110" s="27" t="s">
        <v>28</v>
      </c>
      <c r="H110" s="28">
        <v>42977</v>
      </c>
      <c r="I110" s="27">
        <v>272489</v>
      </c>
      <c r="J110" s="29"/>
    </row>
    <row r="111" s="22" customFormat="1" spans="1:10">
      <c r="A111" s="30" t="s">
        <v>350</v>
      </c>
      <c r="B111" s="31" t="s">
        <v>351</v>
      </c>
      <c r="C111" s="31" t="s">
        <v>12</v>
      </c>
      <c r="D111" s="31" t="s">
        <v>38</v>
      </c>
      <c r="E111" s="31" t="s">
        <v>77</v>
      </c>
      <c r="F111" s="31" t="s">
        <v>15</v>
      </c>
      <c r="G111" s="31" t="s">
        <v>94</v>
      </c>
      <c r="H111" s="32">
        <v>42639</v>
      </c>
      <c r="I111" s="31">
        <v>179920</v>
      </c>
      <c r="J111" s="33" t="s">
        <v>243</v>
      </c>
    </row>
    <row r="112" s="22" customFormat="1" spans="1:10">
      <c r="A112" s="26" t="s">
        <v>352</v>
      </c>
      <c r="B112" s="27" t="s">
        <v>353</v>
      </c>
      <c r="C112" s="27" t="s">
        <v>12</v>
      </c>
      <c r="D112" s="27" t="s">
        <v>87</v>
      </c>
      <c r="E112" s="27" t="s">
        <v>111</v>
      </c>
      <c r="F112" s="27" t="s">
        <v>15</v>
      </c>
      <c r="G112" s="27" t="s">
        <v>16</v>
      </c>
      <c r="H112" s="28">
        <v>42886</v>
      </c>
      <c r="I112" s="27">
        <v>274622</v>
      </c>
      <c r="J112" s="29" t="s">
        <v>272</v>
      </c>
    </row>
    <row r="113" s="22" customFormat="1" spans="1:10">
      <c r="A113" s="30" t="s">
        <v>354</v>
      </c>
      <c r="B113" s="31" t="s">
        <v>355</v>
      </c>
      <c r="C113" s="31" t="s">
        <v>19</v>
      </c>
      <c r="D113" s="31" t="s">
        <v>38</v>
      </c>
      <c r="E113" s="31" t="s">
        <v>66</v>
      </c>
      <c r="F113" s="31" t="s">
        <v>15</v>
      </c>
      <c r="G113" s="31" t="s">
        <v>16</v>
      </c>
      <c r="H113" s="32">
        <v>43496</v>
      </c>
      <c r="I113" s="31">
        <v>115486</v>
      </c>
      <c r="J113" s="33" t="s">
        <v>356</v>
      </c>
    </row>
    <row r="114" s="22" customFormat="1" spans="1:10">
      <c r="A114" s="26" t="s">
        <v>357</v>
      </c>
      <c r="B114" s="27" t="s">
        <v>358</v>
      </c>
      <c r="C114" s="27" t="s">
        <v>19</v>
      </c>
      <c r="D114" s="27" t="s">
        <v>20</v>
      </c>
      <c r="E114" s="27" t="s">
        <v>147</v>
      </c>
      <c r="F114" s="27" t="s">
        <v>15</v>
      </c>
      <c r="G114" s="27" t="s">
        <v>62</v>
      </c>
      <c r="H114" s="28">
        <v>44927</v>
      </c>
      <c r="I114" s="27">
        <v>47847</v>
      </c>
      <c r="J114" s="29" t="s">
        <v>341</v>
      </c>
    </row>
    <row r="115" s="22" customFormat="1" spans="1:10">
      <c r="A115" s="30" t="s">
        <v>359</v>
      </c>
      <c r="B115" s="31" t="s">
        <v>360</v>
      </c>
      <c r="C115" s="31" t="s">
        <v>19</v>
      </c>
      <c r="D115" s="31" t="s">
        <v>52</v>
      </c>
      <c r="E115" s="31" t="s">
        <v>120</v>
      </c>
      <c r="F115" s="31" t="s">
        <v>15</v>
      </c>
      <c r="G115" s="31" t="s">
        <v>40</v>
      </c>
      <c r="H115" s="32">
        <v>44963</v>
      </c>
      <c r="I115" s="31">
        <v>150407</v>
      </c>
      <c r="J115" s="33" t="s">
        <v>50</v>
      </c>
    </row>
    <row r="116" s="22" customFormat="1" spans="1:10">
      <c r="A116" s="26" t="s">
        <v>361</v>
      </c>
      <c r="B116" s="27" t="s">
        <v>362</v>
      </c>
      <c r="C116" s="27" t="s">
        <v>12</v>
      </c>
      <c r="D116" s="27" t="s">
        <v>32</v>
      </c>
      <c r="E116" s="27" t="s">
        <v>33</v>
      </c>
      <c r="F116" s="27" t="s">
        <v>22</v>
      </c>
      <c r="G116" s="27" t="s">
        <v>16</v>
      </c>
      <c r="H116" s="28">
        <v>44767</v>
      </c>
      <c r="I116" s="27">
        <v>75402</v>
      </c>
      <c r="J116" s="29" t="s">
        <v>108</v>
      </c>
    </row>
    <row r="117" s="22" customFormat="1" spans="1:10">
      <c r="A117" s="30" t="s">
        <v>363</v>
      </c>
      <c r="B117" s="31" t="s">
        <v>364</v>
      </c>
      <c r="C117" s="31" t="s">
        <v>12</v>
      </c>
      <c r="D117" s="31" t="s">
        <v>52</v>
      </c>
      <c r="E117" s="31" t="s">
        <v>120</v>
      </c>
      <c r="F117" s="31" t="s">
        <v>15</v>
      </c>
      <c r="G117" s="31" t="s">
        <v>62</v>
      </c>
      <c r="H117" s="32">
        <v>44616</v>
      </c>
      <c r="I117" s="31">
        <v>90308</v>
      </c>
      <c r="J117" s="33" t="s">
        <v>240</v>
      </c>
    </row>
    <row r="118" s="22" customFormat="1" spans="1:10">
      <c r="A118" s="26" t="s">
        <v>365</v>
      </c>
      <c r="B118" s="27" t="s">
        <v>31</v>
      </c>
      <c r="C118" s="27" t="s">
        <v>19</v>
      </c>
      <c r="D118" s="27" t="s">
        <v>52</v>
      </c>
      <c r="E118" s="27" t="s">
        <v>246</v>
      </c>
      <c r="F118" s="27" t="s">
        <v>15</v>
      </c>
      <c r="G118" s="27" t="s">
        <v>28</v>
      </c>
      <c r="H118" s="28">
        <v>45286</v>
      </c>
      <c r="I118" s="27">
        <v>93271</v>
      </c>
      <c r="J118" s="29" t="s">
        <v>212</v>
      </c>
    </row>
    <row r="119" s="22" customFormat="1" spans="1:10">
      <c r="A119" s="30" t="s">
        <v>366</v>
      </c>
      <c r="B119" s="31" t="s">
        <v>367</v>
      </c>
      <c r="C119" s="31" t="s">
        <v>12</v>
      </c>
      <c r="D119" s="31" t="s">
        <v>38</v>
      </c>
      <c r="E119" s="31" t="s">
        <v>39</v>
      </c>
      <c r="F119" s="31" t="s">
        <v>22</v>
      </c>
      <c r="G119" s="31" t="s">
        <v>16</v>
      </c>
      <c r="H119" s="32">
        <v>43701</v>
      </c>
      <c r="I119" s="31">
        <v>166489</v>
      </c>
      <c r="J119" s="33" t="s">
        <v>49</v>
      </c>
    </row>
    <row r="120" s="22" customFormat="1" spans="1:10">
      <c r="A120" s="26" t="s">
        <v>368</v>
      </c>
      <c r="B120" s="27" t="s">
        <v>203</v>
      </c>
      <c r="C120" s="27" t="s">
        <v>12</v>
      </c>
      <c r="D120" s="27" t="s">
        <v>52</v>
      </c>
      <c r="E120" s="27" t="s">
        <v>246</v>
      </c>
      <c r="F120" s="27" t="s">
        <v>15</v>
      </c>
      <c r="G120" s="27" t="s">
        <v>40</v>
      </c>
      <c r="H120" s="28">
        <v>43930</v>
      </c>
      <c r="I120" s="27">
        <v>127253</v>
      </c>
      <c r="J120" s="29" t="s">
        <v>369</v>
      </c>
    </row>
    <row r="121" s="22" customFormat="1" spans="1:10">
      <c r="A121" s="30" t="s">
        <v>370</v>
      </c>
      <c r="B121" s="31" t="s">
        <v>371</v>
      </c>
      <c r="C121" s="31" t="s">
        <v>19</v>
      </c>
      <c r="D121" s="31" t="s">
        <v>92</v>
      </c>
      <c r="E121" s="31" t="s">
        <v>189</v>
      </c>
      <c r="F121" s="31" t="s">
        <v>15</v>
      </c>
      <c r="G121" s="31" t="s">
        <v>16</v>
      </c>
      <c r="H121" s="32">
        <v>44816</v>
      </c>
      <c r="I121" s="31">
        <v>156698</v>
      </c>
      <c r="J121" s="33" t="s">
        <v>372</v>
      </c>
    </row>
    <row r="122" s="22" customFormat="1" spans="1:10">
      <c r="A122" s="26" t="s">
        <v>373</v>
      </c>
      <c r="B122" s="27" t="s">
        <v>104</v>
      </c>
      <c r="C122" s="27" t="s">
        <v>12</v>
      </c>
      <c r="D122" s="27" t="s">
        <v>52</v>
      </c>
      <c r="E122" s="27" t="s">
        <v>53</v>
      </c>
      <c r="F122" s="27" t="s">
        <v>15</v>
      </c>
      <c r="G122" s="27" t="s">
        <v>62</v>
      </c>
      <c r="H122" s="28">
        <v>44543</v>
      </c>
      <c r="I122" s="27">
        <v>105032</v>
      </c>
      <c r="J122" s="29" t="s">
        <v>316</v>
      </c>
    </row>
    <row r="123" s="22" customFormat="1" spans="1:10">
      <c r="A123" s="30" t="s">
        <v>374</v>
      </c>
      <c r="B123" s="31" t="s">
        <v>123</v>
      </c>
      <c r="C123" s="31" t="s">
        <v>19</v>
      </c>
      <c r="D123" s="31" t="s">
        <v>52</v>
      </c>
      <c r="E123" s="31" t="s">
        <v>53</v>
      </c>
      <c r="F123" s="31" t="s">
        <v>48</v>
      </c>
      <c r="G123" s="31" t="s">
        <v>40</v>
      </c>
      <c r="H123" s="32">
        <v>43577</v>
      </c>
      <c r="I123" s="31">
        <v>194473</v>
      </c>
      <c r="J123" s="33" t="s">
        <v>230</v>
      </c>
    </row>
    <row r="124" s="22" customFormat="1" spans="1:10">
      <c r="A124" s="26" t="s">
        <v>81</v>
      </c>
      <c r="B124" s="27" t="s">
        <v>375</v>
      </c>
      <c r="C124" s="27" t="s">
        <v>12</v>
      </c>
      <c r="D124" s="27" t="s">
        <v>87</v>
      </c>
      <c r="E124" s="27" t="s">
        <v>111</v>
      </c>
      <c r="F124" s="27" t="s">
        <v>15</v>
      </c>
      <c r="G124" s="27" t="s">
        <v>16</v>
      </c>
      <c r="H124" s="28">
        <v>44228</v>
      </c>
      <c r="I124" s="27">
        <v>223604</v>
      </c>
      <c r="J124" s="29" t="s">
        <v>376</v>
      </c>
    </row>
    <row r="125" s="22" customFormat="1" spans="1:10">
      <c r="A125" s="30" t="s">
        <v>377</v>
      </c>
      <c r="B125" s="31" t="s">
        <v>378</v>
      </c>
      <c r="C125" s="31" t="s">
        <v>19</v>
      </c>
      <c r="D125" s="31" t="s">
        <v>38</v>
      </c>
      <c r="E125" s="31" t="s">
        <v>39</v>
      </c>
      <c r="F125" s="31" t="s">
        <v>15</v>
      </c>
      <c r="G125" s="31" t="s">
        <v>94</v>
      </c>
      <c r="H125" s="32">
        <v>44440</v>
      </c>
      <c r="I125" s="31">
        <v>116353</v>
      </c>
      <c r="J125" s="33"/>
    </row>
    <row r="126" s="22" customFormat="1" spans="1:10">
      <c r="A126" s="26" t="s">
        <v>379</v>
      </c>
      <c r="B126" s="27" t="s">
        <v>380</v>
      </c>
      <c r="C126" s="27" t="s">
        <v>19</v>
      </c>
      <c r="D126" s="27" t="s">
        <v>87</v>
      </c>
      <c r="E126" s="27" t="s">
        <v>349</v>
      </c>
      <c r="F126" s="27" t="s">
        <v>15</v>
      </c>
      <c r="G126" s="27" t="s">
        <v>40</v>
      </c>
      <c r="H126" s="28">
        <v>44849</v>
      </c>
      <c r="I126" s="27">
        <v>323393</v>
      </c>
      <c r="J126" s="29" t="s">
        <v>154</v>
      </c>
    </row>
    <row r="127" s="22" customFormat="1" spans="1:10">
      <c r="A127" s="30" t="s">
        <v>381</v>
      </c>
      <c r="B127" s="31" t="s">
        <v>382</v>
      </c>
      <c r="C127" s="31" t="s">
        <v>19</v>
      </c>
      <c r="D127" s="31" t="s">
        <v>13</v>
      </c>
      <c r="E127" s="31" t="s">
        <v>165</v>
      </c>
      <c r="F127" s="31" t="s">
        <v>15</v>
      </c>
      <c r="G127" s="31" t="s">
        <v>34</v>
      </c>
      <c r="H127" s="32">
        <v>44132</v>
      </c>
      <c r="I127" s="31">
        <v>204089</v>
      </c>
      <c r="J127" s="33"/>
    </row>
    <row r="128" s="22" customFormat="1" spans="1:10">
      <c r="A128" s="26" t="s">
        <v>383</v>
      </c>
      <c r="B128" s="27" t="s">
        <v>384</v>
      </c>
      <c r="C128" s="27" t="s">
        <v>19</v>
      </c>
      <c r="D128" s="27" t="s">
        <v>52</v>
      </c>
      <c r="E128" s="27" t="s">
        <v>246</v>
      </c>
      <c r="F128" s="27" t="s">
        <v>15</v>
      </c>
      <c r="G128" s="27" t="s">
        <v>34</v>
      </c>
      <c r="H128" s="28">
        <v>42776</v>
      </c>
      <c r="I128" s="27">
        <v>115492</v>
      </c>
      <c r="J128" s="29"/>
    </row>
    <row r="129" s="22" customFormat="1" spans="1:10">
      <c r="A129" s="30" t="s">
        <v>385</v>
      </c>
      <c r="B129" s="31" t="s">
        <v>252</v>
      </c>
      <c r="C129" s="31" t="s">
        <v>12</v>
      </c>
      <c r="D129" s="31" t="s">
        <v>52</v>
      </c>
      <c r="E129" s="31" t="s">
        <v>120</v>
      </c>
      <c r="F129" s="31" t="s">
        <v>15</v>
      </c>
      <c r="G129" s="31" t="s">
        <v>34</v>
      </c>
      <c r="H129" s="32">
        <v>45618</v>
      </c>
      <c r="I129" s="31">
        <v>63509</v>
      </c>
      <c r="J129" s="33" t="s">
        <v>386</v>
      </c>
    </row>
    <row r="130" s="22" customFormat="1" spans="1:10">
      <c r="A130" s="26" t="s">
        <v>387</v>
      </c>
      <c r="B130" s="27" t="s">
        <v>388</v>
      </c>
      <c r="C130" s="27" t="s">
        <v>12</v>
      </c>
      <c r="D130" s="27" t="s">
        <v>38</v>
      </c>
      <c r="E130" s="27" t="s">
        <v>66</v>
      </c>
      <c r="F130" s="27" t="s">
        <v>15</v>
      </c>
      <c r="G130" s="27" t="s">
        <v>94</v>
      </c>
      <c r="H130" s="28">
        <v>45244</v>
      </c>
      <c r="I130" s="27">
        <v>150359</v>
      </c>
      <c r="J130" s="29"/>
    </row>
    <row r="131" s="22" customFormat="1" spans="1:10">
      <c r="A131" s="30" t="s">
        <v>389</v>
      </c>
      <c r="B131" s="31" t="s">
        <v>390</v>
      </c>
      <c r="C131" s="31" t="s">
        <v>12</v>
      </c>
      <c r="D131" s="31" t="s">
        <v>92</v>
      </c>
      <c r="E131" s="31" t="s">
        <v>391</v>
      </c>
      <c r="F131" s="31" t="s">
        <v>15</v>
      </c>
      <c r="G131" s="31" t="s">
        <v>34</v>
      </c>
      <c r="H131" s="32">
        <v>42838</v>
      </c>
      <c r="I131" s="31">
        <v>188137</v>
      </c>
      <c r="J131" s="33" t="s">
        <v>392</v>
      </c>
    </row>
    <row r="132" s="22" customFormat="1" spans="1:10">
      <c r="A132" s="26" t="s">
        <v>393</v>
      </c>
      <c r="B132" s="27" t="s">
        <v>394</v>
      </c>
      <c r="C132" s="27" t="s">
        <v>19</v>
      </c>
      <c r="D132" s="27" t="s">
        <v>13</v>
      </c>
      <c r="E132" s="27" t="s">
        <v>223</v>
      </c>
      <c r="F132" s="27" t="s">
        <v>15</v>
      </c>
      <c r="G132" s="27" t="s">
        <v>62</v>
      </c>
      <c r="H132" s="28">
        <v>45863</v>
      </c>
      <c r="I132" s="27">
        <v>180052</v>
      </c>
      <c r="J132" s="29" t="s">
        <v>196</v>
      </c>
    </row>
    <row r="133" s="22" customFormat="1" spans="1:10">
      <c r="A133" s="30" t="s">
        <v>395</v>
      </c>
      <c r="B133" s="31" t="s">
        <v>396</v>
      </c>
      <c r="C133" s="31" t="s">
        <v>19</v>
      </c>
      <c r="D133" s="31" t="s">
        <v>87</v>
      </c>
      <c r="E133" s="31" t="s">
        <v>156</v>
      </c>
      <c r="F133" s="31" t="s">
        <v>15</v>
      </c>
      <c r="G133" s="31" t="s">
        <v>40</v>
      </c>
      <c r="H133" s="32">
        <v>45051</v>
      </c>
      <c r="I133" s="31">
        <v>331014</v>
      </c>
      <c r="J133" s="33" t="s">
        <v>397</v>
      </c>
    </row>
    <row r="134" s="22" customFormat="1" spans="1:10">
      <c r="A134" s="26" t="s">
        <v>398</v>
      </c>
      <c r="B134" s="27" t="s">
        <v>399</v>
      </c>
      <c r="C134" s="27" t="s">
        <v>12</v>
      </c>
      <c r="D134" s="27" t="s">
        <v>38</v>
      </c>
      <c r="E134" s="27" t="s">
        <v>77</v>
      </c>
      <c r="F134" s="27" t="s">
        <v>15</v>
      </c>
      <c r="G134" s="27" t="s">
        <v>94</v>
      </c>
      <c r="H134" s="28">
        <v>45036</v>
      </c>
      <c r="I134" s="27">
        <v>150872</v>
      </c>
      <c r="J134" s="29" t="s">
        <v>82</v>
      </c>
    </row>
    <row r="135" s="22" customFormat="1" spans="1:10">
      <c r="A135" s="30" t="s">
        <v>400</v>
      </c>
      <c r="B135" s="31" t="s">
        <v>401</v>
      </c>
      <c r="C135" s="31" t="s">
        <v>12</v>
      </c>
      <c r="D135" s="31" t="s">
        <v>13</v>
      </c>
      <c r="E135" s="31" t="s">
        <v>14</v>
      </c>
      <c r="F135" s="31" t="s">
        <v>15</v>
      </c>
      <c r="G135" s="31" t="s">
        <v>16</v>
      </c>
      <c r="H135" s="32">
        <v>45519</v>
      </c>
      <c r="I135" s="31">
        <v>74066</v>
      </c>
      <c r="J135" s="33" t="s">
        <v>253</v>
      </c>
    </row>
    <row r="136" s="22" customFormat="1" spans="1:10">
      <c r="A136" s="26" t="s">
        <v>402</v>
      </c>
      <c r="B136" s="27" t="s">
        <v>403</v>
      </c>
      <c r="C136" s="27" t="s">
        <v>19</v>
      </c>
      <c r="D136" s="27" t="s">
        <v>20</v>
      </c>
      <c r="E136" s="27" t="s">
        <v>21</v>
      </c>
      <c r="F136" s="27" t="s">
        <v>15</v>
      </c>
      <c r="G136" s="27" t="s">
        <v>62</v>
      </c>
      <c r="H136" s="28">
        <v>44628</v>
      </c>
      <c r="I136" s="27">
        <v>71853</v>
      </c>
      <c r="J136" s="29" t="s">
        <v>322</v>
      </c>
    </row>
    <row r="137" s="22" customFormat="1" spans="1:10">
      <c r="A137" s="30" t="s">
        <v>404</v>
      </c>
      <c r="B137" s="31" t="s">
        <v>405</v>
      </c>
      <c r="C137" s="31" t="s">
        <v>19</v>
      </c>
      <c r="D137" s="31" t="s">
        <v>13</v>
      </c>
      <c r="E137" s="31" t="s">
        <v>14</v>
      </c>
      <c r="F137" s="31" t="s">
        <v>15</v>
      </c>
      <c r="G137" s="31" t="s">
        <v>94</v>
      </c>
      <c r="H137" s="32">
        <v>45322</v>
      </c>
      <c r="I137" s="31">
        <v>145378</v>
      </c>
      <c r="J137" s="33" t="s">
        <v>225</v>
      </c>
    </row>
    <row r="138" s="22" customFormat="1" spans="1:10">
      <c r="A138" s="26" t="s">
        <v>406</v>
      </c>
      <c r="B138" s="27" t="s">
        <v>407</v>
      </c>
      <c r="C138" s="27" t="s">
        <v>19</v>
      </c>
      <c r="D138" s="27" t="s">
        <v>92</v>
      </c>
      <c r="E138" s="27" t="s">
        <v>126</v>
      </c>
      <c r="F138" s="27" t="s">
        <v>22</v>
      </c>
      <c r="G138" s="27" t="s">
        <v>40</v>
      </c>
      <c r="H138" s="28">
        <v>43250</v>
      </c>
      <c r="I138" s="27">
        <v>80214</v>
      </c>
      <c r="J138" s="29" t="s">
        <v>134</v>
      </c>
    </row>
    <row r="139" s="22" customFormat="1" spans="1:10">
      <c r="A139" s="30" t="s">
        <v>408</v>
      </c>
      <c r="B139" s="31" t="s">
        <v>409</v>
      </c>
      <c r="C139" s="31" t="s">
        <v>12</v>
      </c>
      <c r="D139" s="31" t="s">
        <v>26</v>
      </c>
      <c r="E139" s="31" t="s">
        <v>61</v>
      </c>
      <c r="F139" s="31" t="s">
        <v>15</v>
      </c>
      <c r="G139" s="31" t="s">
        <v>28</v>
      </c>
      <c r="H139" s="32">
        <v>44131</v>
      </c>
      <c r="I139" s="31">
        <v>153114</v>
      </c>
      <c r="J139" s="33"/>
    </row>
    <row r="140" s="22" customFormat="1" spans="1:10">
      <c r="A140" s="26" t="s">
        <v>410</v>
      </c>
      <c r="B140" s="27" t="s">
        <v>411</v>
      </c>
      <c r="C140" s="27" t="s">
        <v>12</v>
      </c>
      <c r="D140" s="27" t="s">
        <v>13</v>
      </c>
      <c r="E140" s="27" t="s">
        <v>165</v>
      </c>
      <c r="F140" s="27" t="s">
        <v>15</v>
      </c>
      <c r="G140" s="27" t="s">
        <v>62</v>
      </c>
      <c r="H140" s="28">
        <v>44219</v>
      </c>
      <c r="I140" s="27">
        <v>107540</v>
      </c>
      <c r="J140" s="29" t="s">
        <v>412</v>
      </c>
    </row>
    <row r="141" s="22" customFormat="1" spans="1:10">
      <c r="A141" s="30" t="s">
        <v>413</v>
      </c>
      <c r="B141" s="31" t="s">
        <v>414</v>
      </c>
      <c r="C141" s="31" t="s">
        <v>19</v>
      </c>
      <c r="D141" s="31" t="s">
        <v>20</v>
      </c>
      <c r="E141" s="31" t="s">
        <v>21</v>
      </c>
      <c r="F141" s="31" t="s">
        <v>15</v>
      </c>
      <c r="G141" s="31" t="s">
        <v>34</v>
      </c>
      <c r="H141" s="32">
        <v>43305</v>
      </c>
      <c r="I141" s="31">
        <v>133736</v>
      </c>
      <c r="J141" s="33" t="s">
        <v>332</v>
      </c>
    </row>
    <row r="142" s="22" customFormat="1" spans="1:10">
      <c r="A142" s="26" t="s">
        <v>172</v>
      </c>
      <c r="B142" s="27" t="s">
        <v>415</v>
      </c>
      <c r="C142" s="27" t="s">
        <v>19</v>
      </c>
      <c r="D142" s="27" t="s">
        <v>20</v>
      </c>
      <c r="E142" s="27" t="s">
        <v>70</v>
      </c>
      <c r="F142" s="27" t="s">
        <v>48</v>
      </c>
      <c r="G142" s="27" t="s">
        <v>34</v>
      </c>
      <c r="H142" s="28">
        <v>44064</v>
      </c>
      <c r="I142" s="27">
        <v>193662</v>
      </c>
      <c r="J142" s="29" t="s">
        <v>175</v>
      </c>
    </row>
    <row r="143" s="22" customFormat="1" spans="1:10">
      <c r="A143" s="30" t="s">
        <v>416</v>
      </c>
      <c r="B143" s="31" t="s">
        <v>417</v>
      </c>
      <c r="C143" s="31" t="s">
        <v>19</v>
      </c>
      <c r="D143" s="31" t="s">
        <v>87</v>
      </c>
      <c r="E143" s="31" t="s">
        <v>156</v>
      </c>
      <c r="F143" s="31" t="s">
        <v>15</v>
      </c>
      <c r="G143" s="31" t="s">
        <v>40</v>
      </c>
      <c r="H143" s="32">
        <v>43758</v>
      </c>
      <c r="I143" s="31">
        <v>214124</v>
      </c>
      <c r="J143" s="33" t="s">
        <v>275</v>
      </c>
    </row>
    <row r="144" s="22" customFormat="1" spans="1:10">
      <c r="A144" s="26" t="s">
        <v>418</v>
      </c>
      <c r="B144" s="27" t="s">
        <v>405</v>
      </c>
      <c r="C144" s="27" t="s">
        <v>19</v>
      </c>
      <c r="D144" s="27" t="s">
        <v>92</v>
      </c>
      <c r="E144" s="27" t="s">
        <v>93</v>
      </c>
      <c r="F144" s="27" t="s">
        <v>15</v>
      </c>
      <c r="G144" s="27" t="s">
        <v>28</v>
      </c>
      <c r="H144" s="28">
        <v>45759</v>
      </c>
      <c r="I144" s="27">
        <v>160401</v>
      </c>
      <c r="J144" s="29" t="s">
        <v>29</v>
      </c>
    </row>
    <row r="145" s="22" customFormat="1" spans="1:10">
      <c r="A145" s="30" t="s">
        <v>419</v>
      </c>
      <c r="B145" s="31" t="s">
        <v>420</v>
      </c>
      <c r="C145" s="31" t="s">
        <v>12</v>
      </c>
      <c r="D145" s="31" t="s">
        <v>87</v>
      </c>
      <c r="E145" s="31" t="s">
        <v>156</v>
      </c>
      <c r="F145" s="31" t="s">
        <v>15</v>
      </c>
      <c r="G145" s="31" t="s">
        <v>28</v>
      </c>
      <c r="H145" s="32">
        <v>44227</v>
      </c>
      <c r="I145" s="31">
        <v>292950</v>
      </c>
      <c r="J145" s="33" t="s">
        <v>74</v>
      </c>
    </row>
    <row r="146" s="22" customFormat="1" spans="1:10">
      <c r="A146" s="26" t="s">
        <v>421</v>
      </c>
      <c r="B146" s="27" t="s">
        <v>422</v>
      </c>
      <c r="C146" s="27" t="s">
        <v>19</v>
      </c>
      <c r="D146" s="27" t="s">
        <v>87</v>
      </c>
      <c r="E146" s="27" t="s">
        <v>88</v>
      </c>
      <c r="F146" s="27" t="s">
        <v>15</v>
      </c>
      <c r="G146" s="27" t="s">
        <v>94</v>
      </c>
      <c r="H146" s="28">
        <v>44003</v>
      </c>
      <c r="I146" s="27">
        <v>156121</v>
      </c>
      <c r="J146" s="29" t="s">
        <v>112</v>
      </c>
    </row>
    <row r="147" s="22" customFormat="1" spans="1:10">
      <c r="A147" s="30" t="s">
        <v>423</v>
      </c>
      <c r="B147" s="31" t="s">
        <v>424</v>
      </c>
      <c r="C147" s="31" t="s">
        <v>19</v>
      </c>
      <c r="D147" s="31" t="s">
        <v>38</v>
      </c>
      <c r="E147" s="31" t="s">
        <v>39</v>
      </c>
      <c r="F147" s="31" t="s">
        <v>15</v>
      </c>
      <c r="G147" s="31" t="s">
        <v>28</v>
      </c>
      <c r="H147" s="32">
        <v>44073</v>
      </c>
      <c r="I147" s="31">
        <v>144739</v>
      </c>
      <c r="J147" s="33" t="s">
        <v>425</v>
      </c>
    </row>
    <row r="148" s="22" customFormat="1" spans="1:10">
      <c r="A148" s="26" t="s">
        <v>426</v>
      </c>
      <c r="B148" s="27" t="s">
        <v>427</v>
      </c>
      <c r="C148" s="27" t="s">
        <v>19</v>
      </c>
      <c r="D148" s="27" t="s">
        <v>32</v>
      </c>
      <c r="E148" s="27" t="s">
        <v>33</v>
      </c>
      <c r="F148" s="27" t="s">
        <v>15</v>
      </c>
      <c r="G148" s="27" t="s">
        <v>16</v>
      </c>
      <c r="H148" s="28">
        <v>45358</v>
      </c>
      <c r="I148" s="27">
        <v>66930</v>
      </c>
      <c r="J148" s="29" t="s">
        <v>89</v>
      </c>
    </row>
    <row r="149" s="22" customFormat="1" spans="1:10">
      <c r="A149" s="30" t="s">
        <v>428</v>
      </c>
      <c r="B149" s="31" t="s">
        <v>429</v>
      </c>
      <c r="C149" s="31" t="s">
        <v>12</v>
      </c>
      <c r="D149" s="31" t="s">
        <v>92</v>
      </c>
      <c r="E149" s="31" t="s">
        <v>93</v>
      </c>
      <c r="F149" s="31" t="s">
        <v>22</v>
      </c>
      <c r="G149" s="31" t="s">
        <v>34</v>
      </c>
      <c r="H149" s="32">
        <v>42759</v>
      </c>
      <c r="I149" s="31">
        <v>66367</v>
      </c>
      <c r="J149" s="33" t="s">
        <v>331</v>
      </c>
    </row>
    <row r="150" s="22" customFormat="1" spans="1:10">
      <c r="A150" s="26" t="s">
        <v>430</v>
      </c>
      <c r="B150" s="27" t="s">
        <v>431</v>
      </c>
      <c r="C150" s="27" t="s">
        <v>19</v>
      </c>
      <c r="D150" s="27" t="s">
        <v>38</v>
      </c>
      <c r="E150" s="27" t="s">
        <v>39</v>
      </c>
      <c r="F150" s="27" t="s">
        <v>15</v>
      </c>
      <c r="G150" s="27" t="s">
        <v>62</v>
      </c>
      <c r="H150" s="28">
        <v>43650</v>
      </c>
      <c r="I150" s="27">
        <v>125613</v>
      </c>
      <c r="J150" s="29" t="s">
        <v>78</v>
      </c>
    </row>
    <row r="151" s="22" customFormat="1" spans="1:10">
      <c r="A151" s="30" t="s">
        <v>376</v>
      </c>
      <c r="B151" s="31" t="s">
        <v>432</v>
      </c>
      <c r="C151" s="31" t="s">
        <v>19</v>
      </c>
      <c r="D151" s="31" t="s">
        <v>87</v>
      </c>
      <c r="E151" s="31" t="s">
        <v>111</v>
      </c>
      <c r="F151" s="31" t="s">
        <v>15</v>
      </c>
      <c r="G151" s="31" t="s">
        <v>34</v>
      </c>
      <c r="H151" s="32">
        <v>44118</v>
      </c>
      <c r="I151" s="31">
        <v>235298</v>
      </c>
      <c r="J151" s="33" t="s">
        <v>395</v>
      </c>
    </row>
    <row r="152" s="22" customFormat="1" spans="1:10">
      <c r="A152" s="26" t="s">
        <v>433</v>
      </c>
      <c r="B152" s="27" t="s">
        <v>434</v>
      </c>
      <c r="C152" s="27" t="s">
        <v>293</v>
      </c>
      <c r="D152" s="27" t="s">
        <v>20</v>
      </c>
      <c r="E152" s="27" t="s">
        <v>21</v>
      </c>
      <c r="F152" s="27" t="s">
        <v>15</v>
      </c>
      <c r="G152" s="27" t="s">
        <v>16</v>
      </c>
      <c r="H152" s="28">
        <v>43650</v>
      </c>
      <c r="I152" s="27">
        <v>90082</v>
      </c>
      <c r="J152" s="29" t="s">
        <v>435</v>
      </c>
    </row>
    <row r="153" s="22" customFormat="1" spans="1:10">
      <c r="A153" s="30" t="s">
        <v>436</v>
      </c>
      <c r="B153" s="31" t="s">
        <v>437</v>
      </c>
      <c r="C153" s="31" t="s">
        <v>12</v>
      </c>
      <c r="D153" s="31" t="s">
        <v>87</v>
      </c>
      <c r="E153" s="31" t="s">
        <v>111</v>
      </c>
      <c r="F153" s="31" t="s">
        <v>15</v>
      </c>
      <c r="G153" s="31" t="s">
        <v>62</v>
      </c>
      <c r="H153" s="32">
        <v>45094</v>
      </c>
      <c r="I153" s="31">
        <v>229275</v>
      </c>
      <c r="J153" s="33" t="s">
        <v>331</v>
      </c>
    </row>
    <row r="154" s="22" customFormat="1" spans="1:10">
      <c r="A154" s="26" t="s">
        <v>438</v>
      </c>
      <c r="B154" s="27" t="s">
        <v>439</v>
      </c>
      <c r="C154" s="27" t="s">
        <v>19</v>
      </c>
      <c r="D154" s="27" t="s">
        <v>38</v>
      </c>
      <c r="E154" s="27" t="s">
        <v>44</v>
      </c>
      <c r="F154" s="27" t="s">
        <v>15</v>
      </c>
      <c r="G154" s="27" t="s">
        <v>40</v>
      </c>
      <c r="H154" s="28">
        <v>43414</v>
      </c>
      <c r="I154" s="27">
        <v>122342</v>
      </c>
      <c r="J154" s="29" t="s">
        <v>440</v>
      </c>
    </row>
    <row r="155" s="22" customFormat="1" spans="1:10">
      <c r="A155" s="30" t="s">
        <v>441</v>
      </c>
      <c r="B155" s="31" t="s">
        <v>442</v>
      </c>
      <c r="C155" s="31" t="s">
        <v>19</v>
      </c>
      <c r="D155" s="31" t="s">
        <v>92</v>
      </c>
      <c r="E155" s="31" t="s">
        <v>93</v>
      </c>
      <c r="F155" s="31" t="s">
        <v>15</v>
      </c>
      <c r="G155" s="31" t="s">
        <v>34</v>
      </c>
      <c r="H155" s="32">
        <v>43903</v>
      </c>
      <c r="I155" s="31">
        <v>153272</v>
      </c>
      <c r="J155" s="33" t="s">
        <v>68</v>
      </c>
    </row>
    <row r="156" s="22" customFormat="1" spans="1:10">
      <c r="A156" s="26" t="s">
        <v>443</v>
      </c>
      <c r="B156" s="27" t="s">
        <v>424</v>
      </c>
      <c r="C156" s="27" t="s">
        <v>19</v>
      </c>
      <c r="D156" s="27" t="s">
        <v>20</v>
      </c>
      <c r="E156" s="27" t="s">
        <v>21</v>
      </c>
      <c r="F156" s="27" t="s">
        <v>22</v>
      </c>
      <c r="G156" s="27" t="s">
        <v>94</v>
      </c>
      <c r="H156" s="28">
        <v>42995</v>
      </c>
      <c r="I156" s="27">
        <v>76212</v>
      </c>
      <c r="J156" s="29" t="s">
        <v>386</v>
      </c>
    </row>
    <row r="157" s="22" customFormat="1" spans="1:10">
      <c r="A157" s="30" t="s">
        <v>356</v>
      </c>
      <c r="B157" s="31" t="s">
        <v>444</v>
      </c>
      <c r="C157" s="31" t="s">
        <v>19</v>
      </c>
      <c r="D157" s="31" t="s">
        <v>87</v>
      </c>
      <c r="E157" s="31" t="s">
        <v>349</v>
      </c>
      <c r="F157" s="31" t="s">
        <v>15</v>
      </c>
      <c r="G157" s="31" t="s">
        <v>28</v>
      </c>
      <c r="H157" s="32">
        <v>45183</v>
      </c>
      <c r="I157" s="31">
        <v>204194</v>
      </c>
      <c r="J157" s="33" t="s">
        <v>179</v>
      </c>
    </row>
    <row r="158" s="22" customFormat="1" spans="1:10">
      <c r="A158" s="26" t="s">
        <v>445</v>
      </c>
      <c r="B158" s="27" t="s">
        <v>446</v>
      </c>
      <c r="C158" s="27" t="s">
        <v>19</v>
      </c>
      <c r="D158" s="27" t="s">
        <v>26</v>
      </c>
      <c r="E158" s="27" t="s">
        <v>162</v>
      </c>
      <c r="F158" s="27" t="s">
        <v>15</v>
      </c>
      <c r="G158" s="27" t="s">
        <v>62</v>
      </c>
      <c r="H158" s="28">
        <v>44312</v>
      </c>
      <c r="I158" s="27">
        <v>163259</v>
      </c>
      <c r="J158" s="29"/>
    </row>
    <row r="159" s="22" customFormat="1" spans="1:10">
      <c r="A159" s="30" t="s">
        <v>447</v>
      </c>
      <c r="B159" s="31" t="s">
        <v>448</v>
      </c>
      <c r="C159" s="31" t="s">
        <v>12</v>
      </c>
      <c r="D159" s="31" t="s">
        <v>26</v>
      </c>
      <c r="E159" s="31" t="s">
        <v>27</v>
      </c>
      <c r="F159" s="31" t="s">
        <v>15</v>
      </c>
      <c r="G159" s="31" t="s">
        <v>16</v>
      </c>
      <c r="H159" s="32">
        <v>42644</v>
      </c>
      <c r="I159" s="31">
        <v>191622</v>
      </c>
      <c r="J159" s="33" t="s">
        <v>449</v>
      </c>
    </row>
    <row r="160" s="22" customFormat="1" spans="1:10">
      <c r="A160" s="26" t="s">
        <v>250</v>
      </c>
      <c r="B160" s="27" t="s">
        <v>450</v>
      </c>
      <c r="C160" s="27" t="s">
        <v>19</v>
      </c>
      <c r="D160" s="27" t="s">
        <v>87</v>
      </c>
      <c r="E160" s="27" t="s">
        <v>111</v>
      </c>
      <c r="F160" s="27" t="s">
        <v>15</v>
      </c>
      <c r="G160" s="27" t="s">
        <v>28</v>
      </c>
      <c r="H160" s="28">
        <v>42743</v>
      </c>
      <c r="I160" s="27">
        <v>254146</v>
      </c>
      <c r="J160" s="29" t="s">
        <v>272</v>
      </c>
    </row>
    <row r="161" s="22" customFormat="1" spans="1:10">
      <c r="A161" s="30" t="s">
        <v>451</v>
      </c>
      <c r="B161" s="31" t="s">
        <v>452</v>
      </c>
      <c r="C161" s="31" t="s">
        <v>19</v>
      </c>
      <c r="D161" s="31" t="s">
        <v>26</v>
      </c>
      <c r="E161" s="31" t="s">
        <v>162</v>
      </c>
      <c r="F161" s="31" t="s">
        <v>15</v>
      </c>
      <c r="G161" s="31" t="s">
        <v>28</v>
      </c>
      <c r="H161" s="32">
        <v>45776</v>
      </c>
      <c r="I161" s="31">
        <v>114415</v>
      </c>
      <c r="J161" s="33" t="s">
        <v>89</v>
      </c>
    </row>
    <row r="162" s="22" customFormat="1" spans="1:10">
      <c r="A162" s="26" t="s">
        <v>121</v>
      </c>
      <c r="B162" s="27" t="s">
        <v>453</v>
      </c>
      <c r="C162" s="27" t="s">
        <v>19</v>
      </c>
      <c r="D162" s="27" t="s">
        <v>13</v>
      </c>
      <c r="E162" s="27" t="s">
        <v>98</v>
      </c>
      <c r="F162" s="27" t="s">
        <v>15</v>
      </c>
      <c r="G162" s="27" t="s">
        <v>40</v>
      </c>
      <c r="H162" s="28">
        <v>42719</v>
      </c>
      <c r="I162" s="27">
        <v>190248</v>
      </c>
      <c r="J162" s="29" t="s">
        <v>336</v>
      </c>
    </row>
    <row r="163" s="22" customFormat="1" spans="1:10">
      <c r="A163" s="30" t="s">
        <v>454</v>
      </c>
      <c r="B163" s="31" t="s">
        <v>455</v>
      </c>
      <c r="C163" s="31" t="s">
        <v>12</v>
      </c>
      <c r="D163" s="31" t="s">
        <v>32</v>
      </c>
      <c r="E163" s="31" t="s">
        <v>57</v>
      </c>
      <c r="F163" s="31" t="s">
        <v>15</v>
      </c>
      <c r="G163" s="31" t="s">
        <v>34</v>
      </c>
      <c r="H163" s="32">
        <v>42751</v>
      </c>
      <c r="I163" s="31">
        <v>60029</v>
      </c>
      <c r="J163" s="33" t="s">
        <v>456</v>
      </c>
    </row>
    <row r="164" s="22" customFormat="1" spans="1:10">
      <c r="A164" s="26" t="s">
        <v>457</v>
      </c>
      <c r="B164" s="27" t="s">
        <v>458</v>
      </c>
      <c r="C164" s="27" t="s">
        <v>19</v>
      </c>
      <c r="D164" s="27" t="s">
        <v>32</v>
      </c>
      <c r="E164" s="27" t="s">
        <v>130</v>
      </c>
      <c r="F164" s="27" t="s">
        <v>15</v>
      </c>
      <c r="G164" s="27" t="s">
        <v>62</v>
      </c>
      <c r="H164" s="28">
        <v>44138</v>
      </c>
      <c r="I164" s="27">
        <v>132352</v>
      </c>
      <c r="J164" s="29" t="s">
        <v>459</v>
      </c>
    </row>
    <row r="165" s="22" customFormat="1" spans="1:10">
      <c r="A165" s="30" t="s">
        <v>460</v>
      </c>
      <c r="B165" s="31" t="s">
        <v>461</v>
      </c>
      <c r="C165" s="31" t="s">
        <v>12</v>
      </c>
      <c r="D165" s="31" t="s">
        <v>92</v>
      </c>
      <c r="E165" s="31" t="s">
        <v>126</v>
      </c>
      <c r="F165" s="31" t="s">
        <v>48</v>
      </c>
      <c r="G165" s="31" t="s">
        <v>28</v>
      </c>
      <c r="H165" s="32">
        <v>42765</v>
      </c>
      <c r="I165" s="31">
        <v>172506</v>
      </c>
      <c r="J165" s="33" t="s">
        <v>436</v>
      </c>
    </row>
    <row r="166" s="22" customFormat="1" spans="1:10">
      <c r="A166" s="26" t="s">
        <v>462</v>
      </c>
      <c r="B166" s="27" t="s">
        <v>463</v>
      </c>
      <c r="C166" s="27" t="s">
        <v>12</v>
      </c>
      <c r="D166" s="27" t="s">
        <v>38</v>
      </c>
      <c r="E166" s="27" t="s">
        <v>77</v>
      </c>
      <c r="F166" s="27" t="s">
        <v>15</v>
      </c>
      <c r="G166" s="27" t="s">
        <v>62</v>
      </c>
      <c r="H166" s="28">
        <v>45419</v>
      </c>
      <c r="I166" s="27">
        <v>112641</v>
      </c>
      <c r="J166" s="29" t="s">
        <v>464</v>
      </c>
    </row>
    <row r="167" s="22" customFormat="1" spans="1:10">
      <c r="A167" s="30" t="s">
        <v>465</v>
      </c>
      <c r="B167" s="31" t="s">
        <v>466</v>
      </c>
      <c r="C167" s="31" t="s">
        <v>19</v>
      </c>
      <c r="D167" s="31" t="s">
        <v>52</v>
      </c>
      <c r="E167" s="31" t="s">
        <v>53</v>
      </c>
      <c r="F167" s="31" t="s">
        <v>15</v>
      </c>
      <c r="G167" s="31" t="s">
        <v>94</v>
      </c>
      <c r="H167" s="32">
        <v>45396</v>
      </c>
      <c r="I167" s="31">
        <v>98319</v>
      </c>
      <c r="J167" s="33" t="s">
        <v>467</v>
      </c>
    </row>
    <row r="168" s="22" customFormat="1" spans="1:10">
      <c r="A168" s="26" t="s">
        <v>468</v>
      </c>
      <c r="B168" s="27" t="s">
        <v>469</v>
      </c>
      <c r="C168" s="27" t="s">
        <v>19</v>
      </c>
      <c r="D168" s="27" t="s">
        <v>13</v>
      </c>
      <c r="E168" s="27" t="s">
        <v>98</v>
      </c>
      <c r="F168" s="27" t="s">
        <v>15</v>
      </c>
      <c r="G168" s="27" t="s">
        <v>40</v>
      </c>
      <c r="H168" s="28">
        <v>43896</v>
      </c>
      <c r="I168" s="27">
        <v>184159</v>
      </c>
      <c r="J168" s="29" t="s">
        <v>141</v>
      </c>
    </row>
    <row r="169" s="22" customFormat="1" spans="1:10">
      <c r="A169" s="30" t="s">
        <v>470</v>
      </c>
      <c r="B169" s="31" t="s">
        <v>302</v>
      </c>
      <c r="C169" s="31" t="s">
        <v>12</v>
      </c>
      <c r="D169" s="31" t="s">
        <v>38</v>
      </c>
      <c r="E169" s="31" t="s">
        <v>140</v>
      </c>
      <c r="F169" s="31" t="s">
        <v>48</v>
      </c>
      <c r="G169" s="31" t="s">
        <v>62</v>
      </c>
      <c r="H169" s="32">
        <v>45695</v>
      </c>
      <c r="I169" s="31">
        <v>176571</v>
      </c>
      <c r="J169" s="33" t="s">
        <v>471</v>
      </c>
    </row>
    <row r="170" s="22" customFormat="1" spans="1:10">
      <c r="A170" s="26" t="s">
        <v>472</v>
      </c>
      <c r="B170" s="27" t="s">
        <v>473</v>
      </c>
      <c r="C170" s="27" t="s">
        <v>19</v>
      </c>
      <c r="D170" s="27" t="s">
        <v>38</v>
      </c>
      <c r="E170" s="27" t="s">
        <v>77</v>
      </c>
      <c r="F170" s="27" t="s">
        <v>15</v>
      </c>
      <c r="G170" s="27" t="s">
        <v>94</v>
      </c>
      <c r="H170" s="28">
        <v>42902</v>
      </c>
      <c r="I170" s="27">
        <v>109974</v>
      </c>
      <c r="J170" s="29"/>
    </row>
    <row r="171" s="22" customFormat="1" spans="1:10">
      <c r="A171" s="30" t="s">
        <v>474</v>
      </c>
      <c r="B171" s="31" t="s">
        <v>475</v>
      </c>
      <c r="C171" s="31" t="s">
        <v>19</v>
      </c>
      <c r="D171" s="31" t="s">
        <v>32</v>
      </c>
      <c r="E171" s="31" t="s">
        <v>130</v>
      </c>
      <c r="F171" s="31" t="s">
        <v>15</v>
      </c>
      <c r="G171" s="31" t="s">
        <v>62</v>
      </c>
      <c r="H171" s="32">
        <v>44648</v>
      </c>
      <c r="I171" s="31">
        <v>63596</v>
      </c>
      <c r="J171" s="33" t="s">
        <v>476</v>
      </c>
    </row>
    <row r="172" s="22" customFormat="1" spans="1:10">
      <c r="A172" s="26" t="s">
        <v>477</v>
      </c>
      <c r="B172" s="27" t="s">
        <v>478</v>
      </c>
      <c r="C172" s="27" t="s">
        <v>12</v>
      </c>
      <c r="D172" s="27" t="s">
        <v>26</v>
      </c>
      <c r="E172" s="27" t="s">
        <v>294</v>
      </c>
      <c r="F172" s="27" t="s">
        <v>15</v>
      </c>
      <c r="G172" s="27" t="s">
        <v>94</v>
      </c>
      <c r="H172" s="28">
        <v>42615</v>
      </c>
      <c r="I172" s="27">
        <v>164223</v>
      </c>
      <c r="J172" s="29" t="s">
        <v>476</v>
      </c>
    </row>
    <row r="173" s="22" customFormat="1" spans="1:10">
      <c r="A173" s="30" t="s">
        <v>288</v>
      </c>
      <c r="B173" s="31" t="s">
        <v>479</v>
      </c>
      <c r="C173" s="31" t="s">
        <v>12</v>
      </c>
      <c r="D173" s="31" t="s">
        <v>38</v>
      </c>
      <c r="E173" s="31" t="s">
        <v>84</v>
      </c>
      <c r="F173" s="31" t="s">
        <v>15</v>
      </c>
      <c r="G173" s="31" t="s">
        <v>34</v>
      </c>
      <c r="H173" s="32">
        <v>44772</v>
      </c>
      <c r="I173" s="31">
        <v>197542</v>
      </c>
      <c r="J173" s="33"/>
    </row>
    <row r="174" s="22" customFormat="1" spans="1:10">
      <c r="A174" s="26" t="s">
        <v>480</v>
      </c>
      <c r="B174" s="27" t="s">
        <v>481</v>
      </c>
      <c r="C174" s="27" t="s">
        <v>19</v>
      </c>
      <c r="D174" s="27" t="s">
        <v>92</v>
      </c>
      <c r="E174" s="27" t="s">
        <v>93</v>
      </c>
      <c r="F174" s="27" t="s">
        <v>15</v>
      </c>
      <c r="G174" s="27" t="s">
        <v>94</v>
      </c>
      <c r="H174" s="28">
        <v>44670</v>
      </c>
      <c r="I174" s="27">
        <v>124487</v>
      </c>
      <c r="J174" s="29" t="s">
        <v>482</v>
      </c>
    </row>
    <row r="175" s="22" customFormat="1" spans="1:10">
      <c r="A175" s="30" t="s">
        <v>483</v>
      </c>
      <c r="B175" s="31" t="s">
        <v>484</v>
      </c>
      <c r="C175" s="31" t="s">
        <v>12</v>
      </c>
      <c r="D175" s="31" t="s">
        <v>87</v>
      </c>
      <c r="E175" s="31" t="s">
        <v>88</v>
      </c>
      <c r="F175" s="31" t="s">
        <v>15</v>
      </c>
      <c r="G175" s="31" t="s">
        <v>34</v>
      </c>
      <c r="H175" s="32">
        <v>44670</v>
      </c>
      <c r="I175" s="31">
        <v>170924</v>
      </c>
      <c r="J175" s="33"/>
    </row>
    <row r="176" s="22" customFormat="1" spans="1:10">
      <c r="A176" s="26" t="s">
        <v>485</v>
      </c>
      <c r="B176" s="27" t="s">
        <v>486</v>
      </c>
      <c r="C176" s="27" t="s">
        <v>12</v>
      </c>
      <c r="D176" s="27" t="s">
        <v>32</v>
      </c>
      <c r="E176" s="27" t="s">
        <v>33</v>
      </c>
      <c r="F176" s="27" t="s">
        <v>15</v>
      </c>
      <c r="G176" s="27" t="s">
        <v>16</v>
      </c>
      <c r="H176" s="28">
        <v>43720</v>
      </c>
      <c r="I176" s="27">
        <v>89719</v>
      </c>
      <c r="J176" s="29" t="s">
        <v>347</v>
      </c>
    </row>
    <row r="177" s="22" customFormat="1" spans="1:10">
      <c r="A177" s="30" t="s">
        <v>487</v>
      </c>
      <c r="B177" s="31" t="s">
        <v>488</v>
      </c>
      <c r="C177" s="31" t="s">
        <v>19</v>
      </c>
      <c r="D177" s="31" t="s">
        <v>38</v>
      </c>
      <c r="E177" s="31" t="s">
        <v>140</v>
      </c>
      <c r="F177" s="31" t="s">
        <v>48</v>
      </c>
      <c r="G177" s="31" t="s">
        <v>62</v>
      </c>
      <c r="H177" s="32">
        <v>45114</v>
      </c>
      <c r="I177" s="31">
        <v>143847</v>
      </c>
      <c r="J177" s="33" t="s">
        <v>412</v>
      </c>
    </row>
    <row r="178" s="22" customFormat="1" spans="1:10">
      <c r="A178" s="26" t="s">
        <v>489</v>
      </c>
      <c r="B178" s="27" t="s">
        <v>228</v>
      </c>
      <c r="C178" s="27" t="s">
        <v>19</v>
      </c>
      <c r="D178" s="27" t="s">
        <v>26</v>
      </c>
      <c r="E178" s="27" t="s">
        <v>294</v>
      </c>
      <c r="F178" s="27" t="s">
        <v>48</v>
      </c>
      <c r="G178" s="27" t="s">
        <v>28</v>
      </c>
      <c r="H178" s="28">
        <v>42870</v>
      </c>
      <c r="I178" s="27">
        <v>129577</v>
      </c>
      <c r="J178" s="29" t="s">
        <v>490</v>
      </c>
    </row>
    <row r="179" s="22" customFormat="1" spans="1:10">
      <c r="A179" s="30" t="s">
        <v>491</v>
      </c>
      <c r="B179" s="31" t="s">
        <v>492</v>
      </c>
      <c r="C179" s="31" t="s">
        <v>19</v>
      </c>
      <c r="D179" s="31" t="s">
        <v>13</v>
      </c>
      <c r="E179" s="31" t="s">
        <v>14</v>
      </c>
      <c r="F179" s="31" t="s">
        <v>15</v>
      </c>
      <c r="G179" s="31" t="s">
        <v>16</v>
      </c>
      <c r="H179" s="32">
        <v>44052</v>
      </c>
      <c r="I179" s="31">
        <v>154566</v>
      </c>
      <c r="J179" s="33" t="s">
        <v>493</v>
      </c>
    </row>
    <row r="180" s="22" customFormat="1" spans="1:10">
      <c r="A180" s="26" t="s">
        <v>243</v>
      </c>
      <c r="B180" s="27" t="s">
        <v>214</v>
      </c>
      <c r="C180" s="27" t="s">
        <v>19</v>
      </c>
      <c r="D180" s="27" t="s">
        <v>20</v>
      </c>
      <c r="E180" s="27" t="s">
        <v>70</v>
      </c>
      <c r="F180" s="27" t="s">
        <v>15</v>
      </c>
      <c r="G180" s="27" t="s">
        <v>62</v>
      </c>
      <c r="H180" s="28">
        <v>43818</v>
      </c>
      <c r="I180" s="27">
        <v>168895</v>
      </c>
      <c r="J180" s="29" t="s">
        <v>494</v>
      </c>
    </row>
    <row r="181" s="22" customFormat="1" spans="1:10">
      <c r="A181" s="30" t="s">
        <v>495</v>
      </c>
      <c r="B181" s="31" t="s">
        <v>422</v>
      </c>
      <c r="C181" s="31" t="s">
        <v>19</v>
      </c>
      <c r="D181" s="31" t="s">
        <v>38</v>
      </c>
      <c r="E181" s="31" t="s">
        <v>140</v>
      </c>
      <c r="F181" s="31" t="s">
        <v>15</v>
      </c>
      <c r="G181" s="31" t="s">
        <v>40</v>
      </c>
      <c r="H181" s="32">
        <v>45095</v>
      </c>
      <c r="I181" s="31">
        <v>193255</v>
      </c>
      <c r="J181" s="33" t="s">
        <v>347</v>
      </c>
    </row>
    <row r="182" s="22" customFormat="1" spans="1:10">
      <c r="A182" s="26" t="s">
        <v>467</v>
      </c>
      <c r="B182" s="27" t="s">
        <v>364</v>
      </c>
      <c r="C182" s="27" t="s">
        <v>12</v>
      </c>
      <c r="D182" s="27" t="s">
        <v>13</v>
      </c>
      <c r="E182" s="27" t="s">
        <v>98</v>
      </c>
      <c r="F182" s="27" t="s">
        <v>15</v>
      </c>
      <c r="G182" s="27" t="s">
        <v>34</v>
      </c>
      <c r="H182" s="28">
        <v>45443</v>
      </c>
      <c r="I182" s="27">
        <v>195037</v>
      </c>
      <c r="J182" s="29" t="s">
        <v>274</v>
      </c>
    </row>
    <row r="183" s="22" customFormat="1" spans="1:10">
      <c r="A183" s="30" t="s">
        <v>496</v>
      </c>
      <c r="B183" s="31" t="s">
        <v>192</v>
      </c>
      <c r="C183" s="31" t="s">
        <v>12</v>
      </c>
      <c r="D183" s="31" t="s">
        <v>38</v>
      </c>
      <c r="E183" s="31" t="s">
        <v>66</v>
      </c>
      <c r="F183" s="31" t="s">
        <v>15</v>
      </c>
      <c r="G183" s="31" t="s">
        <v>62</v>
      </c>
      <c r="H183" s="32">
        <v>44102</v>
      </c>
      <c r="I183" s="31">
        <v>149426</v>
      </c>
      <c r="J183" s="33" t="s">
        <v>41</v>
      </c>
    </row>
    <row r="184" s="22" customFormat="1" spans="1:10">
      <c r="A184" s="26" t="s">
        <v>497</v>
      </c>
      <c r="B184" s="27" t="s">
        <v>498</v>
      </c>
      <c r="C184" s="27" t="s">
        <v>146</v>
      </c>
      <c r="D184" s="27" t="s">
        <v>20</v>
      </c>
      <c r="E184" s="27" t="s">
        <v>21</v>
      </c>
      <c r="F184" s="27" t="s">
        <v>15</v>
      </c>
      <c r="G184" s="27" t="s">
        <v>34</v>
      </c>
      <c r="H184" s="28">
        <v>45323</v>
      </c>
      <c r="I184" s="27">
        <v>99935</v>
      </c>
      <c r="J184" s="29" t="s">
        <v>499</v>
      </c>
    </row>
    <row r="185" s="22" customFormat="1" spans="1:10">
      <c r="A185" s="30" t="s">
        <v>220</v>
      </c>
      <c r="B185" s="31" t="s">
        <v>500</v>
      </c>
      <c r="C185" s="31" t="s">
        <v>19</v>
      </c>
      <c r="D185" s="31" t="s">
        <v>52</v>
      </c>
      <c r="E185" s="31" t="s">
        <v>53</v>
      </c>
      <c r="F185" s="31" t="s">
        <v>15</v>
      </c>
      <c r="G185" s="31" t="s">
        <v>28</v>
      </c>
      <c r="H185" s="32">
        <v>42580</v>
      </c>
      <c r="I185" s="31">
        <v>191513</v>
      </c>
      <c r="J185" s="33" t="s">
        <v>501</v>
      </c>
    </row>
    <row r="186" s="22" customFormat="1" spans="1:10">
      <c r="A186" s="26" t="s">
        <v>502</v>
      </c>
      <c r="B186" s="27" t="s">
        <v>503</v>
      </c>
      <c r="C186" s="27" t="s">
        <v>19</v>
      </c>
      <c r="D186" s="27" t="s">
        <v>87</v>
      </c>
      <c r="E186" s="27" t="s">
        <v>88</v>
      </c>
      <c r="F186" s="27" t="s">
        <v>15</v>
      </c>
      <c r="G186" s="27" t="s">
        <v>28</v>
      </c>
      <c r="H186" s="28">
        <v>43548</v>
      </c>
      <c r="I186" s="27">
        <v>147331</v>
      </c>
      <c r="J186" s="29" t="s">
        <v>256</v>
      </c>
    </row>
    <row r="187" s="22" customFormat="1" spans="1:10">
      <c r="A187" s="30" t="s">
        <v>178</v>
      </c>
      <c r="B187" s="31" t="s">
        <v>504</v>
      </c>
      <c r="C187" s="31" t="s">
        <v>19</v>
      </c>
      <c r="D187" s="31" t="s">
        <v>32</v>
      </c>
      <c r="E187" s="31" t="s">
        <v>208</v>
      </c>
      <c r="F187" s="31" t="s">
        <v>15</v>
      </c>
      <c r="G187" s="31" t="s">
        <v>28</v>
      </c>
      <c r="H187" s="32">
        <v>44829</v>
      </c>
      <c r="I187" s="31">
        <v>186702</v>
      </c>
      <c r="J187" s="33" t="s">
        <v>285</v>
      </c>
    </row>
    <row r="188" s="22" customFormat="1" spans="1:10">
      <c r="A188" s="26" t="s">
        <v>505</v>
      </c>
      <c r="B188" s="27" t="s">
        <v>506</v>
      </c>
      <c r="C188" s="27" t="s">
        <v>12</v>
      </c>
      <c r="D188" s="27" t="s">
        <v>52</v>
      </c>
      <c r="E188" s="27" t="s">
        <v>120</v>
      </c>
      <c r="F188" s="27" t="s">
        <v>48</v>
      </c>
      <c r="G188" s="27" t="s">
        <v>40</v>
      </c>
      <c r="H188" s="28">
        <v>43649</v>
      </c>
      <c r="I188" s="27">
        <v>76155</v>
      </c>
      <c r="J188" s="29" t="s">
        <v>507</v>
      </c>
    </row>
    <row r="189" s="22" customFormat="1" spans="1:10">
      <c r="A189" s="30" t="s">
        <v>508</v>
      </c>
      <c r="B189" s="31" t="s">
        <v>509</v>
      </c>
      <c r="C189" s="31" t="s">
        <v>19</v>
      </c>
      <c r="D189" s="31" t="s">
        <v>92</v>
      </c>
      <c r="E189" s="31" t="s">
        <v>189</v>
      </c>
      <c r="F189" s="31" t="s">
        <v>15</v>
      </c>
      <c r="G189" s="31" t="s">
        <v>94</v>
      </c>
      <c r="H189" s="32">
        <v>43810</v>
      </c>
      <c r="I189" s="31">
        <v>83898</v>
      </c>
      <c r="J189" s="33" t="s">
        <v>322</v>
      </c>
    </row>
    <row r="190" s="22" customFormat="1" spans="1:10">
      <c r="A190" s="26" t="s">
        <v>510</v>
      </c>
      <c r="B190" s="27" t="s">
        <v>353</v>
      </c>
      <c r="C190" s="27" t="s">
        <v>19</v>
      </c>
      <c r="D190" s="27" t="s">
        <v>92</v>
      </c>
      <c r="E190" s="27" t="s">
        <v>391</v>
      </c>
      <c r="F190" s="27" t="s">
        <v>15</v>
      </c>
      <c r="G190" s="27" t="s">
        <v>28</v>
      </c>
      <c r="H190" s="28">
        <v>42794</v>
      </c>
      <c r="I190" s="27">
        <v>80935</v>
      </c>
      <c r="J190" s="29" t="s">
        <v>95</v>
      </c>
    </row>
    <row r="191" s="22" customFormat="1" spans="1:10">
      <c r="A191" s="30" t="s">
        <v>108</v>
      </c>
      <c r="B191" s="31" t="s">
        <v>511</v>
      </c>
      <c r="C191" s="31" t="s">
        <v>19</v>
      </c>
      <c r="D191" s="31" t="s">
        <v>87</v>
      </c>
      <c r="E191" s="31" t="s">
        <v>349</v>
      </c>
      <c r="F191" s="31" t="s">
        <v>15</v>
      </c>
      <c r="G191" s="31" t="s">
        <v>16</v>
      </c>
      <c r="H191" s="32">
        <v>44737</v>
      </c>
      <c r="I191" s="31">
        <v>184157</v>
      </c>
      <c r="J191" s="33" t="s">
        <v>512</v>
      </c>
    </row>
    <row r="192" s="22" customFormat="1" spans="1:10">
      <c r="A192" s="26" t="s">
        <v>513</v>
      </c>
      <c r="B192" s="27" t="s">
        <v>514</v>
      </c>
      <c r="C192" s="27" t="s">
        <v>19</v>
      </c>
      <c r="D192" s="27" t="s">
        <v>38</v>
      </c>
      <c r="E192" s="27" t="s">
        <v>77</v>
      </c>
      <c r="F192" s="27" t="s">
        <v>15</v>
      </c>
      <c r="G192" s="27" t="s">
        <v>40</v>
      </c>
      <c r="H192" s="28">
        <v>44448</v>
      </c>
      <c r="I192" s="27">
        <v>174728</v>
      </c>
      <c r="J192" s="29" t="s">
        <v>148</v>
      </c>
    </row>
    <row r="193" s="22" customFormat="1" spans="1:10">
      <c r="A193" s="30" t="s">
        <v>515</v>
      </c>
      <c r="B193" s="31" t="s">
        <v>516</v>
      </c>
      <c r="C193" s="31" t="s">
        <v>19</v>
      </c>
      <c r="D193" s="31" t="s">
        <v>52</v>
      </c>
      <c r="E193" s="31" t="s">
        <v>120</v>
      </c>
      <c r="F193" s="31" t="s">
        <v>15</v>
      </c>
      <c r="G193" s="31" t="s">
        <v>94</v>
      </c>
      <c r="H193" s="32">
        <v>43241</v>
      </c>
      <c r="I193" s="31">
        <v>161761</v>
      </c>
      <c r="J193" s="33" t="s">
        <v>226</v>
      </c>
    </row>
    <row r="194" s="22" customFormat="1" spans="1:10">
      <c r="A194" s="26" t="s">
        <v>517</v>
      </c>
      <c r="B194" s="27" t="s">
        <v>518</v>
      </c>
      <c r="C194" s="27" t="s">
        <v>19</v>
      </c>
      <c r="D194" s="27" t="s">
        <v>20</v>
      </c>
      <c r="E194" s="27" t="s">
        <v>147</v>
      </c>
      <c r="F194" s="27" t="s">
        <v>15</v>
      </c>
      <c r="G194" s="27" t="s">
        <v>62</v>
      </c>
      <c r="H194" s="28">
        <v>43003</v>
      </c>
      <c r="I194" s="27">
        <v>101902</v>
      </c>
      <c r="J194" s="29" t="s">
        <v>277</v>
      </c>
    </row>
    <row r="195" s="22" customFormat="1" spans="1:10">
      <c r="A195" s="30" t="s">
        <v>519</v>
      </c>
      <c r="B195" s="31" t="s">
        <v>65</v>
      </c>
      <c r="C195" s="31" t="s">
        <v>12</v>
      </c>
      <c r="D195" s="31" t="s">
        <v>32</v>
      </c>
      <c r="E195" s="31" t="s">
        <v>33</v>
      </c>
      <c r="F195" s="31" t="s">
        <v>15</v>
      </c>
      <c r="G195" s="31" t="s">
        <v>34</v>
      </c>
      <c r="H195" s="32">
        <v>45059</v>
      </c>
      <c r="I195" s="31">
        <v>71442</v>
      </c>
      <c r="J195" s="33" t="s">
        <v>332</v>
      </c>
    </row>
    <row r="196" s="22" customFormat="1" spans="1:10">
      <c r="A196" s="26" t="s">
        <v>520</v>
      </c>
      <c r="B196" s="27" t="s">
        <v>521</v>
      </c>
      <c r="C196" s="27" t="s">
        <v>19</v>
      </c>
      <c r="D196" s="27" t="s">
        <v>13</v>
      </c>
      <c r="E196" s="27" t="s">
        <v>14</v>
      </c>
      <c r="F196" s="27" t="s">
        <v>15</v>
      </c>
      <c r="G196" s="27" t="s">
        <v>40</v>
      </c>
      <c r="H196" s="28">
        <v>44345</v>
      </c>
      <c r="I196" s="27">
        <v>56829</v>
      </c>
      <c r="J196" s="29" t="s">
        <v>67</v>
      </c>
    </row>
    <row r="197" s="22" customFormat="1" spans="1:10">
      <c r="A197" s="30" t="s">
        <v>303</v>
      </c>
      <c r="B197" s="31" t="s">
        <v>522</v>
      </c>
      <c r="C197" s="31" t="s">
        <v>12</v>
      </c>
      <c r="D197" s="31" t="s">
        <v>13</v>
      </c>
      <c r="E197" s="31" t="s">
        <v>98</v>
      </c>
      <c r="F197" s="31" t="s">
        <v>15</v>
      </c>
      <c r="G197" s="31" t="s">
        <v>28</v>
      </c>
      <c r="H197" s="32">
        <v>43288</v>
      </c>
      <c r="I197" s="31">
        <v>107371</v>
      </c>
      <c r="J197" s="33"/>
    </row>
    <row r="198" s="22" customFormat="1" spans="1:10">
      <c r="A198" s="26" t="s">
        <v>309</v>
      </c>
      <c r="B198" s="27" t="s">
        <v>523</v>
      </c>
      <c r="C198" s="27" t="s">
        <v>12</v>
      </c>
      <c r="D198" s="27" t="s">
        <v>26</v>
      </c>
      <c r="E198" s="27" t="s">
        <v>27</v>
      </c>
      <c r="F198" s="27" t="s">
        <v>15</v>
      </c>
      <c r="G198" s="27" t="s">
        <v>16</v>
      </c>
      <c r="H198" s="28">
        <v>45840</v>
      </c>
      <c r="I198" s="27">
        <v>225835</v>
      </c>
      <c r="J198" s="29" t="s">
        <v>369</v>
      </c>
    </row>
    <row r="199" s="22" customFormat="1" spans="1:10">
      <c r="A199" s="30" t="s">
        <v>507</v>
      </c>
      <c r="B199" s="31" t="s">
        <v>524</v>
      </c>
      <c r="C199" s="31" t="s">
        <v>19</v>
      </c>
      <c r="D199" s="31" t="s">
        <v>52</v>
      </c>
      <c r="E199" s="31" t="s">
        <v>53</v>
      </c>
      <c r="F199" s="31" t="s">
        <v>15</v>
      </c>
      <c r="G199" s="31" t="s">
        <v>40</v>
      </c>
      <c r="H199" s="32">
        <v>42813</v>
      </c>
      <c r="I199" s="31">
        <v>163677</v>
      </c>
      <c r="J199" s="33" t="s">
        <v>449</v>
      </c>
    </row>
    <row r="200" s="22" customFormat="1" spans="1:10">
      <c r="A200" s="26" t="s">
        <v>525</v>
      </c>
      <c r="B200" s="27" t="s">
        <v>434</v>
      </c>
      <c r="C200" s="27" t="s">
        <v>293</v>
      </c>
      <c r="D200" s="27" t="s">
        <v>52</v>
      </c>
      <c r="E200" s="27" t="s">
        <v>53</v>
      </c>
      <c r="F200" s="27" t="s">
        <v>22</v>
      </c>
      <c r="G200" s="27" t="s">
        <v>28</v>
      </c>
      <c r="H200" s="28">
        <v>43804</v>
      </c>
      <c r="I200" s="27">
        <v>81456</v>
      </c>
      <c r="J200" s="29" t="s">
        <v>102</v>
      </c>
    </row>
    <row r="201" s="22" customFormat="1" spans="1:10">
      <c r="A201" s="30" t="s">
        <v>526</v>
      </c>
      <c r="B201" s="31" t="s">
        <v>60</v>
      </c>
      <c r="C201" s="31" t="s">
        <v>12</v>
      </c>
      <c r="D201" s="31" t="s">
        <v>52</v>
      </c>
      <c r="E201" s="31" t="s">
        <v>246</v>
      </c>
      <c r="F201" s="31" t="s">
        <v>15</v>
      </c>
      <c r="G201" s="31" t="s">
        <v>28</v>
      </c>
      <c r="H201" s="32">
        <v>45832</v>
      </c>
      <c r="I201" s="31">
        <v>115471</v>
      </c>
      <c r="J201" s="33" t="s">
        <v>235</v>
      </c>
    </row>
    <row r="202" s="22" customFormat="1" spans="1:10">
      <c r="A202" s="26" t="s">
        <v>527</v>
      </c>
      <c r="B202" s="27" t="s">
        <v>528</v>
      </c>
      <c r="C202" s="27" t="s">
        <v>12</v>
      </c>
      <c r="D202" s="27" t="s">
        <v>32</v>
      </c>
      <c r="E202" s="27" t="s">
        <v>33</v>
      </c>
      <c r="F202" s="27" t="s">
        <v>15</v>
      </c>
      <c r="G202" s="27" t="s">
        <v>94</v>
      </c>
      <c r="H202" s="28">
        <v>44648</v>
      </c>
      <c r="I202" s="27">
        <v>147911</v>
      </c>
      <c r="J202" s="29" t="s">
        <v>529</v>
      </c>
    </row>
    <row r="203" s="22" customFormat="1" spans="1:10">
      <c r="A203" s="30" t="s">
        <v>530</v>
      </c>
      <c r="B203" s="31" t="s">
        <v>531</v>
      </c>
      <c r="C203" s="31" t="s">
        <v>12</v>
      </c>
      <c r="D203" s="31" t="s">
        <v>38</v>
      </c>
      <c r="E203" s="31" t="s">
        <v>77</v>
      </c>
      <c r="F203" s="31" t="s">
        <v>15</v>
      </c>
      <c r="G203" s="31" t="s">
        <v>16</v>
      </c>
      <c r="H203" s="32">
        <v>43875</v>
      </c>
      <c r="I203" s="31">
        <v>79321</v>
      </c>
      <c r="J203" s="33"/>
    </row>
    <row r="204" s="22" customFormat="1" spans="1:10">
      <c r="A204" s="26" t="s">
        <v>532</v>
      </c>
      <c r="B204" s="27" t="s">
        <v>533</v>
      </c>
      <c r="C204" s="27" t="s">
        <v>12</v>
      </c>
      <c r="D204" s="27" t="s">
        <v>38</v>
      </c>
      <c r="E204" s="27" t="s">
        <v>77</v>
      </c>
      <c r="F204" s="27" t="s">
        <v>15</v>
      </c>
      <c r="G204" s="27" t="s">
        <v>34</v>
      </c>
      <c r="H204" s="28">
        <v>42840</v>
      </c>
      <c r="I204" s="27">
        <v>78363</v>
      </c>
      <c r="J204" s="29" t="s">
        <v>112</v>
      </c>
    </row>
    <row r="205" s="22" customFormat="1" spans="1:10">
      <c r="A205" s="30" t="s">
        <v>534</v>
      </c>
      <c r="B205" s="31" t="s">
        <v>535</v>
      </c>
      <c r="C205" s="31" t="s">
        <v>19</v>
      </c>
      <c r="D205" s="31" t="s">
        <v>52</v>
      </c>
      <c r="E205" s="31" t="s">
        <v>246</v>
      </c>
      <c r="F205" s="31" t="s">
        <v>15</v>
      </c>
      <c r="G205" s="31" t="s">
        <v>28</v>
      </c>
      <c r="H205" s="32">
        <v>45493</v>
      </c>
      <c r="I205" s="31">
        <v>110723</v>
      </c>
      <c r="J205" s="33" t="s">
        <v>536</v>
      </c>
    </row>
    <row r="206" s="22" customFormat="1" spans="1:10">
      <c r="A206" s="26" t="s">
        <v>537</v>
      </c>
      <c r="B206" s="27" t="s">
        <v>538</v>
      </c>
      <c r="C206" s="27" t="s">
        <v>19</v>
      </c>
      <c r="D206" s="27" t="s">
        <v>32</v>
      </c>
      <c r="E206" s="27" t="s">
        <v>130</v>
      </c>
      <c r="F206" s="27" t="s">
        <v>15</v>
      </c>
      <c r="G206" s="27" t="s">
        <v>40</v>
      </c>
      <c r="H206" s="28">
        <v>43511</v>
      </c>
      <c r="I206" s="27">
        <v>63622</v>
      </c>
      <c r="J206" s="29" t="s">
        <v>539</v>
      </c>
    </row>
    <row r="207" s="22" customFormat="1" spans="1:10">
      <c r="A207" s="30" t="s">
        <v>540</v>
      </c>
      <c r="B207" s="31" t="s">
        <v>541</v>
      </c>
      <c r="C207" s="31" t="s">
        <v>19</v>
      </c>
      <c r="D207" s="31" t="s">
        <v>38</v>
      </c>
      <c r="E207" s="31" t="s">
        <v>39</v>
      </c>
      <c r="F207" s="31" t="s">
        <v>48</v>
      </c>
      <c r="G207" s="31" t="s">
        <v>40</v>
      </c>
      <c r="H207" s="32">
        <v>44721</v>
      </c>
      <c r="I207" s="31">
        <v>100219</v>
      </c>
      <c r="J207" s="33" t="s">
        <v>154</v>
      </c>
    </row>
    <row r="208" s="22" customFormat="1" spans="1:10">
      <c r="A208" s="26" t="s">
        <v>542</v>
      </c>
      <c r="B208" s="27" t="s">
        <v>255</v>
      </c>
      <c r="C208" s="27" t="s">
        <v>19</v>
      </c>
      <c r="D208" s="27" t="s">
        <v>38</v>
      </c>
      <c r="E208" s="27" t="s">
        <v>44</v>
      </c>
      <c r="F208" s="27" t="s">
        <v>15</v>
      </c>
      <c r="G208" s="27" t="s">
        <v>40</v>
      </c>
      <c r="H208" s="28">
        <v>43296</v>
      </c>
      <c r="I208" s="27">
        <v>90603</v>
      </c>
      <c r="J208" s="29" t="s">
        <v>543</v>
      </c>
    </row>
    <row r="209" s="22" customFormat="1" spans="1:10">
      <c r="A209" s="30" t="s">
        <v>544</v>
      </c>
      <c r="B209" s="31" t="s">
        <v>388</v>
      </c>
      <c r="C209" s="31" t="s">
        <v>19</v>
      </c>
      <c r="D209" s="31" t="s">
        <v>32</v>
      </c>
      <c r="E209" s="31" t="s">
        <v>130</v>
      </c>
      <c r="F209" s="31" t="s">
        <v>15</v>
      </c>
      <c r="G209" s="31" t="s">
        <v>16</v>
      </c>
      <c r="H209" s="32">
        <v>45676</v>
      </c>
      <c r="I209" s="31">
        <v>68932</v>
      </c>
      <c r="J209" s="33" t="s">
        <v>449</v>
      </c>
    </row>
    <row r="210" s="22" customFormat="1" spans="1:10">
      <c r="A210" s="26" t="s">
        <v>545</v>
      </c>
      <c r="B210" s="27" t="s">
        <v>546</v>
      </c>
      <c r="C210" s="27" t="s">
        <v>19</v>
      </c>
      <c r="D210" s="27" t="s">
        <v>38</v>
      </c>
      <c r="E210" s="27" t="s">
        <v>66</v>
      </c>
      <c r="F210" s="27" t="s">
        <v>15</v>
      </c>
      <c r="G210" s="27" t="s">
        <v>40</v>
      </c>
      <c r="H210" s="28">
        <v>44127</v>
      </c>
      <c r="I210" s="27">
        <v>200191</v>
      </c>
      <c r="J210" s="29" t="s">
        <v>240</v>
      </c>
    </row>
    <row r="211" s="22" customFormat="1" spans="1:10">
      <c r="A211" s="30" t="s">
        <v>547</v>
      </c>
      <c r="B211" s="31" t="s">
        <v>548</v>
      </c>
      <c r="C211" s="31" t="s">
        <v>146</v>
      </c>
      <c r="D211" s="31" t="s">
        <v>38</v>
      </c>
      <c r="E211" s="31" t="s">
        <v>84</v>
      </c>
      <c r="F211" s="31" t="s">
        <v>15</v>
      </c>
      <c r="G211" s="31" t="s">
        <v>94</v>
      </c>
      <c r="H211" s="32">
        <v>45831</v>
      </c>
      <c r="I211" s="31">
        <v>276214</v>
      </c>
      <c r="J211" s="33" t="s">
        <v>549</v>
      </c>
    </row>
    <row r="212" s="22" customFormat="1" spans="1:10">
      <c r="A212" s="26" t="s">
        <v>550</v>
      </c>
      <c r="B212" s="27" t="s">
        <v>551</v>
      </c>
      <c r="C212" s="27" t="s">
        <v>19</v>
      </c>
      <c r="D212" s="27" t="s">
        <v>92</v>
      </c>
      <c r="E212" s="27" t="s">
        <v>391</v>
      </c>
      <c r="F212" s="27" t="s">
        <v>15</v>
      </c>
      <c r="G212" s="27" t="s">
        <v>34</v>
      </c>
      <c r="H212" s="28">
        <v>44667</v>
      </c>
      <c r="I212" s="27">
        <v>91942</v>
      </c>
      <c r="J212" s="29" t="s">
        <v>341</v>
      </c>
    </row>
    <row r="213" s="22" customFormat="1" spans="1:10">
      <c r="A213" s="30" t="s">
        <v>552</v>
      </c>
      <c r="B213" s="31" t="s">
        <v>553</v>
      </c>
      <c r="C213" s="31" t="s">
        <v>12</v>
      </c>
      <c r="D213" s="31" t="s">
        <v>26</v>
      </c>
      <c r="E213" s="31" t="s">
        <v>61</v>
      </c>
      <c r="F213" s="31" t="s">
        <v>22</v>
      </c>
      <c r="G213" s="31" t="s">
        <v>28</v>
      </c>
      <c r="H213" s="32">
        <v>45513</v>
      </c>
      <c r="I213" s="31">
        <v>115210</v>
      </c>
      <c r="J213" s="33" t="s">
        <v>554</v>
      </c>
    </row>
    <row r="214" s="22" customFormat="1" spans="1:10">
      <c r="A214" s="26" t="s">
        <v>555</v>
      </c>
      <c r="B214" s="27" t="s">
        <v>556</v>
      </c>
      <c r="C214" s="27" t="s">
        <v>19</v>
      </c>
      <c r="D214" s="27" t="s">
        <v>32</v>
      </c>
      <c r="E214" s="27" t="s">
        <v>57</v>
      </c>
      <c r="F214" s="27" t="s">
        <v>15</v>
      </c>
      <c r="G214" s="27" t="s">
        <v>62</v>
      </c>
      <c r="H214" s="28">
        <v>45722</v>
      </c>
      <c r="I214" s="27">
        <v>60224</v>
      </c>
      <c r="J214" s="29" t="s">
        <v>557</v>
      </c>
    </row>
    <row r="215" s="22" customFormat="1" spans="1:10">
      <c r="A215" s="30" t="s">
        <v>558</v>
      </c>
      <c r="B215" s="31" t="s">
        <v>559</v>
      </c>
      <c r="C215" s="31" t="s">
        <v>19</v>
      </c>
      <c r="D215" s="31" t="s">
        <v>87</v>
      </c>
      <c r="E215" s="31" t="s">
        <v>349</v>
      </c>
      <c r="F215" s="31" t="s">
        <v>48</v>
      </c>
      <c r="G215" s="31" t="s">
        <v>62</v>
      </c>
      <c r="H215" s="32">
        <v>44916</v>
      </c>
      <c r="I215" s="31">
        <v>154511</v>
      </c>
      <c r="J215" s="33" t="s">
        <v>286</v>
      </c>
    </row>
    <row r="216" s="22" customFormat="1" spans="1:10">
      <c r="A216" s="26" t="s">
        <v>560</v>
      </c>
      <c r="B216" s="27" t="s">
        <v>561</v>
      </c>
      <c r="C216" s="27" t="s">
        <v>12</v>
      </c>
      <c r="D216" s="27" t="s">
        <v>26</v>
      </c>
      <c r="E216" s="27" t="s">
        <v>294</v>
      </c>
      <c r="F216" s="27" t="s">
        <v>15</v>
      </c>
      <c r="G216" s="27" t="s">
        <v>62</v>
      </c>
      <c r="H216" s="28">
        <v>44883</v>
      </c>
      <c r="I216" s="27">
        <v>217157</v>
      </c>
      <c r="J216" s="29" t="s">
        <v>562</v>
      </c>
    </row>
    <row r="217" s="22" customFormat="1" spans="1:10">
      <c r="A217" s="30" t="s">
        <v>563</v>
      </c>
      <c r="B217" s="31" t="s">
        <v>564</v>
      </c>
      <c r="C217" s="31" t="s">
        <v>293</v>
      </c>
      <c r="D217" s="31" t="s">
        <v>87</v>
      </c>
      <c r="E217" s="31" t="s">
        <v>88</v>
      </c>
      <c r="F217" s="31" t="s">
        <v>15</v>
      </c>
      <c r="G217" s="31" t="s">
        <v>16</v>
      </c>
      <c r="H217" s="32">
        <v>45134</v>
      </c>
      <c r="I217" s="31">
        <v>115743</v>
      </c>
      <c r="J217" s="33"/>
    </row>
    <row r="218" s="22" customFormat="1" spans="1:10">
      <c r="A218" s="26" t="s">
        <v>565</v>
      </c>
      <c r="B218" s="27" t="s">
        <v>566</v>
      </c>
      <c r="C218" s="27" t="s">
        <v>12</v>
      </c>
      <c r="D218" s="27" t="s">
        <v>13</v>
      </c>
      <c r="E218" s="27" t="s">
        <v>14</v>
      </c>
      <c r="F218" s="27" t="s">
        <v>15</v>
      </c>
      <c r="G218" s="27" t="s">
        <v>16</v>
      </c>
      <c r="H218" s="28">
        <v>45002</v>
      </c>
      <c r="I218" s="27">
        <v>86601</v>
      </c>
      <c r="J218" s="29" t="s">
        <v>151</v>
      </c>
    </row>
    <row r="219" s="22" customFormat="1" spans="1:10">
      <c r="A219" s="30" t="s">
        <v>567</v>
      </c>
      <c r="B219" s="31" t="s">
        <v>568</v>
      </c>
      <c r="C219" s="31" t="s">
        <v>12</v>
      </c>
      <c r="D219" s="31" t="s">
        <v>26</v>
      </c>
      <c r="E219" s="31" t="s">
        <v>294</v>
      </c>
      <c r="F219" s="31" t="s">
        <v>15</v>
      </c>
      <c r="G219" s="31" t="s">
        <v>16</v>
      </c>
      <c r="H219" s="32">
        <v>44650</v>
      </c>
      <c r="I219" s="31">
        <v>188835</v>
      </c>
      <c r="J219" s="33" t="s">
        <v>212</v>
      </c>
    </row>
    <row r="220" s="22" customFormat="1" spans="1:10">
      <c r="A220" s="26" t="s">
        <v>569</v>
      </c>
      <c r="B220" s="27" t="s">
        <v>330</v>
      </c>
      <c r="C220" s="27" t="s">
        <v>19</v>
      </c>
      <c r="D220" s="27" t="s">
        <v>32</v>
      </c>
      <c r="E220" s="27" t="s">
        <v>33</v>
      </c>
      <c r="F220" s="27" t="s">
        <v>15</v>
      </c>
      <c r="G220" s="27" t="s">
        <v>62</v>
      </c>
      <c r="H220" s="28">
        <v>42477</v>
      </c>
      <c r="I220" s="27">
        <v>72912</v>
      </c>
      <c r="J220" s="29" t="s">
        <v>570</v>
      </c>
    </row>
    <row r="221" s="22" customFormat="1" spans="1:10">
      <c r="A221" s="30" t="s">
        <v>571</v>
      </c>
      <c r="B221" s="31" t="s">
        <v>572</v>
      </c>
      <c r="C221" s="31" t="s">
        <v>19</v>
      </c>
      <c r="D221" s="31" t="s">
        <v>52</v>
      </c>
      <c r="E221" s="31" t="s">
        <v>246</v>
      </c>
      <c r="F221" s="31" t="s">
        <v>15</v>
      </c>
      <c r="G221" s="31" t="s">
        <v>62</v>
      </c>
      <c r="H221" s="32">
        <v>44864</v>
      </c>
      <c r="I221" s="31">
        <v>148023</v>
      </c>
      <c r="J221" s="33" t="s">
        <v>376</v>
      </c>
    </row>
    <row r="222" s="22" customFormat="1" spans="1:10">
      <c r="A222" s="26" t="s">
        <v>573</v>
      </c>
      <c r="B222" s="27" t="s">
        <v>420</v>
      </c>
      <c r="C222" s="27" t="s">
        <v>12</v>
      </c>
      <c r="D222" s="27" t="s">
        <v>32</v>
      </c>
      <c r="E222" s="27" t="s">
        <v>208</v>
      </c>
      <c r="F222" s="27" t="s">
        <v>15</v>
      </c>
      <c r="G222" s="27" t="s">
        <v>40</v>
      </c>
      <c r="H222" s="28">
        <v>45064</v>
      </c>
      <c r="I222" s="27">
        <v>186275</v>
      </c>
      <c r="J222" s="29" t="s">
        <v>574</v>
      </c>
    </row>
    <row r="223" s="22" customFormat="1" spans="1:10">
      <c r="A223" s="30" t="s">
        <v>575</v>
      </c>
      <c r="B223" s="31" t="s">
        <v>576</v>
      </c>
      <c r="C223" s="31" t="s">
        <v>12</v>
      </c>
      <c r="D223" s="31" t="s">
        <v>92</v>
      </c>
      <c r="E223" s="31" t="s">
        <v>189</v>
      </c>
      <c r="F223" s="31" t="s">
        <v>15</v>
      </c>
      <c r="G223" s="31" t="s">
        <v>62</v>
      </c>
      <c r="H223" s="32">
        <v>45767</v>
      </c>
      <c r="I223" s="31">
        <v>132900</v>
      </c>
      <c r="J223" s="33" t="s">
        <v>172</v>
      </c>
    </row>
    <row r="224" s="22" customFormat="1" spans="1:10">
      <c r="A224" s="26" t="s">
        <v>577</v>
      </c>
      <c r="B224" s="27" t="s">
        <v>578</v>
      </c>
      <c r="C224" s="27" t="s">
        <v>19</v>
      </c>
      <c r="D224" s="27" t="s">
        <v>38</v>
      </c>
      <c r="E224" s="27" t="s">
        <v>66</v>
      </c>
      <c r="F224" s="27" t="s">
        <v>15</v>
      </c>
      <c r="G224" s="27" t="s">
        <v>16</v>
      </c>
      <c r="H224" s="28">
        <v>45210</v>
      </c>
      <c r="I224" s="27">
        <v>197759</v>
      </c>
      <c r="J224" s="29" t="s">
        <v>579</v>
      </c>
    </row>
    <row r="225" s="22" customFormat="1" spans="1:10">
      <c r="A225" s="30" t="s">
        <v>580</v>
      </c>
      <c r="B225" s="31" t="s">
        <v>300</v>
      </c>
      <c r="C225" s="31" t="s">
        <v>12</v>
      </c>
      <c r="D225" s="31" t="s">
        <v>13</v>
      </c>
      <c r="E225" s="31" t="s">
        <v>98</v>
      </c>
      <c r="F225" s="31" t="s">
        <v>15</v>
      </c>
      <c r="G225" s="31" t="s">
        <v>94</v>
      </c>
      <c r="H225" s="32">
        <v>43465</v>
      </c>
      <c r="I225" s="31">
        <v>186825</v>
      </c>
      <c r="J225" s="33" t="s">
        <v>179</v>
      </c>
    </row>
    <row r="226" s="22" customFormat="1" spans="1:10">
      <c r="A226" s="26" t="s">
        <v>581</v>
      </c>
      <c r="B226" s="27" t="s">
        <v>498</v>
      </c>
      <c r="C226" s="27" t="s">
        <v>19</v>
      </c>
      <c r="D226" s="27" t="s">
        <v>87</v>
      </c>
      <c r="E226" s="27" t="s">
        <v>156</v>
      </c>
      <c r="F226" s="27" t="s">
        <v>48</v>
      </c>
      <c r="G226" s="27" t="s">
        <v>40</v>
      </c>
      <c r="H226" s="28">
        <v>42488</v>
      </c>
      <c r="I226" s="27">
        <v>238674</v>
      </c>
      <c r="J226" s="29" t="s">
        <v>582</v>
      </c>
    </row>
    <row r="227" s="22" customFormat="1" spans="1:10">
      <c r="A227" s="30" t="s">
        <v>583</v>
      </c>
      <c r="B227" s="31" t="s">
        <v>584</v>
      </c>
      <c r="C227" s="31" t="s">
        <v>12</v>
      </c>
      <c r="D227" s="31" t="s">
        <v>87</v>
      </c>
      <c r="E227" s="31" t="s">
        <v>349</v>
      </c>
      <c r="F227" s="31" t="s">
        <v>15</v>
      </c>
      <c r="G227" s="31" t="s">
        <v>40</v>
      </c>
      <c r="H227" s="32">
        <v>43108</v>
      </c>
      <c r="I227" s="31">
        <v>190351</v>
      </c>
      <c r="J227" s="33" t="s">
        <v>585</v>
      </c>
    </row>
    <row r="228" s="22" customFormat="1" spans="1:10">
      <c r="A228" s="26" t="s">
        <v>586</v>
      </c>
      <c r="B228" s="27" t="s">
        <v>136</v>
      </c>
      <c r="C228" s="27" t="s">
        <v>19</v>
      </c>
      <c r="D228" s="27" t="s">
        <v>20</v>
      </c>
      <c r="E228" s="27" t="s">
        <v>21</v>
      </c>
      <c r="F228" s="27" t="s">
        <v>15</v>
      </c>
      <c r="G228" s="27" t="s">
        <v>34</v>
      </c>
      <c r="H228" s="28">
        <v>43489</v>
      </c>
      <c r="I228" s="27">
        <v>85676</v>
      </c>
      <c r="J228" s="29" t="s">
        <v>179</v>
      </c>
    </row>
    <row r="229" s="22" customFormat="1" spans="1:10">
      <c r="A229" s="30" t="s">
        <v>587</v>
      </c>
      <c r="B229" s="31" t="s">
        <v>588</v>
      </c>
      <c r="C229" s="31" t="s">
        <v>12</v>
      </c>
      <c r="D229" s="31" t="s">
        <v>13</v>
      </c>
      <c r="E229" s="31" t="s">
        <v>14</v>
      </c>
      <c r="F229" s="31" t="s">
        <v>15</v>
      </c>
      <c r="G229" s="31" t="s">
        <v>34</v>
      </c>
      <c r="H229" s="32">
        <v>45248</v>
      </c>
      <c r="I229" s="31">
        <v>126090</v>
      </c>
      <c r="J229" s="33" t="s">
        <v>589</v>
      </c>
    </row>
    <row r="230" s="22" customFormat="1" spans="1:10">
      <c r="A230" s="26" t="s">
        <v>482</v>
      </c>
      <c r="B230" s="27" t="s">
        <v>590</v>
      </c>
      <c r="C230" s="27" t="s">
        <v>19</v>
      </c>
      <c r="D230" s="27" t="s">
        <v>52</v>
      </c>
      <c r="E230" s="27" t="s">
        <v>53</v>
      </c>
      <c r="F230" s="27" t="s">
        <v>15</v>
      </c>
      <c r="G230" s="27" t="s">
        <v>94</v>
      </c>
      <c r="H230" s="28">
        <v>45492</v>
      </c>
      <c r="I230" s="27">
        <v>132740</v>
      </c>
      <c r="J230" s="29" t="s">
        <v>591</v>
      </c>
    </row>
    <row r="231" s="22" customFormat="1" spans="1:10">
      <c r="A231" s="30" t="s">
        <v>592</v>
      </c>
      <c r="B231" s="31" t="s">
        <v>593</v>
      </c>
      <c r="C231" s="31" t="s">
        <v>12</v>
      </c>
      <c r="D231" s="31" t="s">
        <v>32</v>
      </c>
      <c r="E231" s="31" t="s">
        <v>130</v>
      </c>
      <c r="F231" s="31" t="s">
        <v>15</v>
      </c>
      <c r="G231" s="31" t="s">
        <v>28</v>
      </c>
      <c r="H231" s="32">
        <v>43635</v>
      </c>
      <c r="I231" s="31">
        <v>145727</v>
      </c>
      <c r="J231" s="33" t="s">
        <v>229</v>
      </c>
    </row>
    <row r="232" s="22" customFormat="1" spans="1:10">
      <c r="A232" s="26" t="s">
        <v>594</v>
      </c>
      <c r="B232" s="27" t="s">
        <v>595</v>
      </c>
      <c r="C232" s="27" t="s">
        <v>19</v>
      </c>
      <c r="D232" s="27" t="s">
        <v>52</v>
      </c>
      <c r="E232" s="27" t="s">
        <v>53</v>
      </c>
      <c r="F232" s="27" t="s">
        <v>15</v>
      </c>
      <c r="G232" s="27" t="s">
        <v>62</v>
      </c>
      <c r="H232" s="28">
        <v>43761</v>
      </c>
      <c r="I232" s="27">
        <v>201055</v>
      </c>
      <c r="J232" s="29" t="s">
        <v>191</v>
      </c>
    </row>
    <row r="233" s="22" customFormat="1" spans="1:10">
      <c r="A233" s="30" t="s">
        <v>596</v>
      </c>
      <c r="B233" s="31" t="s">
        <v>597</v>
      </c>
      <c r="C233" s="31" t="s">
        <v>19</v>
      </c>
      <c r="D233" s="31" t="s">
        <v>92</v>
      </c>
      <c r="E233" s="31" t="s">
        <v>189</v>
      </c>
      <c r="F233" s="31" t="s">
        <v>15</v>
      </c>
      <c r="G233" s="31" t="s">
        <v>62</v>
      </c>
      <c r="H233" s="32">
        <v>43807</v>
      </c>
      <c r="I233" s="31">
        <v>160791</v>
      </c>
      <c r="J233" s="33"/>
    </row>
    <row r="234" s="22" customFormat="1" spans="1:10">
      <c r="A234" s="26" t="s">
        <v>598</v>
      </c>
      <c r="B234" s="27" t="s">
        <v>217</v>
      </c>
      <c r="C234" s="27" t="s">
        <v>12</v>
      </c>
      <c r="D234" s="27" t="s">
        <v>92</v>
      </c>
      <c r="E234" s="27" t="s">
        <v>189</v>
      </c>
      <c r="F234" s="27" t="s">
        <v>15</v>
      </c>
      <c r="G234" s="27" t="s">
        <v>62</v>
      </c>
      <c r="H234" s="28">
        <v>42395</v>
      </c>
      <c r="I234" s="27">
        <v>112634</v>
      </c>
      <c r="J234" s="29" t="s">
        <v>49</v>
      </c>
    </row>
    <row r="235" s="22" customFormat="1" spans="1:10">
      <c r="A235" s="30" t="s">
        <v>599</v>
      </c>
      <c r="B235" s="31" t="s">
        <v>600</v>
      </c>
      <c r="C235" s="31" t="s">
        <v>12</v>
      </c>
      <c r="D235" s="31" t="s">
        <v>92</v>
      </c>
      <c r="E235" s="31" t="s">
        <v>189</v>
      </c>
      <c r="F235" s="31" t="s">
        <v>15</v>
      </c>
      <c r="G235" s="31" t="s">
        <v>40</v>
      </c>
      <c r="H235" s="32">
        <v>43113</v>
      </c>
      <c r="I235" s="31">
        <v>104145</v>
      </c>
      <c r="J235" s="33" t="s">
        <v>601</v>
      </c>
    </row>
    <row r="236" s="22" customFormat="1" spans="1:10">
      <c r="A236" s="26" t="s">
        <v>602</v>
      </c>
      <c r="B236" s="27" t="s">
        <v>603</v>
      </c>
      <c r="C236" s="27" t="s">
        <v>19</v>
      </c>
      <c r="D236" s="27" t="s">
        <v>38</v>
      </c>
      <c r="E236" s="27" t="s">
        <v>44</v>
      </c>
      <c r="F236" s="27" t="s">
        <v>15</v>
      </c>
      <c r="G236" s="27" t="s">
        <v>40</v>
      </c>
      <c r="H236" s="28">
        <v>42956</v>
      </c>
      <c r="I236" s="27">
        <v>125871</v>
      </c>
      <c r="J236" s="29" t="s">
        <v>604</v>
      </c>
    </row>
    <row r="237" s="22" customFormat="1" spans="1:10">
      <c r="A237" s="30" t="s">
        <v>605</v>
      </c>
      <c r="B237" s="31" t="s">
        <v>606</v>
      </c>
      <c r="C237" s="31" t="s">
        <v>19</v>
      </c>
      <c r="D237" s="31" t="s">
        <v>26</v>
      </c>
      <c r="E237" s="31" t="s">
        <v>61</v>
      </c>
      <c r="F237" s="31" t="s">
        <v>15</v>
      </c>
      <c r="G237" s="31" t="s">
        <v>16</v>
      </c>
      <c r="H237" s="32">
        <v>44689</v>
      </c>
      <c r="I237" s="31">
        <v>138097</v>
      </c>
      <c r="J237" s="33" t="s">
        <v>259</v>
      </c>
    </row>
    <row r="238" s="22" customFormat="1" spans="1:10">
      <c r="A238" s="26" t="s">
        <v>607</v>
      </c>
      <c r="B238" s="27" t="s">
        <v>101</v>
      </c>
      <c r="C238" s="27" t="s">
        <v>12</v>
      </c>
      <c r="D238" s="27" t="s">
        <v>87</v>
      </c>
      <c r="E238" s="27" t="s">
        <v>111</v>
      </c>
      <c r="F238" s="27" t="s">
        <v>15</v>
      </c>
      <c r="G238" s="27" t="s">
        <v>16</v>
      </c>
      <c r="H238" s="28">
        <v>45062</v>
      </c>
      <c r="I238" s="27">
        <v>137134</v>
      </c>
      <c r="J238" s="29" t="s">
        <v>280</v>
      </c>
    </row>
    <row r="239" s="22" customFormat="1" spans="1:10">
      <c r="A239" s="30" t="s">
        <v>608</v>
      </c>
      <c r="B239" s="31" t="s">
        <v>609</v>
      </c>
      <c r="C239" s="31" t="s">
        <v>19</v>
      </c>
      <c r="D239" s="31" t="s">
        <v>38</v>
      </c>
      <c r="E239" s="31" t="s">
        <v>140</v>
      </c>
      <c r="F239" s="31" t="s">
        <v>15</v>
      </c>
      <c r="G239" s="31" t="s">
        <v>16</v>
      </c>
      <c r="H239" s="32">
        <v>44011</v>
      </c>
      <c r="I239" s="31">
        <v>150761</v>
      </c>
      <c r="J239" s="33" t="s">
        <v>490</v>
      </c>
    </row>
    <row r="240" s="22" customFormat="1" spans="1:10">
      <c r="A240" s="26" t="s">
        <v>259</v>
      </c>
      <c r="B240" s="27" t="s">
        <v>610</v>
      </c>
      <c r="C240" s="27" t="s">
        <v>12</v>
      </c>
      <c r="D240" s="27" t="s">
        <v>32</v>
      </c>
      <c r="E240" s="27" t="s">
        <v>208</v>
      </c>
      <c r="F240" s="27" t="s">
        <v>15</v>
      </c>
      <c r="G240" s="27" t="s">
        <v>40</v>
      </c>
      <c r="H240" s="28">
        <v>42655</v>
      </c>
      <c r="I240" s="27">
        <v>199207</v>
      </c>
      <c r="J240" s="29" t="s">
        <v>539</v>
      </c>
    </row>
    <row r="241" s="22" customFormat="1" spans="1:10">
      <c r="A241" s="30" t="s">
        <v>611</v>
      </c>
      <c r="B241" s="31" t="s">
        <v>612</v>
      </c>
      <c r="C241" s="31" t="s">
        <v>12</v>
      </c>
      <c r="D241" s="31" t="s">
        <v>38</v>
      </c>
      <c r="E241" s="31" t="s">
        <v>77</v>
      </c>
      <c r="F241" s="31" t="s">
        <v>15</v>
      </c>
      <c r="G241" s="31" t="s">
        <v>28</v>
      </c>
      <c r="H241" s="32">
        <v>42951</v>
      </c>
      <c r="I241" s="31">
        <v>81364</v>
      </c>
      <c r="J241" s="33" t="s">
        <v>613</v>
      </c>
    </row>
    <row r="242" s="22" customFormat="1" spans="1:10">
      <c r="A242" s="26" t="s">
        <v>585</v>
      </c>
      <c r="B242" s="27" t="s">
        <v>614</v>
      </c>
      <c r="C242" s="27" t="s">
        <v>19</v>
      </c>
      <c r="D242" s="27" t="s">
        <v>20</v>
      </c>
      <c r="E242" s="27" t="s">
        <v>70</v>
      </c>
      <c r="F242" s="27" t="s">
        <v>48</v>
      </c>
      <c r="G242" s="27" t="s">
        <v>62</v>
      </c>
      <c r="H242" s="28">
        <v>45405</v>
      </c>
      <c r="I242" s="27">
        <v>139274</v>
      </c>
      <c r="J242" s="29"/>
    </row>
    <row r="243" s="22" customFormat="1" spans="1:10">
      <c r="A243" s="30" t="s">
        <v>615</v>
      </c>
      <c r="B243" s="31" t="s">
        <v>616</v>
      </c>
      <c r="C243" s="31" t="s">
        <v>12</v>
      </c>
      <c r="D243" s="31" t="s">
        <v>20</v>
      </c>
      <c r="E243" s="31" t="s">
        <v>70</v>
      </c>
      <c r="F243" s="31" t="s">
        <v>15</v>
      </c>
      <c r="G243" s="31" t="s">
        <v>40</v>
      </c>
      <c r="H243" s="32">
        <v>44963</v>
      </c>
      <c r="I243" s="31">
        <v>110145</v>
      </c>
      <c r="J243" s="33" t="s">
        <v>392</v>
      </c>
    </row>
    <row r="244" s="22" customFormat="1" spans="1:10">
      <c r="A244" s="26" t="s">
        <v>604</v>
      </c>
      <c r="B244" s="27" t="s">
        <v>439</v>
      </c>
      <c r="C244" s="27" t="s">
        <v>19</v>
      </c>
      <c r="D244" s="27" t="s">
        <v>20</v>
      </c>
      <c r="E244" s="27" t="s">
        <v>70</v>
      </c>
      <c r="F244" s="27" t="s">
        <v>48</v>
      </c>
      <c r="G244" s="27" t="s">
        <v>62</v>
      </c>
      <c r="H244" s="28">
        <v>42495</v>
      </c>
      <c r="I244" s="27">
        <v>96473</v>
      </c>
      <c r="J244" s="29" t="s">
        <v>397</v>
      </c>
    </row>
    <row r="245" s="22" customFormat="1" spans="1:10">
      <c r="A245" s="30" t="s">
        <v>617</v>
      </c>
      <c r="B245" s="31" t="s">
        <v>618</v>
      </c>
      <c r="C245" s="31" t="s">
        <v>12</v>
      </c>
      <c r="D245" s="31" t="s">
        <v>13</v>
      </c>
      <c r="E245" s="31" t="s">
        <v>98</v>
      </c>
      <c r="F245" s="31" t="s">
        <v>48</v>
      </c>
      <c r="G245" s="31" t="s">
        <v>34</v>
      </c>
      <c r="H245" s="32">
        <v>42745</v>
      </c>
      <c r="I245" s="31">
        <v>243473</v>
      </c>
      <c r="J245" s="33" t="s">
        <v>619</v>
      </c>
    </row>
    <row r="246" s="22" customFormat="1" spans="1:10">
      <c r="A246" s="26" t="s">
        <v>620</v>
      </c>
      <c r="B246" s="27" t="s">
        <v>47</v>
      </c>
      <c r="C246" s="27" t="s">
        <v>19</v>
      </c>
      <c r="D246" s="27" t="s">
        <v>38</v>
      </c>
      <c r="E246" s="27" t="s">
        <v>44</v>
      </c>
      <c r="F246" s="27" t="s">
        <v>15</v>
      </c>
      <c r="G246" s="27" t="s">
        <v>94</v>
      </c>
      <c r="H246" s="28">
        <v>45426</v>
      </c>
      <c r="I246" s="27">
        <v>117681</v>
      </c>
      <c r="J246" s="29" t="s">
        <v>621</v>
      </c>
    </row>
    <row r="247" s="22" customFormat="1" spans="1:10">
      <c r="A247" s="30" t="s">
        <v>622</v>
      </c>
      <c r="B247" s="31" t="s">
        <v>623</v>
      </c>
      <c r="C247" s="31" t="s">
        <v>12</v>
      </c>
      <c r="D247" s="31" t="s">
        <v>20</v>
      </c>
      <c r="E247" s="31" t="s">
        <v>21</v>
      </c>
      <c r="F247" s="31" t="s">
        <v>15</v>
      </c>
      <c r="G247" s="31" t="s">
        <v>16</v>
      </c>
      <c r="H247" s="32">
        <v>44542</v>
      </c>
      <c r="I247" s="31">
        <v>91573</v>
      </c>
      <c r="J247" s="33" t="s">
        <v>54</v>
      </c>
    </row>
    <row r="248" s="22" customFormat="1" spans="1:10">
      <c r="A248" s="26" t="s">
        <v>624</v>
      </c>
      <c r="B248" s="27" t="s">
        <v>625</v>
      </c>
      <c r="C248" s="27" t="s">
        <v>19</v>
      </c>
      <c r="D248" s="27" t="s">
        <v>13</v>
      </c>
      <c r="E248" s="27" t="s">
        <v>14</v>
      </c>
      <c r="F248" s="27" t="s">
        <v>22</v>
      </c>
      <c r="G248" s="27" t="s">
        <v>62</v>
      </c>
      <c r="H248" s="28">
        <v>43251</v>
      </c>
      <c r="I248" s="27">
        <v>108435</v>
      </c>
      <c r="J248" s="29"/>
    </row>
    <row r="249" s="22" customFormat="1" spans="1:10">
      <c r="A249" s="30" t="s">
        <v>626</v>
      </c>
      <c r="B249" s="31" t="s">
        <v>327</v>
      </c>
      <c r="C249" s="31" t="s">
        <v>19</v>
      </c>
      <c r="D249" s="31" t="s">
        <v>20</v>
      </c>
      <c r="E249" s="31" t="s">
        <v>147</v>
      </c>
      <c r="F249" s="31" t="s">
        <v>15</v>
      </c>
      <c r="G249" s="31" t="s">
        <v>28</v>
      </c>
      <c r="H249" s="32">
        <v>43910</v>
      </c>
      <c r="I249" s="31">
        <v>63968</v>
      </c>
      <c r="J249" s="33" t="s">
        <v>627</v>
      </c>
    </row>
    <row r="250" s="22" customFormat="1" spans="1:10">
      <c r="A250" s="26" t="s">
        <v>493</v>
      </c>
      <c r="B250" s="27" t="s">
        <v>628</v>
      </c>
      <c r="C250" s="27" t="s">
        <v>12</v>
      </c>
      <c r="D250" s="27" t="s">
        <v>20</v>
      </c>
      <c r="E250" s="27" t="s">
        <v>70</v>
      </c>
      <c r="F250" s="27" t="s">
        <v>15</v>
      </c>
      <c r="G250" s="27" t="s">
        <v>40</v>
      </c>
      <c r="H250" s="28">
        <v>44089</v>
      </c>
      <c r="I250" s="27">
        <v>86122</v>
      </c>
      <c r="J250" s="29" t="s">
        <v>235</v>
      </c>
    </row>
    <row r="251" s="22" customFormat="1" spans="1:10">
      <c r="A251" s="30" t="s">
        <v>629</v>
      </c>
      <c r="B251" s="31" t="s">
        <v>630</v>
      </c>
      <c r="C251" s="31" t="s">
        <v>19</v>
      </c>
      <c r="D251" s="31" t="s">
        <v>52</v>
      </c>
      <c r="E251" s="31" t="s">
        <v>120</v>
      </c>
      <c r="F251" s="31" t="s">
        <v>48</v>
      </c>
      <c r="G251" s="31" t="s">
        <v>34</v>
      </c>
      <c r="H251" s="32">
        <v>44228</v>
      </c>
      <c r="I251" s="31">
        <v>113140</v>
      </c>
      <c r="J251" s="33" t="s">
        <v>617</v>
      </c>
    </row>
    <row r="252" s="22" customFormat="1" spans="1:10">
      <c r="A252" s="26" t="s">
        <v>169</v>
      </c>
      <c r="B252" s="27" t="s">
        <v>631</v>
      </c>
      <c r="C252" s="27" t="s">
        <v>19</v>
      </c>
      <c r="D252" s="27" t="s">
        <v>87</v>
      </c>
      <c r="E252" s="27" t="s">
        <v>349</v>
      </c>
      <c r="F252" s="27" t="s">
        <v>15</v>
      </c>
      <c r="G252" s="27" t="s">
        <v>34</v>
      </c>
      <c r="H252" s="28">
        <v>43766</v>
      </c>
      <c r="I252" s="27">
        <v>210984</v>
      </c>
      <c r="J252" s="29" t="s">
        <v>468</v>
      </c>
    </row>
    <row r="253" s="22" customFormat="1" spans="1:10">
      <c r="A253" s="30" t="s">
        <v>632</v>
      </c>
      <c r="B253" s="31" t="s">
        <v>633</v>
      </c>
      <c r="C253" s="31" t="s">
        <v>12</v>
      </c>
      <c r="D253" s="31" t="s">
        <v>13</v>
      </c>
      <c r="E253" s="31" t="s">
        <v>165</v>
      </c>
      <c r="F253" s="31" t="s">
        <v>15</v>
      </c>
      <c r="G253" s="31" t="s">
        <v>16</v>
      </c>
      <c r="H253" s="32">
        <v>43014</v>
      </c>
      <c r="I253" s="31">
        <v>100793</v>
      </c>
      <c r="J253" s="33" t="s">
        <v>54</v>
      </c>
    </row>
    <row r="254" s="22" customFormat="1" spans="1:10">
      <c r="A254" s="26" t="s">
        <v>634</v>
      </c>
      <c r="B254" s="27" t="s">
        <v>635</v>
      </c>
      <c r="C254" s="27" t="s">
        <v>19</v>
      </c>
      <c r="D254" s="27" t="s">
        <v>52</v>
      </c>
      <c r="E254" s="27" t="s">
        <v>246</v>
      </c>
      <c r="F254" s="27" t="s">
        <v>15</v>
      </c>
      <c r="G254" s="27" t="s">
        <v>62</v>
      </c>
      <c r="H254" s="28">
        <v>43885</v>
      </c>
      <c r="I254" s="27">
        <v>100319</v>
      </c>
      <c r="J254" s="29" t="s">
        <v>253</v>
      </c>
    </row>
    <row r="255" s="22" customFormat="1" spans="1:10">
      <c r="A255" s="30" t="s">
        <v>636</v>
      </c>
      <c r="B255" s="31" t="s">
        <v>637</v>
      </c>
      <c r="C255" s="31" t="s">
        <v>19</v>
      </c>
      <c r="D255" s="31" t="s">
        <v>87</v>
      </c>
      <c r="E255" s="31" t="s">
        <v>88</v>
      </c>
      <c r="F255" s="31" t="s">
        <v>15</v>
      </c>
      <c r="G255" s="31" t="s">
        <v>34</v>
      </c>
      <c r="H255" s="32">
        <v>43646</v>
      </c>
      <c r="I255" s="31">
        <v>98081</v>
      </c>
      <c r="J255" s="33" t="s">
        <v>295</v>
      </c>
    </row>
    <row r="256" s="22" customFormat="1" spans="1:10">
      <c r="A256" s="26" t="s">
        <v>638</v>
      </c>
      <c r="B256" s="27" t="s">
        <v>639</v>
      </c>
      <c r="C256" s="27" t="s">
        <v>293</v>
      </c>
      <c r="D256" s="27" t="s">
        <v>38</v>
      </c>
      <c r="E256" s="27" t="s">
        <v>44</v>
      </c>
      <c r="F256" s="27" t="s">
        <v>48</v>
      </c>
      <c r="G256" s="27" t="s">
        <v>16</v>
      </c>
      <c r="H256" s="28">
        <v>45325</v>
      </c>
      <c r="I256" s="27">
        <v>163185</v>
      </c>
      <c r="J256" s="29" t="s">
        <v>640</v>
      </c>
    </row>
    <row r="257" s="22" customFormat="1" spans="1:10">
      <c r="A257" s="30" t="s">
        <v>641</v>
      </c>
      <c r="B257" s="31" t="s">
        <v>642</v>
      </c>
      <c r="C257" s="31" t="s">
        <v>293</v>
      </c>
      <c r="D257" s="31" t="s">
        <v>92</v>
      </c>
      <c r="E257" s="31" t="s">
        <v>391</v>
      </c>
      <c r="F257" s="31" t="s">
        <v>48</v>
      </c>
      <c r="G257" s="31" t="s">
        <v>40</v>
      </c>
      <c r="H257" s="32">
        <v>43698</v>
      </c>
      <c r="I257" s="31">
        <v>123657</v>
      </c>
      <c r="J257" s="33" t="s">
        <v>141</v>
      </c>
    </row>
    <row r="258" s="22" customFormat="1" spans="1:10">
      <c r="A258" s="26" t="s">
        <v>643</v>
      </c>
      <c r="B258" s="27" t="s">
        <v>644</v>
      </c>
      <c r="C258" s="27" t="s">
        <v>19</v>
      </c>
      <c r="D258" s="27" t="s">
        <v>20</v>
      </c>
      <c r="E258" s="27" t="s">
        <v>147</v>
      </c>
      <c r="F258" s="27" t="s">
        <v>15</v>
      </c>
      <c r="G258" s="27" t="s">
        <v>40</v>
      </c>
      <c r="H258" s="28">
        <v>45551</v>
      </c>
      <c r="I258" s="27">
        <v>118593</v>
      </c>
      <c r="J258" s="29" t="s">
        <v>108</v>
      </c>
    </row>
    <row r="259" s="22" customFormat="1" spans="1:10">
      <c r="A259" s="30" t="s">
        <v>645</v>
      </c>
      <c r="B259" s="31" t="s">
        <v>646</v>
      </c>
      <c r="C259" s="31" t="s">
        <v>19</v>
      </c>
      <c r="D259" s="31" t="s">
        <v>26</v>
      </c>
      <c r="E259" s="31" t="s">
        <v>61</v>
      </c>
      <c r="F259" s="31" t="s">
        <v>48</v>
      </c>
      <c r="G259" s="31" t="s">
        <v>16</v>
      </c>
      <c r="H259" s="32">
        <v>44694</v>
      </c>
      <c r="I259" s="31">
        <v>73943</v>
      </c>
      <c r="J259" s="33" t="s">
        <v>440</v>
      </c>
    </row>
    <row r="260" s="22" customFormat="1" spans="1:10">
      <c r="A260" s="26" t="s">
        <v>647</v>
      </c>
      <c r="B260" s="27" t="s">
        <v>271</v>
      </c>
      <c r="C260" s="27" t="s">
        <v>19</v>
      </c>
      <c r="D260" s="27" t="s">
        <v>92</v>
      </c>
      <c r="E260" s="27" t="s">
        <v>189</v>
      </c>
      <c r="F260" s="27" t="s">
        <v>15</v>
      </c>
      <c r="G260" s="27" t="s">
        <v>28</v>
      </c>
      <c r="H260" s="28">
        <v>44812</v>
      </c>
      <c r="I260" s="27">
        <v>139284</v>
      </c>
      <c r="J260" s="29" t="s">
        <v>96</v>
      </c>
    </row>
    <row r="261" s="22" customFormat="1" spans="1:10">
      <c r="A261" s="30" t="s">
        <v>648</v>
      </c>
      <c r="B261" s="31" t="s">
        <v>649</v>
      </c>
      <c r="C261" s="31" t="s">
        <v>12</v>
      </c>
      <c r="D261" s="31" t="s">
        <v>38</v>
      </c>
      <c r="E261" s="31" t="s">
        <v>140</v>
      </c>
      <c r="F261" s="31" t="s">
        <v>48</v>
      </c>
      <c r="G261" s="31" t="s">
        <v>40</v>
      </c>
      <c r="H261" s="32">
        <v>42717</v>
      </c>
      <c r="I261" s="31">
        <v>161928</v>
      </c>
      <c r="J261" s="33" t="s">
        <v>373</v>
      </c>
    </row>
    <row r="262" s="22" customFormat="1" spans="1:10">
      <c r="A262" s="26" t="s">
        <v>650</v>
      </c>
      <c r="B262" s="27" t="s">
        <v>424</v>
      </c>
      <c r="C262" s="27" t="s">
        <v>12</v>
      </c>
      <c r="D262" s="27" t="s">
        <v>32</v>
      </c>
      <c r="E262" s="27" t="s">
        <v>57</v>
      </c>
      <c r="F262" s="27" t="s">
        <v>22</v>
      </c>
      <c r="G262" s="27" t="s">
        <v>16</v>
      </c>
      <c r="H262" s="28">
        <v>42585</v>
      </c>
      <c r="I262" s="27">
        <v>107400</v>
      </c>
      <c r="J262" s="29" t="s">
        <v>436</v>
      </c>
    </row>
    <row r="263" s="22" customFormat="1" spans="1:10">
      <c r="A263" s="30" t="s">
        <v>651</v>
      </c>
      <c r="B263" s="31" t="s">
        <v>652</v>
      </c>
      <c r="C263" s="31" t="s">
        <v>12</v>
      </c>
      <c r="D263" s="31" t="s">
        <v>20</v>
      </c>
      <c r="E263" s="31" t="s">
        <v>70</v>
      </c>
      <c r="F263" s="31" t="s">
        <v>15</v>
      </c>
      <c r="G263" s="31" t="s">
        <v>34</v>
      </c>
      <c r="H263" s="32">
        <v>43007</v>
      </c>
      <c r="I263" s="31">
        <v>99598</v>
      </c>
      <c r="J263" s="33" t="s">
        <v>589</v>
      </c>
    </row>
    <row r="264" s="22" customFormat="1" spans="1:10">
      <c r="A264" s="26" t="s">
        <v>653</v>
      </c>
      <c r="B264" s="27" t="s">
        <v>375</v>
      </c>
      <c r="C264" s="27" t="s">
        <v>19</v>
      </c>
      <c r="D264" s="27" t="s">
        <v>38</v>
      </c>
      <c r="E264" s="27" t="s">
        <v>66</v>
      </c>
      <c r="F264" s="27" t="s">
        <v>15</v>
      </c>
      <c r="G264" s="27" t="s">
        <v>94</v>
      </c>
      <c r="H264" s="28">
        <v>43014</v>
      </c>
      <c r="I264" s="27">
        <v>81876</v>
      </c>
      <c r="J264" s="29"/>
    </row>
    <row r="265" s="22" customFormat="1" spans="1:10">
      <c r="A265" s="30" t="s">
        <v>654</v>
      </c>
      <c r="B265" s="31" t="s">
        <v>631</v>
      </c>
      <c r="C265" s="31" t="s">
        <v>19</v>
      </c>
      <c r="D265" s="31" t="s">
        <v>92</v>
      </c>
      <c r="E265" s="31" t="s">
        <v>391</v>
      </c>
      <c r="F265" s="31" t="s">
        <v>48</v>
      </c>
      <c r="G265" s="31" t="s">
        <v>94</v>
      </c>
      <c r="H265" s="32">
        <v>45460</v>
      </c>
      <c r="I265" s="31">
        <v>190900</v>
      </c>
      <c r="J265" s="33" t="s">
        <v>204</v>
      </c>
    </row>
    <row r="266" s="22" customFormat="1" spans="1:10">
      <c r="A266" s="26" t="s">
        <v>655</v>
      </c>
      <c r="B266" s="27" t="s">
        <v>656</v>
      </c>
      <c r="C266" s="27" t="s">
        <v>12</v>
      </c>
      <c r="D266" s="27" t="s">
        <v>52</v>
      </c>
      <c r="E266" s="27" t="s">
        <v>246</v>
      </c>
      <c r="F266" s="27" t="s">
        <v>22</v>
      </c>
      <c r="G266" s="27" t="s">
        <v>94</v>
      </c>
      <c r="H266" s="28">
        <v>44900</v>
      </c>
      <c r="I266" s="27">
        <v>92057</v>
      </c>
      <c r="J266" s="29" t="s">
        <v>114</v>
      </c>
    </row>
    <row r="267" s="22" customFormat="1" spans="1:10">
      <c r="A267" s="30" t="s">
        <v>657</v>
      </c>
      <c r="B267" s="31" t="s">
        <v>658</v>
      </c>
      <c r="C267" s="31" t="s">
        <v>12</v>
      </c>
      <c r="D267" s="31" t="s">
        <v>26</v>
      </c>
      <c r="E267" s="31" t="s">
        <v>162</v>
      </c>
      <c r="F267" s="31" t="s">
        <v>48</v>
      </c>
      <c r="G267" s="31" t="s">
        <v>62</v>
      </c>
      <c r="H267" s="32">
        <v>42573</v>
      </c>
      <c r="I267" s="31">
        <v>120976</v>
      </c>
      <c r="J267" s="33" t="s">
        <v>298</v>
      </c>
    </row>
    <row r="268" s="22" customFormat="1" spans="1:10">
      <c r="A268" s="26" t="s">
        <v>659</v>
      </c>
      <c r="B268" s="27" t="s">
        <v>660</v>
      </c>
      <c r="C268" s="27" t="s">
        <v>12</v>
      </c>
      <c r="D268" s="27" t="s">
        <v>26</v>
      </c>
      <c r="E268" s="27" t="s">
        <v>61</v>
      </c>
      <c r="F268" s="27" t="s">
        <v>48</v>
      </c>
      <c r="G268" s="27" t="s">
        <v>16</v>
      </c>
      <c r="H268" s="28">
        <v>45130</v>
      </c>
      <c r="I268" s="27">
        <v>86707</v>
      </c>
      <c r="J268" s="29" t="s">
        <v>499</v>
      </c>
    </row>
    <row r="269" s="22" customFormat="1" spans="1:10">
      <c r="A269" s="30" t="s">
        <v>661</v>
      </c>
      <c r="B269" s="31" t="s">
        <v>265</v>
      </c>
      <c r="C269" s="31" t="s">
        <v>146</v>
      </c>
      <c r="D269" s="31" t="s">
        <v>26</v>
      </c>
      <c r="E269" s="31" t="s">
        <v>61</v>
      </c>
      <c r="F269" s="31" t="s">
        <v>15</v>
      </c>
      <c r="G269" s="31" t="s">
        <v>40</v>
      </c>
      <c r="H269" s="32">
        <v>42704</v>
      </c>
      <c r="I269" s="31">
        <v>129733</v>
      </c>
      <c r="J269" s="33" t="s">
        <v>148</v>
      </c>
    </row>
    <row r="270" s="22" customFormat="1" spans="1:10">
      <c r="A270" s="26" t="s">
        <v>662</v>
      </c>
      <c r="B270" s="27" t="s">
        <v>119</v>
      </c>
      <c r="C270" s="27" t="s">
        <v>12</v>
      </c>
      <c r="D270" s="27" t="s">
        <v>13</v>
      </c>
      <c r="E270" s="27" t="s">
        <v>223</v>
      </c>
      <c r="F270" s="27" t="s">
        <v>15</v>
      </c>
      <c r="G270" s="27" t="s">
        <v>40</v>
      </c>
      <c r="H270" s="28">
        <v>43484</v>
      </c>
      <c r="I270" s="27">
        <v>83187</v>
      </c>
      <c r="J270" s="29" t="s">
        <v>663</v>
      </c>
    </row>
    <row r="271" s="22" customFormat="1" spans="1:10">
      <c r="A271" s="30" t="s">
        <v>78</v>
      </c>
      <c r="B271" s="31" t="s">
        <v>664</v>
      </c>
      <c r="C271" s="31" t="s">
        <v>19</v>
      </c>
      <c r="D271" s="31" t="s">
        <v>87</v>
      </c>
      <c r="E271" s="31" t="s">
        <v>156</v>
      </c>
      <c r="F271" s="31" t="s">
        <v>15</v>
      </c>
      <c r="G271" s="31" t="s">
        <v>28</v>
      </c>
      <c r="H271" s="32">
        <v>44184</v>
      </c>
      <c r="I271" s="31">
        <v>271250</v>
      </c>
      <c r="J271" s="33" t="s">
        <v>272</v>
      </c>
    </row>
    <row r="272" s="22" customFormat="1" spans="1:10">
      <c r="A272" s="26" t="s">
        <v>665</v>
      </c>
      <c r="B272" s="27" t="s">
        <v>666</v>
      </c>
      <c r="C272" s="27" t="s">
        <v>12</v>
      </c>
      <c r="D272" s="27" t="s">
        <v>52</v>
      </c>
      <c r="E272" s="27" t="s">
        <v>120</v>
      </c>
      <c r="F272" s="27" t="s">
        <v>22</v>
      </c>
      <c r="G272" s="27" t="s">
        <v>34</v>
      </c>
      <c r="H272" s="28">
        <v>45081</v>
      </c>
      <c r="I272" s="27">
        <v>115810</v>
      </c>
      <c r="J272" s="29" t="s">
        <v>67</v>
      </c>
    </row>
    <row r="273" s="22" customFormat="1" spans="1:10">
      <c r="A273" s="30" t="s">
        <v>667</v>
      </c>
      <c r="B273" s="31" t="s">
        <v>214</v>
      </c>
      <c r="C273" s="31" t="s">
        <v>19</v>
      </c>
      <c r="D273" s="31" t="s">
        <v>52</v>
      </c>
      <c r="E273" s="31" t="s">
        <v>53</v>
      </c>
      <c r="F273" s="31" t="s">
        <v>15</v>
      </c>
      <c r="G273" s="31" t="s">
        <v>40</v>
      </c>
      <c r="H273" s="32">
        <v>44106</v>
      </c>
      <c r="I273" s="31">
        <v>122316</v>
      </c>
      <c r="J273" s="33" t="s">
        <v>619</v>
      </c>
    </row>
    <row r="274" s="22" customFormat="1" spans="1:10">
      <c r="A274" s="26" t="s">
        <v>668</v>
      </c>
      <c r="B274" s="27" t="s">
        <v>31</v>
      </c>
      <c r="C274" s="27" t="s">
        <v>12</v>
      </c>
      <c r="D274" s="27" t="s">
        <v>52</v>
      </c>
      <c r="E274" s="27" t="s">
        <v>53</v>
      </c>
      <c r="F274" s="27" t="s">
        <v>22</v>
      </c>
      <c r="G274" s="27" t="s">
        <v>28</v>
      </c>
      <c r="H274" s="28">
        <v>44359</v>
      </c>
      <c r="I274" s="27">
        <v>183817</v>
      </c>
      <c r="J274" s="29" t="s">
        <v>507</v>
      </c>
    </row>
    <row r="275" s="22" customFormat="1" spans="1:10">
      <c r="A275" s="30" t="s">
        <v>669</v>
      </c>
      <c r="B275" s="31" t="s">
        <v>670</v>
      </c>
      <c r="C275" s="31" t="s">
        <v>12</v>
      </c>
      <c r="D275" s="31" t="s">
        <v>20</v>
      </c>
      <c r="E275" s="31" t="s">
        <v>147</v>
      </c>
      <c r="F275" s="31" t="s">
        <v>15</v>
      </c>
      <c r="G275" s="31" t="s">
        <v>16</v>
      </c>
      <c r="H275" s="32">
        <v>44856</v>
      </c>
      <c r="I275" s="31">
        <v>78062</v>
      </c>
      <c r="J275" s="33" t="s">
        <v>671</v>
      </c>
    </row>
    <row r="276" s="22" customFormat="1" spans="1:10">
      <c r="A276" s="26" t="s">
        <v>672</v>
      </c>
      <c r="B276" s="27" t="s">
        <v>673</v>
      </c>
      <c r="C276" s="27" t="s">
        <v>19</v>
      </c>
      <c r="D276" s="27" t="s">
        <v>92</v>
      </c>
      <c r="E276" s="27" t="s">
        <v>391</v>
      </c>
      <c r="F276" s="27" t="s">
        <v>15</v>
      </c>
      <c r="G276" s="27" t="s">
        <v>62</v>
      </c>
      <c r="H276" s="28">
        <v>44180</v>
      </c>
      <c r="I276" s="27">
        <v>139206</v>
      </c>
      <c r="J276" s="29" t="s">
        <v>134</v>
      </c>
    </row>
    <row r="277" s="22" customFormat="1" spans="1:10">
      <c r="A277" s="30" t="s">
        <v>674</v>
      </c>
      <c r="B277" s="31" t="s">
        <v>656</v>
      </c>
      <c r="C277" s="31" t="s">
        <v>19</v>
      </c>
      <c r="D277" s="31" t="s">
        <v>92</v>
      </c>
      <c r="E277" s="31" t="s">
        <v>189</v>
      </c>
      <c r="F277" s="31" t="s">
        <v>48</v>
      </c>
      <c r="G277" s="31" t="s">
        <v>40</v>
      </c>
      <c r="H277" s="32">
        <v>44066</v>
      </c>
      <c r="I277" s="31">
        <v>64953</v>
      </c>
      <c r="J277" s="33" t="s">
        <v>465</v>
      </c>
    </row>
    <row r="278" s="22" customFormat="1" spans="1:10">
      <c r="A278" s="26" t="s">
        <v>675</v>
      </c>
      <c r="B278" s="27" t="s">
        <v>69</v>
      </c>
      <c r="C278" s="27" t="s">
        <v>19</v>
      </c>
      <c r="D278" s="27" t="s">
        <v>52</v>
      </c>
      <c r="E278" s="27" t="s">
        <v>246</v>
      </c>
      <c r="F278" s="27" t="s">
        <v>48</v>
      </c>
      <c r="G278" s="27" t="s">
        <v>34</v>
      </c>
      <c r="H278" s="28">
        <v>43488</v>
      </c>
      <c r="I278" s="27">
        <v>90476</v>
      </c>
      <c r="J278" s="29" t="s">
        <v>676</v>
      </c>
    </row>
    <row r="279" s="22" customFormat="1" spans="1:10">
      <c r="A279" s="30" t="s">
        <v>277</v>
      </c>
      <c r="B279" s="31" t="s">
        <v>195</v>
      </c>
      <c r="C279" s="31" t="s">
        <v>12</v>
      </c>
      <c r="D279" s="31" t="s">
        <v>32</v>
      </c>
      <c r="E279" s="31" t="s">
        <v>208</v>
      </c>
      <c r="F279" s="31" t="s">
        <v>15</v>
      </c>
      <c r="G279" s="31" t="s">
        <v>62</v>
      </c>
      <c r="H279" s="32">
        <v>43252</v>
      </c>
      <c r="I279" s="31">
        <v>95485</v>
      </c>
      <c r="J279" s="33" t="s">
        <v>336</v>
      </c>
    </row>
    <row r="280" s="22" customFormat="1" spans="1:10">
      <c r="A280" s="26" t="s">
        <v>677</v>
      </c>
      <c r="B280" s="27" t="s">
        <v>678</v>
      </c>
      <c r="C280" s="27" t="s">
        <v>19</v>
      </c>
      <c r="D280" s="27" t="s">
        <v>26</v>
      </c>
      <c r="E280" s="27" t="s">
        <v>162</v>
      </c>
      <c r="F280" s="27" t="s">
        <v>15</v>
      </c>
      <c r="G280" s="27" t="s">
        <v>94</v>
      </c>
      <c r="H280" s="28">
        <v>45462</v>
      </c>
      <c r="I280" s="27">
        <v>90571</v>
      </c>
      <c r="J280" s="29" t="s">
        <v>114</v>
      </c>
    </row>
    <row r="281" s="22" customFormat="1" spans="1:10">
      <c r="A281" s="30" t="s">
        <v>679</v>
      </c>
      <c r="B281" s="31" t="s">
        <v>680</v>
      </c>
      <c r="C281" s="31" t="s">
        <v>12</v>
      </c>
      <c r="D281" s="31" t="s">
        <v>52</v>
      </c>
      <c r="E281" s="31" t="s">
        <v>120</v>
      </c>
      <c r="F281" s="31" t="s">
        <v>15</v>
      </c>
      <c r="G281" s="31" t="s">
        <v>16</v>
      </c>
      <c r="H281" s="32">
        <v>44468</v>
      </c>
      <c r="I281" s="31">
        <v>165934</v>
      </c>
      <c r="J281" s="33" t="s">
        <v>539</v>
      </c>
    </row>
    <row r="282" s="22" customFormat="1" spans="1:10">
      <c r="A282" s="26" t="s">
        <v>681</v>
      </c>
      <c r="B282" s="27" t="s">
        <v>682</v>
      </c>
      <c r="C282" s="27" t="s">
        <v>12</v>
      </c>
      <c r="D282" s="27" t="s">
        <v>52</v>
      </c>
      <c r="E282" s="27" t="s">
        <v>120</v>
      </c>
      <c r="F282" s="27" t="s">
        <v>15</v>
      </c>
      <c r="G282" s="27" t="s">
        <v>34</v>
      </c>
      <c r="H282" s="28">
        <v>42836</v>
      </c>
      <c r="I282" s="27">
        <v>144447</v>
      </c>
      <c r="J282" s="29"/>
    </row>
    <row r="283" s="22" customFormat="1" spans="1:10">
      <c r="A283" s="30" t="s">
        <v>683</v>
      </c>
      <c r="B283" s="31" t="s">
        <v>684</v>
      </c>
      <c r="C283" s="31" t="s">
        <v>19</v>
      </c>
      <c r="D283" s="31" t="s">
        <v>13</v>
      </c>
      <c r="E283" s="31" t="s">
        <v>223</v>
      </c>
      <c r="F283" s="31" t="s">
        <v>15</v>
      </c>
      <c r="G283" s="31" t="s">
        <v>40</v>
      </c>
      <c r="H283" s="32">
        <v>43783</v>
      </c>
      <c r="I283" s="31">
        <v>262569</v>
      </c>
      <c r="J283" s="33" t="s">
        <v>374</v>
      </c>
    </row>
    <row r="284" s="22" customFormat="1" spans="1:10">
      <c r="A284" s="26" t="s">
        <v>685</v>
      </c>
      <c r="B284" s="27" t="s">
        <v>686</v>
      </c>
      <c r="C284" s="27" t="s">
        <v>12</v>
      </c>
      <c r="D284" s="27" t="s">
        <v>13</v>
      </c>
      <c r="E284" s="27" t="s">
        <v>165</v>
      </c>
      <c r="F284" s="27" t="s">
        <v>15</v>
      </c>
      <c r="G284" s="27" t="s">
        <v>16</v>
      </c>
      <c r="H284" s="28">
        <v>44130</v>
      </c>
      <c r="I284" s="27">
        <v>177614</v>
      </c>
      <c r="J284" s="29" t="s">
        <v>220</v>
      </c>
    </row>
    <row r="285" s="22" customFormat="1" spans="1:10">
      <c r="A285" s="30" t="s">
        <v>687</v>
      </c>
      <c r="B285" s="31" t="s">
        <v>688</v>
      </c>
      <c r="C285" s="31" t="s">
        <v>19</v>
      </c>
      <c r="D285" s="31" t="s">
        <v>38</v>
      </c>
      <c r="E285" s="31" t="s">
        <v>77</v>
      </c>
      <c r="F285" s="31" t="s">
        <v>15</v>
      </c>
      <c r="G285" s="31" t="s">
        <v>62</v>
      </c>
      <c r="H285" s="32">
        <v>42824</v>
      </c>
      <c r="I285" s="31">
        <v>78609</v>
      </c>
      <c r="J285" s="33" t="s">
        <v>689</v>
      </c>
    </row>
    <row r="286" s="22" customFormat="1" spans="1:10">
      <c r="A286" s="26" t="s">
        <v>690</v>
      </c>
      <c r="B286" s="27" t="s">
        <v>691</v>
      </c>
      <c r="C286" s="27" t="s">
        <v>19</v>
      </c>
      <c r="D286" s="27" t="s">
        <v>92</v>
      </c>
      <c r="E286" s="27" t="s">
        <v>391</v>
      </c>
      <c r="F286" s="27" t="s">
        <v>15</v>
      </c>
      <c r="G286" s="27" t="s">
        <v>62</v>
      </c>
      <c r="H286" s="28">
        <v>43530</v>
      </c>
      <c r="I286" s="27">
        <v>90107</v>
      </c>
      <c r="J286" s="29" t="s">
        <v>209</v>
      </c>
    </row>
    <row r="287" s="22" customFormat="1" spans="1:10">
      <c r="A287" s="30" t="s">
        <v>692</v>
      </c>
      <c r="B287" s="31" t="s">
        <v>242</v>
      </c>
      <c r="C287" s="31" t="s">
        <v>12</v>
      </c>
      <c r="D287" s="31" t="s">
        <v>38</v>
      </c>
      <c r="E287" s="31" t="s">
        <v>140</v>
      </c>
      <c r="F287" s="31" t="s">
        <v>15</v>
      </c>
      <c r="G287" s="31" t="s">
        <v>62</v>
      </c>
      <c r="H287" s="32">
        <v>45147</v>
      </c>
      <c r="I287" s="31">
        <v>218934</v>
      </c>
      <c r="J287" s="33" t="s">
        <v>67</v>
      </c>
    </row>
    <row r="288" s="22" customFormat="1" spans="1:10">
      <c r="A288" s="26" t="s">
        <v>693</v>
      </c>
      <c r="B288" s="27" t="s">
        <v>694</v>
      </c>
      <c r="C288" s="27" t="s">
        <v>12</v>
      </c>
      <c r="D288" s="27" t="s">
        <v>13</v>
      </c>
      <c r="E288" s="27" t="s">
        <v>14</v>
      </c>
      <c r="F288" s="27" t="s">
        <v>15</v>
      </c>
      <c r="G288" s="27" t="s">
        <v>62</v>
      </c>
      <c r="H288" s="28">
        <v>45149</v>
      </c>
      <c r="I288" s="27">
        <v>66490</v>
      </c>
      <c r="J288" s="29"/>
    </row>
    <row r="289" s="22" customFormat="1" spans="1:10">
      <c r="A289" s="30" t="s">
        <v>695</v>
      </c>
      <c r="B289" s="31" t="s">
        <v>696</v>
      </c>
      <c r="C289" s="31" t="s">
        <v>19</v>
      </c>
      <c r="D289" s="31" t="s">
        <v>92</v>
      </c>
      <c r="E289" s="31" t="s">
        <v>391</v>
      </c>
      <c r="F289" s="31" t="s">
        <v>15</v>
      </c>
      <c r="G289" s="31" t="s">
        <v>28</v>
      </c>
      <c r="H289" s="32">
        <v>44799</v>
      </c>
      <c r="I289" s="31">
        <v>148675</v>
      </c>
      <c r="J289" s="33" t="s">
        <v>464</v>
      </c>
    </row>
    <row r="290" s="22" customFormat="1" spans="1:10">
      <c r="A290" s="26" t="s">
        <v>697</v>
      </c>
      <c r="B290" s="27" t="s">
        <v>698</v>
      </c>
      <c r="C290" s="27" t="s">
        <v>19</v>
      </c>
      <c r="D290" s="27" t="s">
        <v>87</v>
      </c>
      <c r="E290" s="27" t="s">
        <v>88</v>
      </c>
      <c r="F290" s="27" t="s">
        <v>15</v>
      </c>
      <c r="G290" s="27" t="s">
        <v>40</v>
      </c>
      <c r="H290" s="28">
        <v>44363</v>
      </c>
      <c r="I290" s="27">
        <v>198833</v>
      </c>
      <c r="J290" s="29" t="s">
        <v>148</v>
      </c>
    </row>
    <row r="291" s="22" customFormat="1" spans="1:10">
      <c r="A291" s="30" t="s">
        <v>699</v>
      </c>
      <c r="B291" s="31" t="s">
        <v>700</v>
      </c>
      <c r="C291" s="31" t="s">
        <v>19</v>
      </c>
      <c r="D291" s="31" t="s">
        <v>32</v>
      </c>
      <c r="E291" s="31" t="s">
        <v>57</v>
      </c>
      <c r="F291" s="31" t="s">
        <v>48</v>
      </c>
      <c r="G291" s="31" t="s">
        <v>94</v>
      </c>
      <c r="H291" s="32">
        <v>44528</v>
      </c>
      <c r="I291" s="31">
        <v>99645</v>
      </c>
      <c r="J291" s="33" t="s">
        <v>562</v>
      </c>
    </row>
    <row r="292" s="22" customFormat="1" spans="1:10">
      <c r="A292" s="26" t="s">
        <v>701</v>
      </c>
      <c r="B292" s="27" t="s">
        <v>584</v>
      </c>
      <c r="C292" s="27" t="s">
        <v>19</v>
      </c>
      <c r="D292" s="27" t="s">
        <v>38</v>
      </c>
      <c r="E292" s="27" t="s">
        <v>66</v>
      </c>
      <c r="F292" s="27" t="s">
        <v>48</v>
      </c>
      <c r="G292" s="27" t="s">
        <v>62</v>
      </c>
      <c r="H292" s="28">
        <v>45102</v>
      </c>
      <c r="I292" s="27">
        <v>110649</v>
      </c>
      <c r="J292" s="29" t="s">
        <v>286</v>
      </c>
    </row>
    <row r="293" s="22" customFormat="1" spans="1:10">
      <c r="A293" s="30" t="s">
        <v>702</v>
      </c>
      <c r="B293" s="31" t="s">
        <v>703</v>
      </c>
      <c r="C293" s="31" t="s">
        <v>12</v>
      </c>
      <c r="D293" s="31" t="s">
        <v>38</v>
      </c>
      <c r="E293" s="31" t="s">
        <v>77</v>
      </c>
      <c r="F293" s="31" t="s">
        <v>48</v>
      </c>
      <c r="G293" s="31" t="s">
        <v>62</v>
      </c>
      <c r="H293" s="32">
        <v>43633</v>
      </c>
      <c r="I293" s="31">
        <v>90407</v>
      </c>
      <c r="J293" s="33" t="s">
        <v>374</v>
      </c>
    </row>
    <row r="294" s="22" customFormat="1" spans="1:10">
      <c r="A294" s="26" t="s">
        <v>704</v>
      </c>
      <c r="B294" s="27" t="s">
        <v>705</v>
      </c>
      <c r="C294" s="27" t="s">
        <v>12</v>
      </c>
      <c r="D294" s="27" t="s">
        <v>52</v>
      </c>
      <c r="E294" s="27" t="s">
        <v>120</v>
      </c>
      <c r="F294" s="27" t="s">
        <v>15</v>
      </c>
      <c r="G294" s="27" t="s">
        <v>34</v>
      </c>
      <c r="H294" s="28">
        <v>42556</v>
      </c>
      <c r="I294" s="27">
        <v>86531</v>
      </c>
      <c r="J294" s="29" t="s">
        <v>449</v>
      </c>
    </row>
    <row r="295" s="22" customFormat="1" spans="1:10">
      <c r="A295" s="30" t="s">
        <v>706</v>
      </c>
      <c r="B295" s="31" t="s">
        <v>707</v>
      </c>
      <c r="C295" s="31" t="s">
        <v>19</v>
      </c>
      <c r="D295" s="31" t="s">
        <v>13</v>
      </c>
      <c r="E295" s="31" t="s">
        <v>223</v>
      </c>
      <c r="F295" s="31" t="s">
        <v>15</v>
      </c>
      <c r="G295" s="31" t="s">
        <v>94</v>
      </c>
      <c r="H295" s="32">
        <v>43273</v>
      </c>
      <c r="I295" s="31">
        <v>166965</v>
      </c>
      <c r="J295" s="33" t="s">
        <v>708</v>
      </c>
    </row>
    <row r="296" s="22" customFormat="1" spans="1:10">
      <c r="A296" s="26" t="s">
        <v>709</v>
      </c>
      <c r="B296" s="27" t="s">
        <v>710</v>
      </c>
      <c r="C296" s="27" t="s">
        <v>12</v>
      </c>
      <c r="D296" s="27" t="s">
        <v>38</v>
      </c>
      <c r="E296" s="27" t="s">
        <v>39</v>
      </c>
      <c r="F296" s="27" t="s">
        <v>15</v>
      </c>
      <c r="G296" s="27" t="s">
        <v>40</v>
      </c>
      <c r="H296" s="28">
        <v>43988</v>
      </c>
      <c r="I296" s="27">
        <v>220987</v>
      </c>
      <c r="J296" s="29" t="s">
        <v>711</v>
      </c>
    </row>
    <row r="297" s="22" customFormat="1" spans="1:10">
      <c r="A297" s="30" t="s">
        <v>712</v>
      </c>
      <c r="B297" s="31" t="s">
        <v>245</v>
      </c>
      <c r="C297" s="31" t="s">
        <v>12</v>
      </c>
      <c r="D297" s="31" t="s">
        <v>92</v>
      </c>
      <c r="E297" s="31" t="s">
        <v>189</v>
      </c>
      <c r="F297" s="31" t="s">
        <v>15</v>
      </c>
      <c r="G297" s="31" t="s">
        <v>62</v>
      </c>
      <c r="H297" s="32">
        <v>44824</v>
      </c>
      <c r="I297" s="31">
        <v>126321</v>
      </c>
      <c r="J297" s="33" t="s">
        <v>601</v>
      </c>
    </row>
    <row r="298" s="22" customFormat="1" spans="1:10">
      <c r="A298" s="26" t="s">
        <v>713</v>
      </c>
      <c r="B298" s="27" t="s">
        <v>714</v>
      </c>
      <c r="C298" s="27" t="s">
        <v>19</v>
      </c>
      <c r="D298" s="27" t="s">
        <v>26</v>
      </c>
      <c r="E298" s="27" t="s">
        <v>162</v>
      </c>
      <c r="F298" s="27" t="s">
        <v>15</v>
      </c>
      <c r="G298" s="27" t="s">
        <v>40</v>
      </c>
      <c r="H298" s="28">
        <v>42594</v>
      </c>
      <c r="I298" s="27">
        <v>142246</v>
      </c>
      <c r="J298" s="29" t="s">
        <v>619</v>
      </c>
    </row>
    <row r="299" s="22" customFormat="1" spans="1:10">
      <c r="A299" s="30" t="s">
        <v>715</v>
      </c>
      <c r="B299" s="31" t="s">
        <v>635</v>
      </c>
      <c r="C299" s="31" t="s">
        <v>19</v>
      </c>
      <c r="D299" s="31" t="s">
        <v>38</v>
      </c>
      <c r="E299" s="31" t="s">
        <v>77</v>
      </c>
      <c r="F299" s="31" t="s">
        <v>15</v>
      </c>
      <c r="G299" s="31" t="s">
        <v>62</v>
      </c>
      <c r="H299" s="32">
        <v>42401</v>
      </c>
      <c r="I299" s="31">
        <v>105719</v>
      </c>
      <c r="J299" s="33"/>
    </row>
    <row r="300" s="22" customFormat="1" spans="1:10">
      <c r="A300" s="26" t="s">
        <v>716</v>
      </c>
      <c r="B300" s="27" t="s">
        <v>717</v>
      </c>
      <c r="C300" s="27" t="s">
        <v>19</v>
      </c>
      <c r="D300" s="27" t="s">
        <v>32</v>
      </c>
      <c r="E300" s="27" t="s">
        <v>33</v>
      </c>
      <c r="F300" s="27" t="s">
        <v>15</v>
      </c>
      <c r="G300" s="27" t="s">
        <v>28</v>
      </c>
      <c r="H300" s="28">
        <v>43207</v>
      </c>
      <c r="I300" s="27">
        <v>65312</v>
      </c>
      <c r="J300" s="29" t="s">
        <v>547</v>
      </c>
    </row>
    <row r="301" s="22" customFormat="1" spans="1:10">
      <c r="A301" s="30" t="s">
        <v>718</v>
      </c>
      <c r="B301" s="31" t="s">
        <v>625</v>
      </c>
      <c r="C301" s="31" t="s">
        <v>12</v>
      </c>
      <c r="D301" s="31" t="s">
        <v>38</v>
      </c>
      <c r="E301" s="31" t="s">
        <v>44</v>
      </c>
      <c r="F301" s="31" t="s">
        <v>15</v>
      </c>
      <c r="G301" s="31" t="s">
        <v>94</v>
      </c>
      <c r="H301" s="32">
        <v>43604</v>
      </c>
      <c r="I301" s="31">
        <v>109499</v>
      </c>
      <c r="J301" s="33" t="s">
        <v>579</v>
      </c>
    </row>
    <row r="302" s="22" customFormat="1" spans="1:10">
      <c r="A302" s="26" t="s">
        <v>719</v>
      </c>
      <c r="B302" s="27" t="s">
        <v>720</v>
      </c>
      <c r="C302" s="27" t="s">
        <v>12</v>
      </c>
      <c r="D302" s="27" t="s">
        <v>38</v>
      </c>
      <c r="E302" s="27" t="s">
        <v>77</v>
      </c>
      <c r="F302" s="27" t="s">
        <v>15</v>
      </c>
      <c r="G302" s="27" t="s">
        <v>94</v>
      </c>
      <c r="H302" s="28">
        <v>43235</v>
      </c>
      <c r="I302" s="27">
        <v>195905</v>
      </c>
      <c r="J302" s="29" t="s">
        <v>721</v>
      </c>
    </row>
    <row r="303" s="22" customFormat="1" spans="1:10">
      <c r="A303" s="30" t="s">
        <v>722</v>
      </c>
      <c r="B303" s="31" t="s">
        <v>47</v>
      </c>
      <c r="C303" s="31" t="s">
        <v>19</v>
      </c>
      <c r="D303" s="31" t="s">
        <v>92</v>
      </c>
      <c r="E303" s="31" t="s">
        <v>193</v>
      </c>
      <c r="F303" s="31" t="s">
        <v>15</v>
      </c>
      <c r="G303" s="31" t="s">
        <v>16</v>
      </c>
      <c r="H303" s="32">
        <v>45513</v>
      </c>
      <c r="I303" s="31">
        <v>208862</v>
      </c>
      <c r="J303" s="33" t="s">
        <v>151</v>
      </c>
    </row>
    <row r="304" s="22" customFormat="1" spans="1:10">
      <c r="A304" s="26" t="s">
        <v>723</v>
      </c>
      <c r="B304" s="27" t="s">
        <v>724</v>
      </c>
      <c r="C304" s="27" t="s">
        <v>12</v>
      </c>
      <c r="D304" s="27" t="s">
        <v>92</v>
      </c>
      <c r="E304" s="27" t="s">
        <v>189</v>
      </c>
      <c r="F304" s="27" t="s">
        <v>48</v>
      </c>
      <c r="G304" s="27" t="s">
        <v>16</v>
      </c>
      <c r="H304" s="28">
        <v>42932</v>
      </c>
      <c r="I304" s="27">
        <v>81885</v>
      </c>
      <c r="J304" s="29" t="s">
        <v>725</v>
      </c>
    </row>
    <row r="305" s="22" customFormat="1" spans="1:10">
      <c r="A305" s="30" t="s">
        <v>726</v>
      </c>
      <c r="B305" s="31" t="s">
        <v>469</v>
      </c>
      <c r="C305" s="31" t="s">
        <v>12</v>
      </c>
      <c r="D305" s="31" t="s">
        <v>32</v>
      </c>
      <c r="E305" s="31" t="s">
        <v>130</v>
      </c>
      <c r="F305" s="31" t="s">
        <v>15</v>
      </c>
      <c r="G305" s="31" t="s">
        <v>28</v>
      </c>
      <c r="H305" s="32">
        <v>45500</v>
      </c>
      <c r="I305" s="31">
        <v>83292</v>
      </c>
      <c r="J305" s="33" t="s">
        <v>727</v>
      </c>
    </row>
    <row r="306" s="22" customFormat="1" spans="1:10">
      <c r="A306" s="26" t="s">
        <v>728</v>
      </c>
      <c r="B306" s="27" t="s">
        <v>437</v>
      </c>
      <c r="C306" s="27" t="s">
        <v>19</v>
      </c>
      <c r="D306" s="27" t="s">
        <v>26</v>
      </c>
      <c r="E306" s="27" t="s">
        <v>294</v>
      </c>
      <c r="F306" s="27" t="s">
        <v>15</v>
      </c>
      <c r="G306" s="27" t="s">
        <v>16</v>
      </c>
      <c r="H306" s="28">
        <v>43416</v>
      </c>
      <c r="I306" s="27">
        <v>119968</v>
      </c>
      <c r="J306" s="29"/>
    </row>
    <row r="307" s="22" customFormat="1" spans="1:10">
      <c r="A307" s="30" t="s">
        <v>729</v>
      </c>
      <c r="B307" s="31" t="s">
        <v>730</v>
      </c>
      <c r="C307" s="31" t="s">
        <v>19</v>
      </c>
      <c r="D307" s="31" t="s">
        <v>20</v>
      </c>
      <c r="E307" s="31" t="s">
        <v>70</v>
      </c>
      <c r="F307" s="31" t="s">
        <v>15</v>
      </c>
      <c r="G307" s="31" t="s">
        <v>34</v>
      </c>
      <c r="H307" s="32">
        <v>43555</v>
      </c>
      <c r="I307" s="31">
        <v>112609</v>
      </c>
      <c r="J307" s="33" t="s">
        <v>579</v>
      </c>
    </row>
    <row r="308" s="22" customFormat="1" spans="1:10">
      <c r="A308" s="26" t="s">
        <v>731</v>
      </c>
      <c r="B308" s="27" t="s">
        <v>732</v>
      </c>
      <c r="C308" s="27" t="s">
        <v>19</v>
      </c>
      <c r="D308" s="27" t="s">
        <v>92</v>
      </c>
      <c r="E308" s="27" t="s">
        <v>126</v>
      </c>
      <c r="F308" s="27" t="s">
        <v>15</v>
      </c>
      <c r="G308" s="27" t="s">
        <v>94</v>
      </c>
      <c r="H308" s="28">
        <v>43713</v>
      </c>
      <c r="I308" s="27">
        <v>88616</v>
      </c>
      <c r="J308" s="29" t="s">
        <v>689</v>
      </c>
    </row>
    <row r="309" s="22" customFormat="1" spans="1:10">
      <c r="A309" s="30" t="s">
        <v>733</v>
      </c>
      <c r="B309" s="31" t="s">
        <v>734</v>
      </c>
      <c r="C309" s="31" t="s">
        <v>12</v>
      </c>
      <c r="D309" s="31" t="s">
        <v>13</v>
      </c>
      <c r="E309" s="31" t="s">
        <v>223</v>
      </c>
      <c r="F309" s="31" t="s">
        <v>15</v>
      </c>
      <c r="G309" s="31" t="s">
        <v>34</v>
      </c>
      <c r="H309" s="32">
        <v>42861</v>
      </c>
      <c r="I309" s="31">
        <v>89011</v>
      </c>
      <c r="J309" s="33" t="s">
        <v>493</v>
      </c>
    </row>
    <row r="310" s="22" customFormat="1" spans="1:10">
      <c r="A310" s="26" t="s">
        <v>735</v>
      </c>
      <c r="B310" s="27" t="s">
        <v>736</v>
      </c>
      <c r="C310" s="27" t="s">
        <v>12</v>
      </c>
      <c r="D310" s="27" t="s">
        <v>52</v>
      </c>
      <c r="E310" s="27" t="s">
        <v>246</v>
      </c>
      <c r="F310" s="27" t="s">
        <v>15</v>
      </c>
      <c r="G310" s="27" t="s">
        <v>28</v>
      </c>
      <c r="H310" s="28">
        <v>42401</v>
      </c>
      <c r="I310" s="27">
        <v>61353</v>
      </c>
      <c r="J310" s="29" t="s">
        <v>543</v>
      </c>
    </row>
    <row r="311" s="22" customFormat="1" spans="1:10">
      <c r="A311" s="30" t="s">
        <v>285</v>
      </c>
      <c r="B311" s="31" t="s">
        <v>737</v>
      </c>
      <c r="C311" s="31" t="s">
        <v>12</v>
      </c>
      <c r="D311" s="31" t="s">
        <v>87</v>
      </c>
      <c r="E311" s="31" t="s">
        <v>111</v>
      </c>
      <c r="F311" s="31" t="s">
        <v>15</v>
      </c>
      <c r="G311" s="31" t="s">
        <v>94</v>
      </c>
      <c r="H311" s="32">
        <v>44407</v>
      </c>
      <c r="I311" s="31">
        <v>123846</v>
      </c>
      <c r="J311" s="33" t="s">
        <v>288</v>
      </c>
    </row>
    <row r="312" s="22" customFormat="1" spans="1:10">
      <c r="A312" s="26" t="s">
        <v>738</v>
      </c>
      <c r="B312" s="27" t="s">
        <v>739</v>
      </c>
      <c r="C312" s="27" t="s">
        <v>12</v>
      </c>
      <c r="D312" s="27" t="s">
        <v>13</v>
      </c>
      <c r="E312" s="27" t="s">
        <v>14</v>
      </c>
      <c r="F312" s="27" t="s">
        <v>15</v>
      </c>
      <c r="G312" s="27" t="s">
        <v>34</v>
      </c>
      <c r="H312" s="28">
        <v>45429</v>
      </c>
      <c r="I312" s="27">
        <v>173306</v>
      </c>
      <c r="J312" s="29"/>
    </row>
    <row r="313" s="22" customFormat="1" spans="1:10">
      <c r="A313" s="30" t="s">
        <v>740</v>
      </c>
      <c r="B313" s="31" t="s">
        <v>315</v>
      </c>
      <c r="C313" s="31" t="s">
        <v>19</v>
      </c>
      <c r="D313" s="31" t="s">
        <v>38</v>
      </c>
      <c r="E313" s="31" t="s">
        <v>39</v>
      </c>
      <c r="F313" s="31" t="s">
        <v>15</v>
      </c>
      <c r="G313" s="31" t="s">
        <v>62</v>
      </c>
      <c r="H313" s="32">
        <v>44133</v>
      </c>
      <c r="I313" s="31">
        <v>216411</v>
      </c>
      <c r="J313" s="33" t="s">
        <v>50</v>
      </c>
    </row>
    <row r="314" s="22" customFormat="1" spans="1:10">
      <c r="A314" s="26" t="s">
        <v>741</v>
      </c>
      <c r="B314" s="27" t="s">
        <v>742</v>
      </c>
      <c r="C314" s="27" t="s">
        <v>19</v>
      </c>
      <c r="D314" s="27" t="s">
        <v>38</v>
      </c>
      <c r="E314" s="27" t="s">
        <v>140</v>
      </c>
      <c r="F314" s="27" t="s">
        <v>15</v>
      </c>
      <c r="G314" s="27" t="s">
        <v>62</v>
      </c>
      <c r="H314" s="28">
        <v>43089</v>
      </c>
      <c r="I314" s="27">
        <v>254167</v>
      </c>
      <c r="J314" s="29" t="s">
        <v>253</v>
      </c>
    </row>
    <row r="315" s="22" customFormat="1" spans="1:10">
      <c r="A315" s="30" t="s">
        <v>58</v>
      </c>
      <c r="B315" s="31" t="s">
        <v>743</v>
      </c>
      <c r="C315" s="31" t="s">
        <v>19</v>
      </c>
      <c r="D315" s="31" t="s">
        <v>20</v>
      </c>
      <c r="E315" s="31" t="s">
        <v>70</v>
      </c>
      <c r="F315" s="31" t="s">
        <v>48</v>
      </c>
      <c r="G315" s="31" t="s">
        <v>62</v>
      </c>
      <c r="H315" s="32">
        <v>42899</v>
      </c>
      <c r="I315" s="31">
        <v>111527</v>
      </c>
      <c r="J315" s="33" t="s">
        <v>721</v>
      </c>
    </row>
    <row r="316" s="22" customFormat="1" spans="1:10">
      <c r="A316" s="26" t="s">
        <v>744</v>
      </c>
      <c r="B316" s="27" t="s">
        <v>455</v>
      </c>
      <c r="C316" s="27" t="s">
        <v>12</v>
      </c>
      <c r="D316" s="27" t="s">
        <v>52</v>
      </c>
      <c r="E316" s="27" t="s">
        <v>120</v>
      </c>
      <c r="F316" s="27" t="s">
        <v>15</v>
      </c>
      <c r="G316" s="27" t="s">
        <v>28</v>
      </c>
      <c r="H316" s="28">
        <v>43927</v>
      </c>
      <c r="I316" s="27">
        <v>116603</v>
      </c>
      <c r="J316" s="29" t="s">
        <v>175</v>
      </c>
    </row>
    <row r="317" s="22" customFormat="1" spans="1:10">
      <c r="A317" s="30" t="s">
        <v>745</v>
      </c>
      <c r="B317" s="31" t="s">
        <v>746</v>
      </c>
      <c r="C317" s="31" t="s">
        <v>12</v>
      </c>
      <c r="D317" s="31" t="s">
        <v>26</v>
      </c>
      <c r="E317" s="31" t="s">
        <v>294</v>
      </c>
      <c r="F317" s="31" t="s">
        <v>15</v>
      </c>
      <c r="G317" s="31" t="s">
        <v>16</v>
      </c>
      <c r="H317" s="32">
        <v>44551</v>
      </c>
      <c r="I317" s="31">
        <v>141544</v>
      </c>
      <c r="J317" s="33" t="s">
        <v>397</v>
      </c>
    </row>
    <row r="318" s="22" customFormat="1" spans="1:10">
      <c r="A318" s="26" t="s">
        <v>747</v>
      </c>
      <c r="B318" s="27" t="s">
        <v>748</v>
      </c>
      <c r="C318" s="27" t="s">
        <v>19</v>
      </c>
      <c r="D318" s="27" t="s">
        <v>13</v>
      </c>
      <c r="E318" s="27" t="s">
        <v>165</v>
      </c>
      <c r="F318" s="27" t="s">
        <v>15</v>
      </c>
      <c r="G318" s="27" t="s">
        <v>40</v>
      </c>
      <c r="H318" s="28">
        <v>45252</v>
      </c>
      <c r="I318" s="27">
        <v>178865</v>
      </c>
      <c r="J318" s="29" t="s">
        <v>419</v>
      </c>
    </row>
    <row r="319" s="22" customFormat="1" spans="1:10">
      <c r="A319" s="30" t="s">
        <v>749</v>
      </c>
      <c r="B319" s="31" t="s">
        <v>750</v>
      </c>
      <c r="C319" s="31" t="s">
        <v>12</v>
      </c>
      <c r="D319" s="31" t="s">
        <v>38</v>
      </c>
      <c r="E319" s="31" t="s">
        <v>44</v>
      </c>
      <c r="F319" s="31" t="s">
        <v>48</v>
      </c>
      <c r="G319" s="31" t="s">
        <v>28</v>
      </c>
      <c r="H319" s="32">
        <v>43312</v>
      </c>
      <c r="I319" s="31">
        <v>182959</v>
      </c>
      <c r="J319" s="33" t="s">
        <v>134</v>
      </c>
    </row>
    <row r="320" s="22" customFormat="1" spans="1:10">
      <c r="A320" s="26" t="s">
        <v>751</v>
      </c>
      <c r="B320" s="27" t="s">
        <v>752</v>
      </c>
      <c r="C320" s="27" t="s">
        <v>19</v>
      </c>
      <c r="D320" s="27" t="s">
        <v>38</v>
      </c>
      <c r="E320" s="27" t="s">
        <v>77</v>
      </c>
      <c r="F320" s="27" t="s">
        <v>15</v>
      </c>
      <c r="G320" s="27" t="s">
        <v>94</v>
      </c>
      <c r="H320" s="28">
        <v>44419</v>
      </c>
      <c r="I320" s="27">
        <v>96425</v>
      </c>
      <c r="J320" s="29" t="s">
        <v>471</v>
      </c>
    </row>
    <row r="321" s="22" customFormat="1" spans="1:10">
      <c r="A321" s="30" t="s">
        <v>753</v>
      </c>
      <c r="B321" s="31" t="s">
        <v>754</v>
      </c>
      <c r="C321" s="31" t="s">
        <v>12</v>
      </c>
      <c r="D321" s="31" t="s">
        <v>87</v>
      </c>
      <c r="E321" s="31" t="s">
        <v>88</v>
      </c>
      <c r="F321" s="31" t="s">
        <v>15</v>
      </c>
      <c r="G321" s="31" t="s">
        <v>16</v>
      </c>
      <c r="H321" s="32">
        <v>44658</v>
      </c>
      <c r="I321" s="31">
        <v>176119</v>
      </c>
      <c r="J321" s="33" t="s">
        <v>499</v>
      </c>
    </row>
    <row r="322" s="22" customFormat="1" spans="1:10">
      <c r="A322" s="26" t="s">
        <v>755</v>
      </c>
      <c r="B322" s="27" t="s">
        <v>609</v>
      </c>
      <c r="C322" s="27" t="s">
        <v>12</v>
      </c>
      <c r="D322" s="27" t="s">
        <v>92</v>
      </c>
      <c r="E322" s="27" t="s">
        <v>391</v>
      </c>
      <c r="F322" s="27" t="s">
        <v>15</v>
      </c>
      <c r="G322" s="27" t="s">
        <v>28</v>
      </c>
      <c r="H322" s="28">
        <v>45783</v>
      </c>
      <c r="I322" s="27">
        <v>70238</v>
      </c>
      <c r="J322" s="29" t="s">
        <v>604</v>
      </c>
    </row>
    <row r="323" s="22" customFormat="1" spans="1:10">
      <c r="A323" s="30" t="s">
        <v>756</v>
      </c>
      <c r="B323" s="31" t="s">
        <v>757</v>
      </c>
      <c r="C323" s="31" t="s">
        <v>146</v>
      </c>
      <c r="D323" s="31" t="s">
        <v>26</v>
      </c>
      <c r="E323" s="31" t="s">
        <v>162</v>
      </c>
      <c r="F323" s="31" t="s">
        <v>15</v>
      </c>
      <c r="G323" s="31" t="s">
        <v>28</v>
      </c>
      <c r="H323" s="32">
        <v>45106</v>
      </c>
      <c r="I323" s="31">
        <v>192123</v>
      </c>
      <c r="J323" s="33" t="s">
        <v>549</v>
      </c>
    </row>
    <row r="324" s="22" customFormat="1" spans="1:10">
      <c r="A324" s="26" t="s">
        <v>758</v>
      </c>
      <c r="B324" s="27" t="s">
        <v>759</v>
      </c>
      <c r="C324" s="27" t="s">
        <v>12</v>
      </c>
      <c r="D324" s="27" t="s">
        <v>32</v>
      </c>
      <c r="E324" s="27" t="s">
        <v>208</v>
      </c>
      <c r="F324" s="27" t="s">
        <v>15</v>
      </c>
      <c r="G324" s="27" t="s">
        <v>40</v>
      </c>
      <c r="H324" s="28">
        <v>45672</v>
      </c>
      <c r="I324" s="27">
        <v>159552</v>
      </c>
      <c r="J324" s="29" t="s">
        <v>295</v>
      </c>
    </row>
    <row r="325" s="22" customFormat="1" spans="1:10">
      <c r="A325" s="30" t="s">
        <v>760</v>
      </c>
      <c r="B325" s="31" t="s">
        <v>750</v>
      </c>
      <c r="C325" s="31" t="s">
        <v>12</v>
      </c>
      <c r="D325" s="31" t="s">
        <v>87</v>
      </c>
      <c r="E325" s="31" t="s">
        <v>88</v>
      </c>
      <c r="F325" s="31" t="s">
        <v>15</v>
      </c>
      <c r="G325" s="31" t="s">
        <v>94</v>
      </c>
      <c r="H325" s="32">
        <v>43820</v>
      </c>
      <c r="I325" s="31">
        <v>210429</v>
      </c>
      <c r="J325" s="33" t="s">
        <v>386</v>
      </c>
    </row>
    <row r="326" s="22" customFormat="1" spans="1:10">
      <c r="A326" s="26" t="s">
        <v>761</v>
      </c>
      <c r="B326" s="27" t="s">
        <v>242</v>
      </c>
      <c r="C326" s="27" t="s">
        <v>19</v>
      </c>
      <c r="D326" s="27" t="s">
        <v>20</v>
      </c>
      <c r="E326" s="27" t="s">
        <v>70</v>
      </c>
      <c r="F326" s="27" t="s">
        <v>15</v>
      </c>
      <c r="G326" s="27" t="s">
        <v>62</v>
      </c>
      <c r="H326" s="28">
        <v>42665</v>
      </c>
      <c r="I326" s="27">
        <v>144541</v>
      </c>
      <c r="J326" s="29" t="s">
        <v>762</v>
      </c>
    </row>
    <row r="327" s="22" customFormat="1" spans="1:10">
      <c r="A327" s="30" t="s">
        <v>763</v>
      </c>
      <c r="B327" s="31" t="s">
        <v>625</v>
      </c>
      <c r="C327" s="31" t="s">
        <v>12</v>
      </c>
      <c r="D327" s="31" t="s">
        <v>26</v>
      </c>
      <c r="E327" s="31" t="s">
        <v>61</v>
      </c>
      <c r="F327" s="31" t="s">
        <v>15</v>
      </c>
      <c r="G327" s="31" t="s">
        <v>16</v>
      </c>
      <c r="H327" s="32">
        <v>43996</v>
      </c>
      <c r="I327" s="31">
        <v>188550</v>
      </c>
      <c r="J327" s="33" t="s">
        <v>579</v>
      </c>
    </row>
    <row r="328" s="22" customFormat="1" spans="1:10">
      <c r="A328" s="26" t="s">
        <v>764</v>
      </c>
      <c r="B328" s="27" t="s">
        <v>765</v>
      </c>
      <c r="C328" s="27" t="s">
        <v>19</v>
      </c>
      <c r="D328" s="27" t="s">
        <v>92</v>
      </c>
      <c r="E328" s="27" t="s">
        <v>189</v>
      </c>
      <c r="F328" s="27" t="s">
        <v>15</v>
      </c>
      <c r="G328" s="27" t="s">
        <v>28</v>
      </c>
      <c r="H328" s="28">
        <v>45899</v>
      </c>
      <c r="I328" s="27">
        <v>116526</v>
      </c>
      <c r="J328" s="29" t="s">
        <v>277</v>
      </c>
    </row>
    <row r="329" s="22" customFormat="1" spans="1:10">
      <c r="A329" s="30" t="s">
        <v>766</v>
      </c>
      <c r="B329" s="31" t="s">
        <v>192</v>
      </c>
      <c r="C329" s="31" t="s">
        <v>12</v>
      </c>
      <c r="D329" s="31" t="s">
        <v>32</v>
      </c>
      <c r="E329" s="31" t="s">
        <v>33</v>
      </c>
      <c r="F329" s="31" t="s">
        <v>15</v>
      </c>
      <c r="G329" s="31" t="s">
        <v>40</v>
      </c>
      <c r="H329" s="32">
        <v>45409</v>
      </c>
      <c r="I329" s="31">
        <v>114641</v>
      </c>
      <c r="J329" s="33" t="s">
        <v>240</v>
      </c>
    </row>
    <row r="330" s="22" customFormat="1" spans="1:10">
      <c r="A330" s="26" t="s">
        <v>767</v>
      </c>
      <c r="B330" s="27" t="s">
        <v>768</v>
      </c>
      <c r="C330" s="27" t="s">
        <v>12</v>
      </c>
      <c r="D330" s="27" t="s">
        <v>13</v>
      </c>
      <c r="E330" s="27" t="s">
        <v>223</v>
      </c>
      <c r="F330" s="27" t="s">
        <v>15</v>
      </c>
      <c r="G330" s="27" t="s">
        <v>28</v>
      </c>
      <c r="H330" s="28">
        <v>42543</v>
      </c>
      <c r="I330" s="27">
        <v>133989</v>
      </c>
      <c r="J330" s="29" t="s">
        <v>102</v>
      </c>
    </row>
    <row r="331" s="22" customFormat="1" spans="1:10">
      <c r="A331" s="30" t="s">
        <v>306</v>
      </c>
      <c r="B331" s="31" t="s">
        <v>769</v>
      </c>
      <c r="C331" s="31" t="s">
        <v>12</v>
      </c>
      <c r="D331" s="31" t="s">
        <v>87</v>
      </c>
      <c r="E331" s="31" t="s">
        <v>156</v>
      </c>
      <c r="F331" s="31" t="s">
        <v>15</v>
      </c>
      <c r="G331" s="31" t="s">
        <v>62</v>
      </c>
      <c r="H331" s="32">
        <v>44156</v>
      </c>
      <c r="I331" s="31">
        <v>223179</v>
      </c>
      <c r="J331" s="33" t="s">
        <v>186</v>
      </c>
    </row>
    <row r="332" s="22" customFormat="1" spans="1:10">
      <c r="A332" s="26" t="s">
        <v>770</v>
      </c>
      <c r="B332" s="27" t="s">
        <v>771</v>
      </c>
      <c r="C332" s="27" t="s">
        <v>12</v>
      </c>
      <c r="D332" s="27" t="s">
        <v>13</v>
      </c>
      <c r="E332" s="27" t="s">
        <v>165</v>
      </c>
      <c r="F332" s="27" t="s">
        <v>15</v>
      </c>
      <c r="G332" s="27" t="s">
        <v>28</v>
      </c>
      <c r="H332" s="28">
        <v>42446</v>
      </c>
      <c r="I332" s="27">
        <v>111484</v>
      </c>
      <c r="J332" s="29" t="s">
        <v>89</v>
      </c>
    </row>
    <row r="333" s="22" customFormat="1" spans="1:10">
      <c r="A333" s="30" t="s">
        <v>772</v>
      </c>
      <c r="B333" s="31" t="s">
        <v>463</v>
      </c>
      <c r="C333" s="31" t="s">
        <v>19</v>
      </c>
      <c r="D333" s="31" t="s">
        <v>26</v>
      </c>
      <c r="E333" s="31" t="s">
        <v>294</v>
      </c>
      <c r="F333" s="31" t="s">
        <v>15</v>
      </c>
      <c r="G333" s="31" t="s">
        <v>16</v>
      </c>
      <c r="H333" s="32">
        <v>44253</v>
      </c>
      <c r="I333" s="31">
        <v>105193</v>
      </c>
      <c r="J333" s="33" t="s">
        <v>773</v>
      </c>
    </row>
    <row r="334" s="22" customFormat="1" spans="1:10">
      <c r="A334" s="26" t="s">
        <v>774</v>
      </c>
      <c r="B334" s="27" t="s">
        <v>775</v>
      </c>
      <c r="C334" s="27" t="s">
        <v>12</v>
      </c>
      <c r="D334" s="27" t="s">
        <v>38</v>
      </c>
      <c r="E334" s="27" t="s">
        <v>66</v>
      </c>
      <c r="F334" s="27" t="s">
        <v>15</v>
      </c>
      <c r="G334" s="27" t="s">
        <v>34</v>
      </c>
      <c r="H334" s="28">
        <v>42688</v>
      </c>
      <c r="I334" s="27">
        <v>220613</v>
      </c>
      <c r="J334" s="29" t="s">
        <v>436</v>
      </c>
    </row>
    <row r="335" s="22" customFormat="1" spans="1:10">
      <c r="A335" s="30" t="s">
        <v>776</v>
      </c>
      <c r="B335" s="31" t="s">
        <v>396</v>
      </c>
      <c r="C335" s="31" t="s">
        <v>19</v>
      </c>
      <c r="D335" s="31" t="s">
        <v>38</v>
      </c>
      <c r="E335" s="31" t="s">
        <v>84</v>
      </c>
      <c r="F335" s="31" t="s">
        <v>48</v>
      </c>
      <c r="G335" s="31" t="s">
        <v>28</v>
      </c>
      <c r="H335" s="32">
        <v>45901</v>
      </c>
      <c r="I335" s="31">
        <v>214751</v>
      </c>
      <c r="J335" s="33" t="s">
        <v>570</v>
      </c>
    </row>
    <row r="336" s="22" customFormat="1" spans="1:10">
      <c r="A336" s="26" t="s">
        <v>777</v>
      </c>
      <c r="B336" s="27" t="s">
        <v>778</v>
      </c>
      <c r="C336" s="27" t="s">
        <v>12</v>
      </c>
      <c r="D336" s="27" t="s">
        <v>38</v>
      </c>
      <c r="E336" s="27" t="s">
        <v>84</v>
      </c>
      <c r="F336" s="27" t="s">
        <v>15</v>
      </c>
      <c r="G336" s="27" t="s">
        <v>28</v>
      </c>
      <c r="H336" s="28">
        <v>43652</v>
      </c>
      <c r="I336" s="27">
        <v>166907</v>
      </c>
      <c r="J336" s="29" t="s">
        <v>776</v>
      </c>
    </row>
    <row r="337" s="22" customFormat="1" spans="1:10">
      <c r="A337" s="30" t="s">
        <v>779</v>
      </c>
      <c r="B337" s="31" t="s">
        <v>597</v>
      </c>
      <c r="C337" s="31" t="s">
        <v>12</v>
      </c>
      <c r="D337" s="31" t="s">
        <v>38</v>
      </c>
      <c r="E337" s="31" t="s">
        <v>44</v>
      </c>
      <c r="F337" s="31" t="s">
        <v>15</v>
      </c>
      <c r="G337" s="31" t="s">
        <v>62</v>
      </c>
      <c r="H337" s="32">
        <v>44728</v>
      </c>
      <c r="I337" s="31">
        <v>146147</v>
      </c>
      <c r="J337" s="33" t="s">
        <v>464</v>
      </c>
    </row>
    <row r="338" s="22" customFormat="1" spans="1:10">
      <c r="A338" s="26" t="s">
        <v>780</v>
      </c>
      <c r="B338" s="27" t="s">
        <v>781</v>
      </c>
      <c r="C338" s="27" t="s">
        <v>19</v>
      </c>
      <c r="D338" s="27" t="s">
        <v>52</v>
      </c>
      <c r="E338" s="27" t="s">
        <v>246</v>
      </c>
      <c r="F338" s="27" t="s">
        <v>15</v>
      </c>
      <c r="G338" s="27" t="s">
        <v>94</v>
      </c>
      <c r="H338" s="28">
        <v>44128</v>
      </c>
      <c r="I338" s="27">
        <v>75475</v>
      </c>
      <c r="J338" s="29" t="s">
        <v>782</v>
      </c>
    </row>
    <row r="339" s="22" customFormat="1" spans="1:10">
      <c r="A339" s="30" t="s">
        <v>783</v>
      </c>
      <c r="B339" s="31" t="s">
        <v>784</v>
      </c>
      <c r="C339" s="31" t="s">
        <v>12</v>
      </c>
      <c r="D339" s="31" t="s">
        <v>26</v>
      </c>
      <c r="E339" s="31" t="s">
        <v>294</v>
      </c>
      <c r="F339" s="31" t="s">
        <v>15</v>
      </c>
      <c r="G339" s="31" t="s">
        <v>16</v>
      </c>
      <c r="H339" s="32">
        <v>44718</v>
      </c>
      <c r="I339" s="31">
        <v>202663</v>
      </c>
      <c r="J339" s="33"/>
    </row>
    <row r="340" s="22" customFormat="1" spans="1:10">
      <c r="A340" s="26" t="s">
        <v>785</v>
      </c>
      <c r="B340" s="27" t="s">
        <v>261</v>
      </c>
      <c r="C340" s="27" t="s">
        <v>19</v>
      </c>
      <c r="D340" s="27" t="s">
        <v>92</v>
      </c>
      <c r="E340" s="27" t="s">
        <v>189</v>
      </c>
      <c r="F340" s="27" t="s">
        <v>15</v>
      </c>
      <c r="G340" s="27" t="s">
        <v>16</v>
      </c>
      <c r="H340" s="28">
        <v>44026</v>
      </c>
      <c r="I340" s="27">
        <v>59142</v>
      </c>
      <c r="J340" s="29" t="s">
        <v>786</v>
      </c>
    </row>
    <row r="341" s="22" customFormat="1" spans="1:10">
      <c r="A341" s="30" t="s">
        <v>787</v>
      </c>
      <c r="B341" s="31" t="s">
        <v>788</v>
      </c>
      <c r="C341" s="31" t="s">
        <v>19</v>
      </c>
      <c r="D341" s="31" t="s">
        <v>38</v>
      </c>
      <c r="E341" s="31" t="s">
        <v>77</v>
      </c>
      <c r="F341" s="31" t="s">
        <v>15</v>
      </c>
      <c r="G341" s="31" t="s">
        <v>28</v>
      </c>
      <c r="H341" s="32">
        <v>45276</v>
      </c>
      <c r="I341" s="31">
        <v>79373</v>
      </c>
      <c r="J341" s="33"/>
    </row>
    <row r="342" s="22" customFormat="1" spans="1:10">
      <c r="A342" s="26" t="s">
        <v>789</v>
      </c>
      <c r="B342" s="27" t="s">
        <v>790</v>
      </c>
      <c r="C342" s="27" t="s">
        <v>12</v>
      </c>
      <c r="D342" s="27" t="s">
        <v>92</v>
      </c>
      <c r="E342" s="27" t="s">
        <v>391</v>
      </c>
      <c r="F342" s="27" t="s">
        <v>15</v>
      </c>
      <c r="G342" s="27" t="s">
        <v>40</v>
      </c>
      <c r="H342" s="28">
        <v>44992</v>
      </c>
      <c r="I342" s="27">
        <v>70398</v>
      </c>
      <c r="J342" s="29"/>
    </row>
    <row r="343" s="22" customFormat="1" spans="1:10">
      <c r="A343" s="30" t="s">
        <v>791</v>
      </c>
      <c r="B343" s="31" t="s">
        <v>792</v>
      </c>
      <c r="C343" s="31" t="s">
        <v>19</v>
      </c>
      <c r="D343" s="31" t="s">
        <v>92</v>
      </c>
      <c r="E343" s="31" t="s">
        <v>391</v>
      </c>
      <c r="F343" s="31" t="s">
        <v>15</v>
      </c>
      <c r="G343" s="31" t="s">
        <v>16</v>
      </c>
      <c r="H343" s="32">
        <v>44080</v>
      </c>
      <c r="I343" s="31">
        <v>80395</v>
      </c>
      <c r="J343" s="33" t="s">
        <v>29</v>
      </c>
    </row>
    <row r="344" s="22" customFormat="1" spans="1:10">
      <c r="A344" s="26" t="s">
        <v>793</v>
      </c>
      <c r="B344" s="27" t="s">
        <v>794</v>
      </c>
      <c r="C344" s="27" t="s">
        <v>19</v>
      </c>
      <c r="D344" s="27" t="s">
        <v>38</v>
      </c>
      <c r="E344" s="27" t="s">
        <v>39</v>
      </c>
      <c r="F344" s="27" t="s">
        <v>15</v>
      </c>
      <c r="G344" s="27" t="s">
        <v>28</v>
      </c>
      <c r="H344" s="28">
        <v>43555</v>
      </c>
      <c r="I344" s="27">
        <v>177426</v>
      </c>
      <c r="J344" s="29" t="s">
        <v>275</v>
      </c>
    </row>
    <row r="345" s="22" customFormat="1" spans="1:10">
      <c r="A345" s="30" t="s">
        <v>795</v>
      </c>
      <c r="B345" s="31" t="s">
        <v>211</v>
      </c>
      <c r="C345" s="31" t="s">
        <v>19</v>
      </c>
      <c r="D345" s="31" t="s">
        <v>13</v>
      </c>
      <c r="E345" s="31" t="s">
        <v>223</v>
      </c>
      <c r="F345" s="31" t="s">
        <v>15</v>
      </c>
      <c r="G345" s="31" t="s">
        <v>94</v>
      </c>
      <c r="H345" s="32">
        <v>42841</v>
      </c>
      <c r="I345" s="31">
        <v>110823</v>
      </c>
      <c r="J345" s="33"/>
    </row>
    <row r="346" s="22" customFormat="1" spans="1:10">
      <c r="A346" s="26" t="s">
        <v>796</v>
      </c>
      <c r="B346" s="27" t="s">
        <v>603</v>
      </c>
      <c r="C346" s="27" t="s">
        <v>19</v>
      </c>
      <c r="D346" s="27" t="s">
        <v>13</v>
      </c>
      <c r="E346" s="27" t="s">
        <v>223</v>
      </c>
      <c r="F346" s="27" t="s">
        <v>15</v>
      </c>
      <c r="G346" s="27" t="s">
        <v>94</v>
      </c>
      <c r="H346" s="28">
        <v>44029</v>
      </c>
      <c r="I346" s="27">
        <v>220957</v>
      </c>
      <c r="J346" s="29" t="s">
        <v>262</v>
      </c>
    </row>
    <row r="347" s="22" customFormat="1" spans="1:10">
      <c r="A347" s="30" t="s">
        <v>797</v>
      </c>
      <c r="B347" s="31" t="s">
        <v>798</v>
      </c>
      <c r="C347" s="31" t="s">
        <v>12</v>
      </c>
      <c r="D347" s="31" t="s">
        <v>32</v>
      </c>
      <c r="E347" s="31" t="s">
        <v>130</v>
      </c>
      <c r="F347" s="31" t="s">
        <v>15</v>
      </c>
      <c r="G347" s="31" t="s">
        <v>62</v>
      </c>
      <c r="H347" s="32">
        <v>42455</v>
      </c>
      <c r="I347" s="31">
        <v>106259</v>
      </c>
      <c r="J347" s="33" t="s">
        <v>799</v>
      </c>
    </row>
    <row r="348" s="22" customFormat="1" spans="1:10">
      <c r="A348" s="26" t="s">
        <v>800</v>
      </c>
      <c r="B348" s="27" t="s">
        <v>801</v>
      </c>
      <c r="C348" s="27" t="s">
        <v>12</v>
      </c>
      <c r="D348" s="27" t="s">
        <v>32</v>
      </c>
      <c r="E348" s="27" t="s">
        <v>130</v>
      </c>
      <c r="F348" s="27" t="s">
        <v>15</v>
      </c>
      <c r="G348" s="27" t="s">
        <v>28</v>
      </c>
      <c r="H348" s="28">
        <v>43700</v>
      </c>
      <c r="I348" s="27">
        <v>126480</v>
      </c>
      <c r="J348" s="29" t="s">
        <v>74</v>
      </c>
    </row>
    <row r="349" s="22" customFormat="1" spans="1:10">
      <c r="A349" s="30" t="s">
        <v>802</v>
      </c>
      <c r="B349" s="31" t="s">
        <v>116</v>
      </c>
      <c r="C349" s="31" t="s">
        <v>19</v>
      </c>
      <c r="D349" s="31" t="s">
        <v>38</v>
      </c>
      <c r="E349" s="31" t="s">
        <v>66</v>
      </c>
      <c r="F349" s="31" t="s">
        <v>15</v>
      </c>
      <c r="G349" s="31" t="s">
        <v>28</v>
      </c>
      <c r="H349" s="32">
        <v>43073</v>
      </c>
      <c r="I349" s="31">
        <v>181290</v>
      </c>
      <c r="J349" s="33" t="s">
        <v>601</v>
      </c>
    </row>
    <row r="350" s="22" customFormat="1" spans="1:10">
      <c r="A350" s="26" t="s">
        <v>803</v>
      </c>
      <c r="B350" s="27" t="s">
        <v>798</v>
      </c>
      <c r="C350" s="27" t="s">
        <v>12</v>
      </c>
      <c r="D350" s="27" t="s">
        <v>13</v>
      </c>
      <c r="E350" s="27" t="s">
        <v>98</v>
      </c>
      <c r="F350" s="27" t="s">
        <v>15</v>
      </c>
      <c r="G350" s="27" t="s">
        <v>34</v>
      </c>
      <c r="H350" s="28">
        <v>45652</v>
      </c>
      <c r="I350" s="27">
        <v>235921</v>
      </c>
      <c r="J350" s="29" t="s">
        <v>671</v>
      </c>
    </row>
    <row r="351" s="22" customFormat="1" spans="1:10">
      <c r="A351" s="30" t="s">
        <v>804</v>
      </c>
      <c r="B351" s="31" t="s">
        <v>805</v>
      </c>
      <c r="C351" s="31" t="s">
        <v>19</v>
      </c>
      <c r="D351" s="31" t="s">
        <v>32</v>
      </c>
      <c r="E351" s="31" t="s">
        <v>57</v>
      </c>
      <c r="F351" s="31" t="s">
        <v>15</v>
      </c>
      <c r="G351" s="31" t="s">
        <v>62</v>
      </c>
      <c r="H351" s="32">
        <v>44901</v>
      </c>
      <c r="I351" s="31">
        <v>57356</v>
      </c>
      <c r="J351" s="33"/>
    </row>
    <row r="352" s="22" customFormat="1" spans="1:10">
      <c r="A352" s="26" t="s">
        <v>806</v>
      </c>
      <c r="B352" s="27" t="s">
        <v>424</v>
      </c>
      <c r="C352" s="27" t="s">
        <v>146</v>
      </c>
      <c r="D352" s="27" t="s">
        <v>92</v>
      </c>
      <c r="E352" s="27" t="s">
        <v>193</v>
      </c>
      <c r="F352" s="27" t="s">
        <v>15</v>
      </c>
      <c r="G352" s="27" t="s">
        <v>34</v>
      </c>
      <c r="H352" s="28">
        <v>44254</v>
      </c>
      <c r="I352" s="27">
        <v>132366</v>
      </c>
      <c r="J352" s="29" t="s">
        <v>250</v>
      </c>
    </row>
    <row r="353" s="22" customFormat="1" spans="1:10">
      <c r="A353" s="30" t="s">
        <v>807</v>
      </c>
      <c r="B353" s="31" t="s">
        <v>808</v>
      </c>
      <c r="C353" s="31" t="s">
        <v>19</v>
      </c>
      <c r="D353" s="31" t="s">
        <v>52</v>
      </c>
      <c r="E353" s="31" t="s">
        <v>120</v>
      </c>
      <c r="F353" s="31" t="s">
        <v>15</v>
      </c>
      <c r="G353" s="31" t="s">
        <v>40</v>
      </c>
      <c r="H353" s="32">
        <v>45777</v>
      </c>
      <c r="I353" s="31">
        <v>99779</v>
      </c>
      <c r="J353" s="33" t="s">
        <v>627</v>
      </c>
    </row>
    <row r="354" s="22" customFormat="1" spans="1:10">
      <c r="A354" s="26" t="s">
        <v>809</v>
      </c>
      <c r="B354" s="27" t="s">
        <v>810</v>
      </c>
      <c r="C354" s="27" t="s">
        <v>12</v>
      </c>
      <c r="D354" s="27" t="s">
        <v>32</v>
      </c>
      <c r="E354" s="27" t="s">
        <v>130</v>
      </c>
      <c r="F354" s="27" t="s">
        <v>15</v>
      </c>
      <c r="G354" s="27" t="s">
        <v>62</v>
      </c>
      <c r="H354" s="28">
        <v>45194</v>
      </c>
      <c r="I354" s="27">
        <v>107395</v>
      </c>
      <c r="J354" s="29"/>
    </row>
    <row r="355" s="22" customFormat="1" spans="1:10">
      <c r="A355" s="30" t="s">
        <v>811</v>
      </c>
      <c r="B355" s="31" t="s">
        <v>812</v>
      </c>
      <c r="C355" s="31" t="s">
        <v>19</v>
      </c>
      <c r="D355" s="31" t="s">
        <v>38</v>
      </c>
      <c r="E355" s="31" t="s">
        <v>44</v>
      </c>
      <c r="F355" s="31" t="s">
        <v>15</v>
      </c>
      <c r="G355" s="31" t="s">
        <v>62</v>
      </c>
      <c r="H355" s="32">
        <v>43852</v>
      </c>
      <c r="I355" s="31">
        <v>168443</v>
      </c>
      <c r="J355" s="33" t="s">
        <v>813</v>
      </c>
    </row>
    <row r="356" s="22" customFormat="1" spans="1:10">
      <c r="A356" s="26" t="s">
        <v>814</v>
      </c>
      <c r="B356" s="27" t="s">
        <v>815</v>
      </c>
      <c r="C356" s="27" t="s">
        <v>146</v>
      </c>
      <c r="D356" s="27" t="s">
        <v>38</v>
      </c>
      <c r="E356" s="27" t="s">
        <v>140</v>
      </c>
      <c r="F356" s="27" t="s">
        <v>15</v>
      </c>
      <c r="G356" s="27" t="s">
        <v>94</v>
      </c>
      <c r="H356" s="28">
        <v>42730</v>
      </c>
      <c r="I356" s="27">
        <v>284119</v>
      </c>
      <c r="J356" s="29" t="s">
        <v>169</v>
      </c>
    </row>
    <row r="357" s="22" customFormat="1" spans="1:10">
      <c r="A357" s="30" t="s">
        <v>131</v>
      </c>
      <c r="B357" s="31" t="s">
        <v>252</v>
      </c>
      <c r="C357" s="31" t="s">
        <v>19</v>
      </c>
      <c r="D357" s="31" t="s">
        <v>32</v>
      </c>
      <c r="E357" s="31" t="s">
        <v>208</v>
      </c>
      <c r="F357" s="31" t="s">
        <v>15</v>
      </c>
      <c r="G357" s="31" t="s">
        <v>40</v>
      </c>
      <c r="H357" s="32">
        <v>44158</v>
      </c>
      <c r="I357" s="31">
        <v>89306</v>
      </c>
      <c r="J357" s="33" t="s">
        <v>166</v>
      </c>
    </row>
    <row r="358" s="22" customFormat="1" spans="1:10">
      <c r="A358" s="26" t="s">
        <v>412</v>
      </c>
      <c r="B358" s="27" t="s">
        <v>707</v>
      </c>
      <c r="C358" s="27" t="s">
        <v>12</v>
      </c>
      <c r="D358" s="27" t="s">
        <v>38</v>
      </c>
      <c r="E358" s="27" t="s">
        <v>84</v>
      </c>
      <c r="F358" s="27" t="s">
        <v>15</v>
      </c>
      <c r="G358" s="27" t="s">
        <v>28</v>
      </c>
      <c r="H358" s="28">
        <v>45829</v>
      </c>
      <c r="I358" s="27">
        <v>150615</v>
      </c>
      <c r="J358" s="29" t="s">
        <v>601</v>
      </c>
    </row>
    <row r="359" s="22" customFormat="1" spans="1:10">
      <c r="A359" s="30" t="s">
        <v>816</v>
      </c>
      <c r="B359" s="31" t="s">
        <v>817</v>
      </c>
      <c r="C359" s="31" t="s">
        <v>19</v>
      </c>
      <c r="D359" s="31" t="s">
        <v>92</v>
      </c>
      <c r="E359" s="31" t="s">
        <v>391</v>
      </c>
      <c r="F359" s="31" t="s">
        <v>15</v>
      </c>
      <c r="G359" s="31" t="s">
        <v>62</v>
      </c>
      <c r="H359" s="32">
        <v>42803</v>
      </c>
      <c r="I359" s="31">
        <v>104105</v>
      </c>
      <c r="J359" s="33" t="s">
        <v>464</v>
      </c>
    </row>
    <row r="360" s="22" customFormat="1" spans="1:10">
      <c r="A360" s="26" t="s">
        <v>818</v>
      </c>
      <c r="B360" s="27" t="s">
        <v>214</v>
      </c>
      <c r="C360" s="27" t="s">
        <v>19</v>
      </c>
      <c r="D360" s="27" t="s">
        <v>20</v>
      </c>
      <c r="E360" s="27" t="s">
        <v>147</v>
      </c>
      <c r="F360" s="27" t="s">
        <v>15</v>
      </c>
      <c r="G360" s="27" t="s">
        <v>40</v>
      </c>
      <c r="H360" s="28">
        <v>43366</v>
      </c>
      <c r="I360" s="27">
        <v>44753</v>
      </c>
      <c r="J360" s="29" t="s">
        <v>154</v>
      </c>
    </row>
    <row r="361" s="22" customFormat="1" spans="1:10">
      <c r="A361" s="30" t="s">
        <v>819</v>
      </c>
      <c r="B361" s="31" t="s">
        <v>820</v>
      </c>
      <c r="C361" s="31" t="s">
        <v>19</v>
      </c>
      <c r="D361" s="31" t="s">
        <v>92</v>
      </c>
      <c r="E361" s="31" t="s">
        <v>93</v>
      </c>
      <c r="F361" s="31" t="s">
        <v>15</v>
      </c>
      <c r="G361" s="31" t="s">
        <v>16</v>
      </c>
      <c r="H361" s="32">
        <v>44154</v>
      </c>
      <c r="I361" s="31">
        <v>108200</v>
      </c>
      <c r="J361" s="33" t="s">
        <v>490</v>
      </c>
    </row>
    <row r="362" s="22" customFormat="1" spans="1:10">
      <c r="A362" s="26" t="s">
        <v>821</v>
      </c>
      <c r="B362" s="27" t="s">
        <v>822</v>
      </c>
      <c r="C362" s="27" t="s">
        <v>12</v>
      </c>
      <c r="D362" s="27" t="s">
        <v>13</v>
      </c>
      <c r="E362" s="27" t="s">
        <v>98</v>
      </c>
      <c r="F362" s="27" t="s">
        <v>15</v>
      </c>
      <c r="G362" s="27" t="s">
        <v>28</v>
      </c>
      <c r="H362" s="28">
        <v>44782</v>
      </c>
      <c r="I362" s="27">
        <v>173554</v>
      </c>
      <c r="J362" s="29"/>
    </row>
    <row r="363" s="22" customFormat="1" spans="1:10">
      <c r="A363" s="30" t="s">
        <v>823</v>
      </c>
      <c r="B363" s="31" t="s">
        <v>633</v>
      </c>
      <c r="C363" s="31" t="s">
        <v>19</v>
      </c>
      <c r="D363" s="31" t="s">
        <v>32</v>
      </c>
      <c r="E363" s="31" t="s">
        <v>57</v>
      </c>
      <c r="F363" s="31" t="s">
        <v>15</v>
      </c>
      <c r="G363" s="31" t="s">
        <v>28</v>
      </c>
      <c r="H363" s="32">
        <v>44010</v>
      </c>
      <c r="I363" s="31">
        <v>75264</v>
      </c>
      <c r="J363" s="33" t="s">
        <v>604</v>
      </c>
    </row>
    <row r="364" s="22" customFormat="1" spans="1:10">
      <c r="A364" s="26" t="s">
        <v>824</v>
      </c>
      <c r="B364" s="27" t="s">
        <v>825</v>
      </c>
      <c r="C364" s="27" t="s">
        <v>12</v>
      </c>
      <c r="D364" s="27" t="s">
        <v>13</v>
      </c>
      <c r="E364" s="27" t="s">
        <v>223</v>
      </c>
      <c r="F364" s="27" t="s">
        <v>15</v>
      </c>
      <c r="G364" s="27" t="s">
        <v>62</v>
      </c>
      <c r="H364" s="28">
        <v>44516</v>
      </c>
      <c r="I364" s="27">
        <v>147296</v>
      </c>
      <c r="J364" s="29" t="s">
        <v>131</v>
      </c>
    </row>
    <row r="365" s="22" customFormat="1" spans="1:10">
      <c r="A365" s="30" t="s">
        <v>826</v>
      </c>
      <c r="B365" s="31" t="s">
        <v>492</v>
      </c>
      <c r="C365" s="31" t="s">
        <v>19</v>
      </c>
      <c r="D365" s="31" t="s">
        <v>92</v>
      </c>
      <c r="E365" s="31" t="s">
        <v>93</v>
      </c>
      <c r="F365" s="31" t="s">
        <v>15</v>
      </c>
      <c r="G365" s="31" t="s">
        <v>40</v>
      </c>
      <c r="H365" s="32">
        <v>42692</v>
      </c>
      <c r="I365" s="31">
        <v>90486</v>
      </c>
      <c r="J365" s="33" t="s">
        <v>298</v>
      </c>
    </row>
    <row r="366" s="22" customFormat="1" spans="1:10">
      <c r="A366" s="26" t="s">
        <v>591</v>
      </c>
      <c r="B366" s="27" t="s">
        <v>827</v>
      </c>
      <c r="C366" s="27" t="s">
        <v>19</v>
      </c>
      <c r="D366" s="27" t="s">
        <v>20</v>
      </c>
      <c r="E366" s="27" t="s">
        <v>70</v>
      </c>
      <c r="F366" s="27" t="s">
        <v>15</v>
      </c>
      <c r="G366" s="27" t="s">
        <v>94</v>
      </c>
      <c r="H366" s="28">
        <v>43991</v>
      </c>
      <c r="I366" s="27">
        <v>126897</v>
      </c>
      <c r="J366" s="29" t="s">
        <v>601</v>
      </c>
    </row>
    <row r="367" s="22" customFormat="1" spans="1:10">
      <c r="A367" s="30" t="s">
        <v>828</v>
      </c>
      <c r="B367" s="31" t="s">
        <v>829</v>
      </c>
      <c r="C367" s="31" t="s">
        <v>12</v>
      </c>
      <c r="D367" s="31" t="s">
        <v>13</v>
      </c>
      <c r="E367" s="31" t="s">
        <v>14</v>
      </c>
      <c r="F367" s="31" t="s">
        <v>15</v>
      </c>
      <c r="G367" s="31" t="s">
        <v>28</v>
      </c>
      <c r="H367" s="32">
        <v>43640</v>
      </c>
      <c r="I367" s="31">
        <v>89410</v>
      </c>
      <c r="J367" s="33"/>
    </row>
    <row r="368" s="22" customFormat="1" spans="1:10">
      <c r="A368" s="26" t="s">
        <v>830</v>
      </c>
      <c r="B368" s="27" t="s">
        <v>831</v>
      </c>
      <c r="C368" s="27" t="s">
        <v>19</v>
      </c>
      <c r="D368" s="27" t="s">
        <v>20</v>
      </c>
      <c r="E368" s="27" t="s">
        <v>70</v>
      </c>
      <c r="F368" s="27" t="s">
        <v>22</v>
      </c>
      <c r="G368" s="27" t="s">
        <v>16</v>
      </c>
      <c r="H368" s="28">
        <v>45424</v>
      </c>
      <c r="I368" s="27">
        <v>100267</v>
      </c>
      <c r="J368" s="29" t="s">
        <v>114</v>
      </c>
    </row>
    <row r="369" s="22" customFormat="1" spans="1:10">
      <c r="A369" s="30" t="s">
        <v>762</v>
      </c>
      <c r="B369" s="31" t="s">
        <v>832</v>
      </c>
      <c r="C369" s="31" t="s">
        <v>12</v>
      </c>
      <c r="D369" s="31" t="s">
        <v>20</v>
      </c>
      <c r="E369" s="31" t="s">
        <v>70</v>
      </c>
      <c r="F369" s="31" t="s">
        <v>48</v>
      </c>
      <c r="G369" s="31" t="s">
        <v>28</v>
      </c>
      <c r="H369" s="32">
        <v>43760</v>
      </c>
      <c r="I369" s="31">
        <v>157989</v>
      </c>
      <c r="J369" s="33"/>
    </row>
    <row r="370" s="22" customFormat="1" spans="1:10">
      <c r="A370" s="26" t="s">
        <v>833</v>
      </c>
      <c r="B370" s="27" t="s">
        <v>198</v>
      </c>
      <c r="C370" s="27" t="s">
        <v>19</v>
      </c>
      <c r="D370" s="27" t="s">
        <v>38</v>
      </c>
      <c r="E370" s="27" t="s">
        <v>77</v>
      </c>
      <c r="F370" s="27" t="s">
        <v>15</v>
      </c>
      <c r="G370" s="27" t="s">
        <v>28</v>
      </c>
      <c r="H370" s="28">
        <v>43277</v>
      </c>
      <c r="I370" s="27">
        <v>153782</v>
      </c>
      <c r="J370" s="29" t="s">
        <v>369</v>
      </c>
    </row>
    <row r="371" s="22" customFormat="1" spans="1:10">
      <c r="A371" s="30" t="s">
        <v>834</v>
      </c>
      <c r="B371" s="31" t="s">
        <v>835</v>
      </c>
      <c r="C371" s="31" t="s">
        <v>12</v>
      </c>
      <c r="D371" s="31" t="s">
        <v>38</v>
      </c>
      <c r="E371" s="31" t="s">
        <v>66</v>
      </c>
      <c r="F371" s="31" t="s">
        <v>48</v>
      </c>
      <c r="G371" s="31" t="s">
        <v>28</v>
      </c>
      <c r="H371" s="32">
        <v>43734</v>
      </c>
      <c r="I371" s="31">
        <v>140850</v>
      </c>
      <c r="J371" s="33" t="s">
        <v>134</v>
      </c>
    </row>
    <row r="372" s="22" customFormat="1" spans="1:10">
      <c r="A372" s="26" t="s">
        <v>836</v>
      </c>
      <c r="B372" s="27" t="s">
        <v>837</v>
      </c>
      <c r="C372" s="27" t="s">
        <v>19</v>
      </c>
      <c r="D372" s="27" t="s">
        <v>38</v>
      </c>
      <c r="E372" s="27" t="s">
        <v>84</v>
      </c>
      <c r="F372" s="27" t="s">
        <v>15</v>
      </c>
      <c r="G372" s="27" t="s">
        <v>34</v>
      </c>
      <c r="H372" s="28">
        <v>45561</v>
      </c>
      <c r="I372" s="27">
        <v>166149</v>
      </c>
      <c r="J372" s="29" t="s">
        <v>838</v>
      </c>
    </row>
    <row r="373" s="22" customFormat="1" spans="1:10">
      <c r="A373" s="30" t="s">
        <v>839</v>
      </c>
      <c r="B373" s="31" t="s">
        <v>840</v>
      </c>
      <c r="C373" s="31" t="s">
        <v>12</v>
      </c>
      <c r="D373" s="31" t="s">
        <v>38</v>
      </c>
      <c r="E373" s="31" t="s">
        <v>77</v>
      </c>
      <c r="F373" s="31" t="s">
        <v>15</v>
      </c>
      <c r="G373" s="31" t="s">
        <v>28</v>
      </c>
      <c r="H373" s="32">
        <v>43058</v>
      </c>
      <c r="I373" s="31">
        <v>114574</v>
      </c>
      <c r="J373" s="33" t="s">
        <v>67</v>
      </c>
    </row>
    <row r="374" s="22" customFormat="1" spans="1:10">
      <c r="A374" s="26" t="s">
        <v>841</v>
      </c>
      <c r="B374" s="27" t="s">
        <v>422</v>
      </c>
      <c r="C374" s="27" t="s">
        <v>12</v>
      </c>
      <c r="D374" s="27" t="s">
        <v>38</v>
      </c>
      <c r="E374" s="27" t="s">
        <v>39</v>
      </c>
      <c r="F374" s="27" t="s">
        <v>15</v>
      </c>
      <c r="G374" s="27" t="s">
        <v>34</v>
      </c>
      <c r="H374" s="28">
        <v>42682</v>
      </c>
      <c r="I374" s="27">
        <v>214819</v>
      </c>
      <c r="J374" s="29" t="s">
        <v>842</v>
      </c>
    </row>
    <row r="375" s="22" customFormat="1" spans="1:10">
      <c r="A375" s="30" t="s">
        <v>843</v>
      </c>
      <c r="B375" s="31" t="s">
        <v>844</v>
      </c>
      <c r="C375" s="31" t="s">
        <v>12</v>
      </c>
      <c r="D375" s="31" t="s">
        <v>26</v>
      </c>
      <c r="E375" s="31" t="s">
        <v>61</v>
      </c>
      <c r="F375" s="31" t="s">
        <v>15</v>
      </c>
      <c r="G375" s="31" t="s">
        <v>40</v>
      </c>
      <c r="H375" s="32">
        <v>44460</v>
      </c>
      <c r="I375" s="31">
        <v>126300</v>
      </c>
      <c r="J375" s="33" t="s">
        <v>727</v>
      </c>
    </row>
    <row r="376" s="22" customFormat="1" spans="1:10">
      <c r="A376" s="26" t="s">
        <v>845</v>
      </c>
      <c r="B376" s="27" t="s">
        <v>831</v>
      </c>
      <c r="C376" s="27" t="s">
        <v>19</v>
      </c>
      <c r="D376" s="27" t="s">
        <v>38</v>
      </c>
      <c r="E376" s="27" t="s">
        <v>66</v>
      </c>
      <c r="F376" s="27" t="s">
        <v>22</v>
      </c>
      <c r="G376" s="27" t="s">
        <v>62</v>
      </c>
      <c r="H376" s="28">
        <v>44963</v>
      </c>
      <c r="I376" s="27">
        <v>145347</v>
      </c>
      <c r="J376" s="29"/>
    </row>
    <row r="377" s="22" customFormat="1" spans="1:10">
      <c r="A377" s="30" t="s">
        <v>721</v>
      </c>
      <c r="B377" s="31" t="s">
        <v>245</v>
      </c>
      <c r="C377" s="31" t="s">
        <v>19</v>
      </c>
      <c r="D377" s="31" t="s">
        <v>87</v>
      </c>
      <c r="E377" s="31" t="s">
        <v>111</v>
      </c>
      <c r="F377" s="31" t="s">
        <v>15</v>
      </c>
      <c r="G377" s="31" t="s">
        <v>40</v>
      </c>
      <c r="H377" s="32">
        <v>42837</v>
      </c>
      <c r="I377" s="31">
        <v>292121</v>
      </c>
      <c r="J377" s="33" t="s">
        <v>676</v>
      </c>
    </row>
    <row r="378" s="22" customFormat="1" spans="1:10">
      <c r="A378" s="26" t="s">
        <v>846</v>
      </c>
      <c r="B378" s="27" t="s">
        <v>847</v>
      </c>
      <c r="C378" s="27" t="s">
        <v>12</v>
      </c>
      <c r="D378" s="27" t="s">
        <v>52</v>
      </c>
      <c r="E378" s="27" t="s">
        <v>120</v>
      </c>
      <c r="F378" s="27" t="s">
        <v>15</v>
      </c>
      <c r="G378" s="27" t="s">
        <v>40</v>
      </c>
      <c r="H378" s="28">
        <v>44543</v>
      </c>
      <c r="I378" s="27">
        <v>137578</v>
      </c>
      <c r="J378" s="29" t="s">
        <v>230</v>
      </c>
    </row>
    <row r="379" s="22" customFormat="1" spans="1:10">
      <c r="A379" s="30" t="s">
        <v>848</v>
      </c>
      <c r="B379" s="31" t="s">
        <v>849</v>
      </c>
      <c r="C379" s="31" t="s">
        <v>19</v>
      </c>
      <c r="D379" s="31" t="s">
        <v>38</v>
      </c>
      <c r="E379" s="31" t="s">
        <v>140</v>
      </c>
      <c r="F379" s="31" t="s">
        <v>22</v>
      </c>
      <c r="G379" s="31" t="s">
        <v>28</v>
      </c>
      <c r="H379" s="32">
        <v>44458</v>
      </c>
      <c r="I379" s="31">
        <v>138211</v>
      </c>
      <c r="J379" s="33" t="s">
        <v>777</v>
      </c>
    </row>
    <row r="380" s="22" customFormat="1" spans="1:10">
      <c r="A380" s="26" t="s">
        <v>850</v>
      </c>
      <c r="B380" s="27" t="s">
        <v>851</v>
      </c>
      <c r="C380" s="27" t="s">
        <v>19</v>
      </c>
      <c r="D380" s="27" t="s">
        <v>52</v>
      </c>
      <c r="E380" s="27" t="s">
        <v>120</v>
      </c>
      <c r="F380" s="27" t="s">
        <v>15</v>
      </c>
      <c r="G380" s="27" t="s">
        <v>16</v>
      </c>
      <c r="H380" s="28">
        <v>43164</v>
      </c>
      <c r="I380" s="27">
        <v>86949</v>
      </c>
      <c r="J380" s="29" t="s">
        <v>344</v>
      </c>
    </row>
    <row r="381" s="22" customFormat="1" spans="1:10">
      <c r="A381" s="30" t="s">
        <v>63</v>
      </c>
      <c r="B381" s="31" t="s">
        <v>852</v>
      </c>
      <c r="C381" s="31" t="s">
        <v>12</v>
      </c>
      <c r="D381" s="31" t="s">
        <v>87</v>
      </c>
      <c r="E381" s="31" t="s">
        <v>349</v>
      </c>
      <c r="F381" s="31" t="s">
        <v>48</v>
      </c>
      <c r="G381" s="31" t="s">
        <v>28</v>
      </c>
      <c r="H381" s="32">
        <v>45549</v>
      </c>
      <c r="I381" s="31">
        <v>212485</v>
      </c>
      <c r="J381" s="33" t="s">
        <v>594</v>
      </c>
    </row>
    <row r="382" s="22" customFormat="1" spans="1:10">
      <c r="A382" s="26" t="s">
        <v>853</v>
      </c>
      <c r="B382" s="27" t="s">
        <v>854</v>
      </c>
      <c r="C382" s="27" t="s">
        <v>12</v>
      </c>
      <c r="D382" s="27" t="s">
        <v>38</v>
      </c>
      <c r="E382" s="27" t="s">
        <v>77</v>
      </c>
      <c r="F382" s="27" t="s">
        <v>48</v>
      </c>
      <c r="G382" s="27" t="s">
        <v>94</v>
      </c>
      <c r="H382" s="28">
        <v>43801</v>
      </c>
      <c r="I382" s="27">
        <v>106629</v>
      </c>
      <c r="J382" s="29" t="s">
        <v>855</v>
      </c>
    </row>
    <row r="383" s="22" customFormat="1" spans="1:10">
      <c r="A383" s="30" t="s">
        <v>856</v>
      </c>
      <c r="B383" s="31" t="s">
        <v>857</v>
      </c>
      <c r="C383" s="31" t="s">
        <v>19</v>
      </c>
      <c r="D383" s="31" t="s">
        <v>26</v>
      </c>
      <c r="E383" s="31" t="s">
        <v>61</v>
      </c>
      <c r="F383" s="31" t="s">
        <v>15</v>
      </c>
      <c r="G383" s="31" t="s">
        <v>62</v>
      </c>
      <c r="H383" s="32">
        <v>43808</v>
      </c>
      <c r="I383" s="31">
        <v>154672</v>
      </c>
      <c r="J383" s="33" t="s">
        <v>482</v>
      </c>
    </row>
    <row r="384" s="22" customFormat="1" spans="1:10">
      <c r="A384" s="26" t="s">
        <v>196</v>
      </c>
      <c r="B384" s="27" t="s">
        <v>284</v>
      </c>
      <c r="C384" s="27" t="s">
        <v>19</v>
      </c>
      <c r="D384" s="27" t="s">
        <v>32</v>
      </c>
      <c r="E384" s="27" t="s">
        <v>208</v>
      </c>
      <c r="F384" s="27" t="s">
        <v>15</v>
      </c>
      <c r="G384" s="27" t="s">
        <v>28</v>
      </c>
      <c r="H384" s="28">
        <v>45349</v>
      </c>
      <c r="I384" s="27">
        <v>97415</v>
      </c>
      <c r="J384" s="29" t="s">
        <v>836</v>
      </c>
    </row>
    <row r="385" s="22" customFormat="1" spans="1:10">
      <c r="A385" s="30" t="s">
        <v>858</v>
      </c>
      <c r="B385" s="31" t="s">
        <v>327</v>
      </c>
      <c r="C385" s="31" t="s">
        <v>19</v>
      </c>
      <c r="D385" s="31" t="s">
        <v>52</v>
      </c>
      <c r="E385" s="31" t="s">
        <v>246</v>
      </c>
      <c r="F385" s="31" t="s">
        <v>15</v>
      </c>
      <c r="G385" s="31" t="s">
        <v>16</v>
      </c>
      <c r="H385" s="32">
        <v>45724</v>
      </c>
      <c r="I385" s="31">
        <v>74721</v>
      </c>
      <c r="J385" s="33" t="s">
        <v>341</v>
      </c>
    </row>
    <row r="386" s="22" customFormat="1" spans="1:10">
      <c r="A386" s="26" t="s">
        <v>859</v>
      </c>
      <c r="B386" s="27" t="s">
        <v>261</v>
      </c>
      <c r="C386" s="27" t="s">
        <v>19</v>
      </c>
      <c r="D386" s="27" t="s">
        <v>26</v>
      </c>
      <c r="E386" s="27" t="s">
        <v>294</v>
      </c>
      <c r="F386" s="27" t="s">
        <v>15</v>
      </c>
      <c r="G386" s="27" t="s">
        <v>28</v>
      </c>
      <c r="H386" s="28">
        <v>45013</v>
      </c>
      <c r="I386" s="27">
        <v>117580</v>
      </c>
      <c r="J386" s="29" t="s">
        <v>776</v>
      </c>
    </row>
    <row r="387" s="22" customFormat="1" spans="1:10">
      <c r="A387" s="30" t="s">
        <v>860</v>
      </c>
      <c r="B387" s="31" t="s">
        <v>861</v>
      </c>
      <c r="C387" s="31" t="s">
        <v>19</v>
      </c>
      <c r="D387" s="31" t="s">
        <v>52</v>
      </c>
      <c r="E387" s="31" t="s">
        <v>246</v>
      </c>
      <c r="F387" s="31" t="s">
        <v>15</v>
      </c>
      <c r="G387" s="31" t="s">
        <v>16</v>
      </c>
      <c r="H387" s="32">
        <v>45708</v>
      </c>
      <c r="I387" s="31">
        <v>126200</v>
      </c>
      <c r="J387" s="33" t="s">
        <v>862</v>
      </c>
    </row>
    <row r="388" s="22" customFormat="1" spans="1:10">
      <c r="A388" s="26" t="s">
        <v>863</v>
      </c>
      <c r="B388" s="27" t="s">
        <v>864</v>
      </c>
      <c r="C388" s="27" t="s">
        <v>19</v>
      </c>
      <c r="D388" s="27" t="s">
        <v>87</v>
      </c>
      <c r="E388" s="27" t="s">
        <v>349</v>
      </c>
      <c r="F388" s="27" t="s">
        <v>15</v>
      </c>
      <c r="G388" s="27" t="s">
        <v>62</v>
      </c>
      <c r="H388" s="28">
        <v>42974</v>
      </c>
      <c r="I388" s="27">
        <v>199943</v>
      </c>
      <c r="J388" s="29" t="s">
        <v>865</v>
      </c>
    </row>
    <row r="389" s="22" customFormat="1" spans="1:10">
      <c r="A389" s="30" t="s">
        <v>866</v>
      </c>
      <c r="B389" s="31" t="s">
        <v>867</v>
      </c>
      <c r="C389" s="31" t="s">
        <v>19</v>
      </c>
      <c r="D389" s="31" t="s">
        <v>38</v>
      </c>
      <c r="E389" s="31" t="s">
        <v>77</v>
      </c>
      <c r="F389" s="31" t="s">
        <v>15</v>
      </c>
      <c r="G389" s="31" t="s">
        <v>94</v>
      </c>
      <c r="H389" s="32">
        <v>43337</v>
      </c>
      <c r="I389" s="31">
        <v>173688</v>
      </c>
      <c r="J389" s="33" t="s">
        <v>112</v>
      </c>
    </row>
    <row r="390" s="22" customFormat="1" spans="1:10">
      <c r="A390" s="26" t="s">
        <v>549</v>
      </c>
      <c r="B390" s="27" t="s">
        <v>531</v>
      </c>
      <c r="C390" s="27" t="s">
        <v>12</v>
      </c>
      <c r="D390" s="27" t="s">
        <v>26</v>
      </c>
      <c r="E390" s="27" t="s">
        <v>27</v>
      </c>
      <c r="F390" s="27" t="s">
        <v>15</v>
      </c>
      <c r="G390" s="27" t="s">
        <v>62</v>
      </c>
      <c r="H390" s="28">
        <v>42791</v>
      </c>
      <c r="I390" s="27">
        <v>114847</v>
      </c>
      <c r="J390" s="29" t="s">
        <v>607</v>
      </c>
    </row>
    <row r="391" s="22" customFormat="1" spans="1:10">
      <c r="A391" s="30" t="s">
        <v>868</v>
      </c>
      <c r="B391" s="31" t="s">
        <v>869</v>
      </c>
      <c r="C391" s="31" t="s">
        <v>12</v>
      </c>
      <c r="D391" s="31" t="s">
        <v>52</v>
      </c>
      <c r="E391" s="31" t="s">
        <v>120</v>
      </c>
      <c r="F391" s="31" t="s">
        <v>15</v>
      </c>
      <c r="G391" s="31" t="s">
        <v>62</v>
      </c>
      <c r="H391" s="32">
        <v>42969</v>
      </c>
      <c r="I391" s="31">
        <v>93598</v>
      </c>
      <c r="J391" s="33"/>
    </row>
    <row r="392" s="22" customFormat="1" spans="1:10">
      <c r="A392" s="26" t="s">
        <v>870</v>
      </c>
      <c r="B392" s="27" t="s">
        <v>51</v>
      </c>
      <c r="C392" s="27" t="s">
        <v>12</v>
      </c>
      <c r="D392" s="27" t="s">
        <v>20</v>
      </c>
      <c r="E392" s="27" t="s">
        <v>147</v>
      </c>
      <c r="F392" s="27" t="s">
        <v>15</v>
      </c>
      <c r="G392" s="27" t="s">
        <v>16</v>
      </c>
      <c r="H392" s="28">
        <v>43418</v>
      </c>
      <c r="I392" s="27">
        <v>115895</v>
      </c>
      <c r="J392" s="29" t="s">
        <v>507</v>
      </c>
    </row>
    <row r="393" s="22" customFormat="1" spans="1:10">
      <c r="A393" s="30" t="s">
        <v>871</v>
      </c>
      <c r="B393" s="31" t="s">
        <v>872</v>
      </c>
      <c r="C393" s="31" t="s">
        <v>12</v>
      </c>
      <c r="D393" s="31" t="s">
        <v>13</v>
      </c>
      <c r="E393" s="31" t="s">
        <v>14</v>
      </c>
      <c r="F393" s="31" t="s">
        <v>15</v>
      </c>
      <c r="G393" s="31" t="s">
        <v>40</v>
      </c>
      <c r="H393" s="32">
        <v>43178</v>
      </c>
      <c r="I393" s="31">
        <v>78604</v>
      </c>
      <c r="J393" s="33" t="s">
        <v>547</v>
      </c>
    </row>
    <row r="394" s="22" customFormat="1" spans="1:10">
      <c r="A394" s="26" t="s">
        <v>873</v>
      </c>
      <c r="B394" s="27" t="s">
        <v>874</v>
      </c>
      <c r="C394" s="27" t="s">
        <v>19</v>
      </c>
      <c r="D394" s="27" t="s">
        <v>13</v>
      </c>
      <c r="E394" s="27" t="s">
        <v>14</v>
      </c>
      <c r="F394" s="27" t="s">
        <v>15</v>
      </c>
      <c r="G394" s="27" t="s">
        <v>16</v>
      </c>
      <c r="H394" s="28">
        <v>43080</v>
      </c>
      <c r="I394" s="27">
        <v>131840</v>
      </c>
      <c r="J394" s="29" t="s">
        <v>456</v>
      </c>
    </row>
    <row r="395" s="22" customFormat="1" spans="1:10">
      <c r="A395" s="30" t="s">
        <v>875</v>
      </c>
      <c r="B395" s="31" t="s">
        <v>876</v>
      </c>
      <c r="C395" s="31" t="s">
        <v>19</v>
      </c>
      <c r="D395" s="31" t="s">
        <v>52</v>
      </c>
      <c r="E395" s="31" t="s">
        <v>120</v>
      </c>
      <c r="F395" s="31" t="s">
        <v>15</v>
      </c>
      <c r="G395" s="31" t="s">
        <v>28</v>
      </c>
      <c r="H395" s="32">
        <v>44837</v>
      </c>
      <c r="I395" s="31">
        <v>135229</v>
      </c>
      <c r="J395" s="33" t="s">
        <v>589</v>
      </c>
    </row>
    <row r="396" s="22" customFormat="1" spans="1:10">
      <c r="A396" s="26" t="s">
        <v>877</v>
      </c>
      <c r="B396" s="27" t="s">
        <v>878</v>
      </c>
      <c r="C396" s="27" t="s">
        <v>19</v>
      </c>
      <c r="D396" s="27" t="s">
        <v>13</v>
      </c>
      <c r="E396" s="27" t="s">
        <v>165</v>
      </c>
      <c r="F396" s="27" t="s">
        <v>15</v>
      </c>
      <c r="G396" s="27" t="s">
        <v>28</v>
      </c>
      <c r="H396" s="28">
        <v>42996</v>
      </c>
      <c r="I396" s="27">
        <v>181022</v>
      </c>
      <c r="J396" s="29" t="s">
        <v>879</v>
      </c>
    </row>
    <row r="397" s="22" customFormat="1" spans="1:10">
      <c r="A397" s="30" t="s">
        <v>74</v>
      </c>
      <c r="B397" s="31" t="s">
        <v>297</v>
      </c>
      <c r="C397" s="31" t="s">
        <v>19</v>
      </c>
      <c r="D397" s="31" t="s">
        <v>20</v>
      </c>
      <c r="E397" s="31" t="s">
        <v>70</v>
      </c>
      <c r="F397" s="31" t="s">
        <v>15</v>
      </c>
      <c r="G397" s="31" t="s">
        <v>34</v>
      </c>
      <c r="H397" s="32">
        <v>45483</v>
      </c>
      <c r="I397" s="31">
        <v>99838</v>
      </c>
      <c r="J397" s="33" t="s">
        <v>583</v>
      </c>
    </row>
    <row r="398" s="22" customFormat="1" spans="1:10">
      <c r="A398" s="26" t="s">
        <v>880</v>
      </c>
      <c r="B398" s="27" t="s">
        <v>881</v>
      </c>
      <c r="C398" s="27" t="s">
        <v>19</v>
      </c>
      <c r="D398" s="27" t="s">
        <v>52</v>
      </c>
      <c r="E398" s="27" t="s">
        <v>120</v>
      </c>
      <c r="F398" s="27" t="s">
        <v>15</v>
      </c>
      <c r="G398" s="27" t="s">
        <v>28</v>
      </c>
      <c r="H398" s="28">
        <v>45479</v>
      </c>
      <c r="I398" s="27">
        <v>143446</v>
      </c>
      <c r="J398" s="29" t="s">
        <v>74</v>
      </c>
    </row>
    <row r="399" s="22" customFormat="1" spans="1:10">
      <c r="A399" s="30" t="s">
        <v>882</v>
      </c>
      <c r="B399" s="31" t="s">
        <v>883</v>
      </c>
      <c r="C399" s="31" t="s">
        <v>12</v>
      </c>
      <c r="D399" s="31" t="s">
        <v>13</v>
      </c>
      <c r="E399" s="31" t="s">
        <v>14</v>
      </c>
      <c r="F399" s="31" t="s">
        <v>15</v>
      </c>
      <c r="G399" s="31" t="s">
        <v>28</v>
      </c>
      <c r="H399" s="32">
        <v>45054</v>
      </c>
      <c r="I399" s="31">
        <v>79711</v>
      </c>
      <c r="J399" s="33" t="s">
        <v>884</v>
      </c>
    </row>
    <row r="400" s="22" customFormat="1" spans="1:10">
      <c r="A400" s="26" t="s">
        <v>885</v>
      </c>
      <c r="B400" s="27" t="s">
        <v>886</v>
      </c>
      <c r="C400" s="27" t="s">
        <v>12</v>
      </c>
      <c r="D400" s="27" t="s">
        <v>26</v>
      </c>
      <c r="E400" s="27" t="s">
        <v>294</v>
      </c>
      <c r="F400" s="27" t="s">
        <v>48</v>
      </c>
      <c r="G400" s="27" t="s">
        <v>40</v>
      </c>
      <c r="H400" s="28">
        <v>42678</v>
      </c>
      <c r="I400" s="27">
        <v>209505</v>
      </c>
      <c r="J400" s="29" t="s">
        <v>215</v>
      </c>
    </row>
    <row r="401" s="22" customFormat="1" spans="1:10">
      <c r="A401" s="30" t="s">
        <v>887</v>
      </c>
      <c r="B401" s="31" t="s">
        <v>888</v>
      </c>
      <c r="C401" s="31" t="s">
        <v>19</v>
      </c>
      <c r="D401" s="31" t="s">
        <v>26</v>
      </c>
      <c r="E401" s="31" t="s">
        <v>294</v>
      </c>
      <c r="F401" s="31" t="s">
        <v>15</v>
      </c>
      <c r="G401" s="31" t="s">
        <v>94</v>
      </c>
      <c r="H401" s="32">
        <v>43095</v>
      </c>
      <c r="I401" s="31">
        <v>127752</v>
      </c>
      <c r="J401" s="33" t="s">
        <v>889</v>
      </c>
    </row>
    <row r="402" s="22" customFormat="1" spans="1:10">
      <c r="A402" s="26" t="s">
        <v>890</v>
      </c>
      <c r="B402" s="27" t="s">
        <v>829</v>
      </c>
      <c r="C402" s="27" t="s">
        <v>19</v>
      </c>
      <c r="D402" s="27" t="s">
        <v>38</v>
      </c>
      <c r="E402" s="27" t="s">
        <v>77</v>
      </c>
      <c r="F402" s="27" t="s">
        <v>15</v>
      </c>
      <c r="G402" s="27" t="s">
        <v>28</v>
      </c>
      <c r="H402" s="28">
        <v>45535</v>
      </c>
      <c r="I402" s="27">
        <v>175759</v>
      </c>
      <c r="J402" s="29" t="s">
        <v>309</v>
      </c>
    </row>
    <row r="403" s="22" customFormat="1" spans="1:10">
      <c r="A403" s="30" t="s">
        <v>891</v>
      </c>
      <c r="B403" s="31" t="s">
        <v>775</v>
      </c>
      <c r="C403" s="31" t="s">
        <v>19</v>
      </c>
      <c r="D403" s="31" t="s">
        <v>20</v>
      </c>
      <c r="E403" s="31" t="s">
        <v>147</v>
      </c>
      <c r="F403" s="31" t="s">
        <v>15</v>
      </c>
      <c r="G403" s="31" t="s">
        <v>28</v>
      </c>
      <c r="H403" s="32">
        <v>44942</v>
      </c>
      <c r="I403" s="31">
        <v>82536</v>
      </c>
      <c r="J403" s="33" t="s">
        <v>585</v>
      </c>
    </row>
    <row r="404" s="22" customFormat="1" spans="1:10">
      <c r="A404" s="26" t="s">
        <v>892</v>
      </c>
      <c r="B404" s="27" t="s">
        <v>893</v>
      </c>
      <c r="C404" s="27" t="s">
        <v>19</v>
      </c>
      <c r="D404" s="27" t="s">
        <v>92</v>
      </c>
      <c r="E404" s="27" t="s">
        <v>189</v>
      </c>
      <c r="F404" s="27" t="s">
        <v>48</v>
      </c>
      <c r="G404" s="27" t="s">
        <v>62</v>
      </c>
      <c r="H404" s="28">
        <v>44393</v>
      </c>
      <c r="I404" s="27">
        <v>97997</v>
      </c>
      <c r="J404" s="29" t="s">
        <v>89</v>
      </c>
    </row>
    <row r="405" s="22" customFormat="1" spans="1:10">
      <c r="A405" s="30" t="s">
        <v>298</v>
      </c>
      <c r="B405" s="31" t="s">
        <v>894</v>
      </c>
      <c r="C405" s="31" t="s">
        <v>12</v>
      </c>
      <c r="D405" s="31" t="s">
        <v>52</v>
      </c>
      <c r="E405" s="31" t="s">
        <v>53</v>
      </c>
      <c r="F405" s="31" t="s">
        <v>15</v>
      </c>
      <c r="G405" s="31" t="s">
        <v>94</v>
      </c>
      <c r="H405" s="32">
        <v>44270</v>
      </c>
      <c r="I405" s="31">
        <v>148933</v>
      </c>
      <c r="J405" s="33" t="s">
        <v>392</v>
      </c>
    </row>
    <row r="406" s="22" customFormat="1" spans="1:10">
      <c r="A406" s="26" t="s">
        <v>895</v>
      </c>
      <c r="B406" s="27" t="s">
        <v>896</v>
      </c>
      <c r="C406" s="27" t="s">
        <v>12</v>
      </c>
      <c r="D406" s="27" t="s">
        <v>13</v>
      </c>
      <c r="E406" s="27" t="s">
        <v>223</v>
      </c>
      <c r="F406" s="27" t="s">
        <v>15</v>
      </c>
      <c r="G406" s="27" t="s">
        <v>28</v>
      </c>
      <c r="H406" s="28">
        <v>45460</v>
      </c>
      <c r="I406" s="27">
        <v>161212</v>
      </c>
      <c r="J406" s="29" t="s">
        <v>102</v>
      </c>
    </row>
    <row r="407" s="22" customFormat="1" spans="1:10">
      <c r="A407" s="30" t="s">
        <v>897</v>
      </c>
      <c r="B407" s="31" t="s">
        <v>898</v>
      </c>
      <c r="C407" s="31" t="s">
        <v>19</v>
      </c>
      <c r="D407" s="31" t="s">
        <v>52</v>
      </c>
      <c r="E407" s="31" t="s">
        <v>120</v>
      </c>
      <c r="F407" s="31" t="s">
        <v>15</v>
      </c>
      <c r="G407" s="31" t="s">
        <v>40</v>
      </c>
      <c r="H407" s="32">
        <v>44679</v>
      </c>
      <c r="I407" s="31">
        <v>133746</v>
      </c>
      <c r="J407" s="33" t="s">
        <v>102</v>
      </c>
    </row>
    <row r="408" s="22" customFormat="1" spans="1:10">
      <c r="A408" s="26" t="s">
        <v>397</v>
      </c>
      <c r="B408" s="27" t="s">
        <v>261</v>
      </c>
      <c r="C408" s="27" t="s">
        <v>19</v>
      </c>
      <c r="D408" s="27" t="s">
        <v>13</v>
      </c>
      <c r="E408" s="27" t="s">
        <v>98</v>
      </c>
      <c r="F408" s="27" t="s">
        <v>15</v>
      </c>
      <c r="G408" s="27" t="s">
        <v>16</v>
      </c>
      <c r="H408" s="28">
        <v>45482</v>
      </c>
      <c r="I408" s="27">
        <v>154689</v>
      </c>
      <c r="J408" s="29" t="s">
        <v>259</v>
      </c>
    </row>
    <row r="409" s="22" customFormat="1" spans="1:10">
      <c r="A409" s="30" t="s">
        <v>899</v>
      </c>
      <c r="B409" s="31" t="s">
        <v>236</v>
      </c>
      <c r="C409" s="31" t="s">
        <v>19</v>
      </c>
      <c r="D409" s="31" t="s">
        <v>38</v>
      </c>
      <c r="E409" s="31" t="s">
        <v>39</v>
      </c>
      <c r="F409" s="31" t="s">
        <v>15</v>
      </c>
      <c r="G409" s="31" t="s">
        <v>62</v>
      </c>
      <c r="H409" s="32">
        <v>44743</v>
      </c>
      <c r="I409" s="31">
        <v>115869</v>
      </c>
      <c r="J409" s="33" t="s">
        <v>220</v>
      </c>
    </row>
    <row r="410" s="22" customFormat="1" spans="1:10">
      <c r="A410" s="26" t="s">
        <v>900</v>
      </c>
      <c r="B410" s="27" t="s">
        <v>901</v>
      </c>
      <c r="C410" s="27" t="s">
        <v>12</v>
      </c>
      <c r="D410" s="27" t="s">
        <v>20</v>
      </c>
      <c r="E410" s="27" t="s">
        <v>21</v>
      </c>
      <c r="F410" s="27" t="s">
        <v>48</v>
      </c>
      <c r="G410" s="27" t="s">
        <v>28</v>
      </c>
      <c r="H410" s="28">
        <v>44208</v>
      </c>
      <c r="I410" s="27">
        <v>66765</v>
      </c>
      <c r="J410" s="29" t="s">
        <v>23</v>
      </c>
    </row>
    <row r="411" s="22" customFormat="1" spans="1:10">
      <c r="A411" s="30" t="s">
        <v>902</v>
      </c>
      <c r="B411" s="31" t="s">
        <v>541</v>
      </c>
      <c r="C411" s="31" t="s">
        <v>19</v>
      </c>
      <c r="D411" s="31" t="s">
        <v>38</v>
      </c>
      <c r="E411" s="31" t="s">
        <v>39</v>
      </c>
      <c r="F411" s="31" t="s">
        <v>15</v>
      </c>
      <c r="G411" s="31" t="s">
        <v>62</v>
      </c>
      <c r="H411" s="32">
        <v>45159</v>
      </c>
      <c r="I411" s="31">
        <v>223811</v>
      </c>
      <c r="J411" s="33" t="s">
        <v>419</v>
      </c>
    </row>
    <row r="412" s="22" customFormat="1" spans="1:10">
      <c r="A412" s="26" t="s">
        <v>903</v>
      </c>
      <c r="B412" s="27" t="s">
        <v>904</v>
      </c>
      <c r="C412" s="27" t="s">
        <v>12</v>
      </c>
      <c r="D412" s="27" t="s">
        <v>87</v>
      </c>
      <c r="E412" s="27" t="s">
        <v>88</v>
      </c>
      <c r="F412" s="27" t="s">
        <v>15</v>
      </c>
      <c r="G412" s="27" t="s">
        <v>28</v>
      </c>
      <c r="H412" s="28">
        <v>44682</v>
      </c>
      <c r="I412" s="27">
        <v>232842</v>
      </c>
      <c r="J412" s="29" t="s">
        <v>253</v>
      </c>
    </row>
    <row r="413" s="22" customFormat="1" spans="1:10">
      <c r="A413" s="30" t="s">
        <v>905</v>
      </c>
      <c r="B413" s="31" t="s">
        <v>906</v>
      </c>
      <c r="C413" s="31" t="s">
        <v>12</v>
      </c>
      <c r="D413" s="31" t="s">
        <v>20</v>
      </c>
      <c r="E413" s="31" t="s">
        <v>147</v>
      </c>
      <c r="F413" s="31" t="s">
        <v>15</v>
      </c>
      <c r="G413" s="31" t="s">
        <v>40</v>
      </c>
      <c r="H413" s="32">
        <v>45003</v>
      </c>
      <c r="I413" s="31">
        <v>46051</v>
      </c>
      <c r="J413" s="33" t="s">
        <v>711</v>
      </c>
    </row>
    <row r="414" s="22" customFormat="1" spans="1:10">
      <c r="A414" s="26" t="s">
        <v>907</v>
      </c>
      <c r="B414" s="27" t="s">
        <v>195</v>
      </c>
      <c r="C414" s="27" t="s">
        <v>12</v>
      </c>
      <c r="D414" s="27" t="s">
        <v>20</v>
      </c>
      <c r="E414" s="27" t="s">
        <v>147</v>
      </c>
      <c r="F414" s="27" t="s">
        <v>15</v>
      </c>
      <c r="G414" s="27" t="s">
        <v>16</v>
      </c>
      <c r="H414" s="28">
        <v>44972</v>
      </c>
      <c r="I414" s="27">
        <v>67599</v>
      </c>
      <c r="J414" s="29" t="s">
        <v>908</v>
      </c>
    </row>
    <row r="415" s="22" customFormat="1" spans="1:10">
      <c r="A415" s="30" t="s">
        <v>909</v>
      </c>
      <c r="B415" s="31" t="s">
        <v>910</v>
      </c>
      <c r="C415" s="31" t="s">
        <v>19</v>
      </c>
      <c r="D415" s="31" t="s">
        <v>92</v>
      </c>
      <c r="E415" s="31" t="s">
        <v>189</v>
      </c>
      <c r="F415" s="31" t="s">
        <v>15</v>
      </c>
      <c r="G415" s="31" t="s">
        <v>94</v>
      </c>
      <c r="H415" s="32">
        <v>44928</v>
      </c>
      <c r="I415" s="31">
        <v>60095</v>
      </c>
      <c r="J415" s="33" t="s">
        <v>911</v>
      </c>
    </row>
    <row r="416" s="22" customFormat="1" spans="1:10">
      <c r="A416" s="26" t="s">
        <v>912</v>
      </c>
      <c r="B416" s="27" t="s">
        <v>263</v>
      </c>
      <c r="C416" s="27" t="s">
        <v>19</v>
      </c>
      <c r="D416" s="27" t="s">
        <v>32</v>
      </c>
      <c r="E416" s="27" t="s">
        <v>130</v>
      </c>
      <c r="F416" s="27" t="s">
        <v>15</v>
      </c>
      <c r="G416" s="27" t="s">
        <v>28</v>
      </c>
      <c r="H416" s="28">
        <v>43693</v>
      </c>
      <c r="I416" s="27">
        <v>74293</v>
      </c>
      <c r="J416" s="29" t="s">
        <v>179</v>
      </c>
    </row>
    <row r="417" s="22" customFormat="1" spans="1:10">
      <c r="A417" s="30" t="s">
        <v>456</v>
      </c>
      <c r="B417" s="31" t="s">
        <v>913</v>
      </c>
      <c r="C417" s="31" t="s">
        <v>19</v>
      </c>
      <c r="D417" s="31" t="s">
        <v>13</v>
      </c>
      <c r="E417" s="31" t="s">
        <v>98</v>
      </c>
      <c r="F417" s="31" t="s">
        <v>15</v>
      </c>
      <c r="G417" s="31" t="s">
        <v>34</v>
      </c>
      <c r="H417" s="32">
        <v>44939</v>
      </c>
      <c r="I417" s="31">
        <v>127508</v>
      </c>
      <c r="J417" s="33" t="s">
        <v>762</v>
      </c>
    </row>
    <row r="418" s="22" customFormat="1" spans="1:10">
      <c r="A418" s="26" t="s">
        <v>914</v>
      </c>
      <c r="B418" s="27" t="s">
        <v>915</v>
      </c>
      <c r="C418" s="27" t="s">
        <v>19</v>
      </c>
      <c r="D418" s="27" t="s">
        <v>87</v>
      </c>
      <c r="E418" s="27" t="s">
        <v>88</v>
      </c>
      <c r="F418" s="27" t="s">
        <v>15</v>
      </c>
      <c r="G418" s="27" t="s">
        <v>62</v>
      </c>
      <c r="H418" s="28">
        <v>43664</v>
      </c>
      <c r="I418" s="27">
        <v>151332</v>
      </c>
      <c r="J418" s="29" t="s">
        <v>908</v>
      </c>
    </row>
    <row r="419" s="22" customFormat="1" spans="1:10">
      <c r="A419" s="30" t="s">
        <v>916</v>
      </c>
      <c r="B419" s="31" t="s">
        <v>917</v>
      </c>
      <c r="C419" s="31" t="s">
        <v>19</v>
      </c>
      <c r="D419" s="31" t="s">
        <v>13</v>
      </c>
      <c r="E419" s="31" t="s">
        <v>14</v>
      </c>
      <c r="F419" s="31" t="s">
        <v>15</v>
      </c>
      <c r="G419" s="31" t="s">
        <v>62</v>
      </c>
      <c r="H419" s="32">
        <v>42988</v>
      </c>
      <c r="I419" s="31">
        <v>78808</v>
      </c>
      <c r="J419" s="33" t="s">
        <v>918</v>
      </c>
    </row>
    <row r="420" s="22" customFormat="1" spans="1:10">
      <c r="A420" s="26" t="s">
        <v>919</v>
      </c>
      <c r="B420" s="27" t="s">
        <v>346</v>
      </c>
      <c r="C420" s="27" t="s">
        <v>12</v>
      </c>
      <c r="D420" s="27" t="s">
        <v>26</v>
      </c>
      <c r="E420" s="27" t="s">
        <v>61</v>
      </c>
      <c r="F420" s="27" t="s">
        <v>15</v>
      </c>
      <c r="G420" s="27" t="s">
        <v>40</v>
      </c>
      <c r="H420" s="28">
        <v>44171</v>
      </c>
      <c r="I420" s="27">
        <v>169481</v>
      </c>
      <c r="J420" s="29" t="s">
        <v>186</v>
      </c>
    </row>
    <row r="421" s="22" customFormat="1" spans="1:10">
      <c r="A421" s="30" t="s">
        <v>295</v>
      </c>
      <c r="B421" s="31" t="s">
        <v>920</v>
      </c>
      <c r="C421" s="31" t="s">
        <v>19</v>
      </c>
      <c r="D421" s="31" t="s">
        <v>26</v>
      </c>
      <c r="E421" s="31" t="s">
        <v>27</v>
      </c>
      <c r="F421" s="31" t="s">
        <v>15</v>
      </c>
      <c r="G421" s="31" t="s">
        <v>62</v>
      </c>
      <c r="H421" s="32">
        <v>42649</v>
      </c>
      <c r="I421" s="31">
        <v>222667</v>
      </c>
      <c r="J421" s="33" t="s">
        <v>465</v>
      </c>
    </row>
    <row r="422" s="22" customFormat="1" spans="1:10">
      <c r="A422" s="26" t="s">
        <v>921</v>
      </c>
      <c r="B422" s="27" t="s">
        <v>922</v>
      </c>
      <c r="C422" s="27" t="s">
        <v>19</v>
      </c>
      <c r="D422" s="27" t="s">
        <v>52</v>
      </c>
      <c r="E422" s="27" t="s">
        <v>246</v>
      </c>
      <c r="F422" s="27" t="s">
        <v>48</v>
      </c>
      <c r="G422" s="27" t="s">
        <v>40</v>
      </c>
      <c r="H422" s="28">
        <v>44290</v>
      </c>
      <c r="I422" s="27">
        <v>126014</v>
      </c>
      <c r="J422" s="29" t="s">
        <v>229</v>
      </c>
    </row>
    <row r="423" s="22" customFormat="1" spans="1:10">
      <c r="A423" s="30" t="s">
        <v>923</v>
      </c>
      <c r="B423" s="31" t="s">
        <v>924</v>
      </c>
      <c r="C423" s="31" t="s">
        <v>12</v>
      </c>
      <c r="D423" s="31" t="s">
        <v>52</v>
      </c>
      <c r="E423" s="31" t="s">
        <v>120</v>
      </c>
      <c r="F423" s="31" t="s">
        <v>15</v>
      </c>
      <c r="G423" s="31" t="s">
        <v>40</v>
      </c>
      <c r="H423" s="32">
        <v>44181</v>
      </c>
      <c r="I423" s="31">
        <v>146117</v>
      </c>
      <c r="J423" s="33" t="s">
        <v>549</v>
      </c>
    </row>
    <row r="424" s="22" customFormat="1" spans="1:10">
      <c r="A424" s="26" t="s">
        <v>925</v>
      </c>
      <c r="B424" s="27" t="s">
        <v>926</v>
      </c>
      <c r="C424" s="27" t="s">
        <v>19</v>
      </c>
      <c r="D424" s="27" t="s">
        <v>38</v>
      </c>
      <c r="E424" s="27" t="s">
        <v>77</v>
      </c>
      <c r="F424" s="27" t="s">
        <v>15</v>
      </c>
      <c r="G424" s="27" t="s">
        <v>34</v>
      </c>
      <c r="H424" s="28">
        <v>44956</v>
      </c>
      <c r="I424" s="27">
        <v>174527</v>
      </c>
      <c r="J424" s="29" t="s">
        <v>727</v>
      </c>
    </row>
    <row r="425" s="22" customFormat="1" spans="1:10">
      <c r="A425" s="30" t="s">
        <v>927</v>
      </c>
      <c r="B425" s="31" t="s">
        <v>928</v>
      </c>
      <c r="C425" s="31" t="s">
        <v>12</v>
      </c>
      <c r="D425" s="31" t="s">
        <v>92</v>
      </c>
      <c r="E425" s="31" t="s">
        <v>189</v>
      </c>
      <c r="F425" s="31" t="s">
        <v>15</v>
      </c>
      <c r="G425" s="31" t="s">
        <v>16</v>
      </c>
      <c r="H425" s="32">
        <v>43610</v>
      </c>
      <c r="I425" s="31">
        <v>101593</v>
      </c>
      <c r="J425" s="33" t="s">
        <v>929</v>
      </c>
    </row>
    <row r="426" s="22" customFormat="1" spans="1:10">
      <c r="A426" s="26" t="s">
        <v>209</v>
      </c>
      <c r="B426" s="27" t="s">
        <v>930</v>
      </c>
      <c r="C426" s="27" t="s">
        <v>19</v>
      </c>
      <c r="D426" s="27" t="s">
        <v>38</v>
      </c>
      <c r="E426" s="27" t="s">
        <v>84</v>
      </c>
      <c r="F426" s="27" t="s">
        <v>15</v>
      </c>
      <c r="G426" s="27" t="s">
        <v>28</v>
      </c>
      <c r="H426" s="28">
        <v>45631</v>
      </c>
      <c r="I426" s="27">
        <v>203703</v>
      </c>
      <c r="J426" s="29" t="s">
        <v>579</v>
      </c>
    </row>
    <row r="427" s="22" customFormat="1" spans="1:10">
      <c r="A427" s="30" t="s">
        <v>931</v>
      </c>
      <c r="B427" s="31" t="s">
        <v>932</v>
      </c>
      <c r="C427" s="31" t="s">
        <v>19</v>
      </c>
      <c r="D427" s="31" t="s">
        <v>92</v>
      </c>
      <c r="E427" s="31" t="s">
        <v>193</v>
      </c>
      <c r="F427" s="31" t="s">
        <v>15</v>
      </c>
      <c r="G427" s="31" t="s">
        <v>28</v>
      </c>
      <c r="H427" s="32">
        <v>43495</v>
      </c>
      <c r="I427" s="31">
        <v>100685</v>
      </c>
      <c r="J427" s="33" t="s">
        <v>115</v>
      </c>
    </row>
    <row r="428" s="22" customFormat="1" spans="1:10">
      <c r="A428" s="26" t="s">
        <v>933</v>
      </c>
      <c r="B428" s="27" t="s">
        <v>934</v>
      </c>
      <c r="C428" s="27" t="s">
        <v>12</v>
      </c>
      <c r="D428" s="27" t="s">
        <v>13</v>
      </c>
      <c r="E428" s="27" t="s">
        <v>14</v>
      </c>
      <c r="F428" s="27" t="s">
        <v>15</v>
      </c>
      <c r="G428" s="27" t="s">
        <v>34</v>
      </c>
      <c r="H428" s="28">
        <v>44792</v>
      </c>
      <c r="I428" s="27">
        <v>64049</v>
      </c>
      <c r="J428" s="29" t="s">
        <v>863</v>
      </c>
    </row>
    <row r="429" s="22" customFormat="1" spans="1:10">
      <c r="A429" s="30" t="s">
        <v>256</v>
      </c>
      <c r="B429" s="31" t="s">
        <v>935</v>
      </c>
      <c r="C429" s="31" t="s">
        <v>19</v>
      </c>
      <c r="D429" s="31" t="s">
        <v>52</v>
      </c>
      <c r="E429" s="31" t="s">
        <v>53</v>
      </c>
      <c r="F429" s="31" t="s">
        <v>15</v>
      </c>
      <c r="G429" s="31" t="s">
        <v>34</v>
      </c>
      <c r="H429" s="32">
        <v>42600</v>
      </c>
      <c r="I429" s="31">
        <v>145409</v>
      </c>
      <c r="J429" s="33" t="s">
        <v>224</v>
      </c>
    </row>
    <row r="430" s="22" customFormat="1" spans="1:10">
      <c r="A430" s="26" t="s">
        <v>936</v>
      </c>
      <c r="B430" s="27" t="s">
        <v>439</v>
      </c>
      <c r="C430" s="27" t="s">
        <v>12</v>
      </c>
      <c r="D430" s="27" t="s">
        <v>13</v>
      </c>
      <c r="E430" s="27" t="s">
        <v>223</v>
      </c>
      <c r="F430" s="27" t="s">
        <v>15</v>
      </c>
      <c r="G430" s="27" t="s">
        <v>94</v>
      </c>
      <c r="H430" s="28">
        <v>43811</v>
      </c>
      <c r="I430" s="27">
        <v>264785</v>
      </c>
      <c r="J430" s="29" t="s">
        <v>253</v>
      </c>
    </row>
    <row r="431" s="22" customFormat="1" spans="1:10">
      <c r="A431" s="30" t="s">
        <v>937</v>
      </c>
      <c r="B431" s="31" t="s">
        <v>938</v>
      </c>
      <c r="C431" s="31" t="s">
        <v>12</v>
      </c>
      <c r="D431" s="31" t="s">
        <v>38</v>
      </c>
      <c r="E431" s="31" t="s">
        <v>39</v>
      </c>
      <c r="F431" s="31" t="s">
        <v>15</v>
      </c>
      <c r="G431" s="31" t="s">
        <v>40</v>
      </c>
      <c r="H431" s="32">
        <v>44448</v>
      </c>
      <c r="I431" s="31">
        <v>158586</v>
      </c>
      <c r="J431" s="33" t="s">
        <v>862</v>
      </c>
    </row>
    <row r="432" s="22" customFormat="1" spans="1:10">
      <c r="A432" s="26" t="s">
        <v>939</v>
      </c>
      <c r="B432" s="27" t="s">
        <v>940</v>
      </c>
      <c r="C432" s="27" t="s">
        <v>19</v>
      </c>
      <c r="D432" s="27" t="s">
        <v>38</v>
      </c>
      <c r="E432" s="27" t="s">
        <v>140</v>
      </c>
      <c r="F432" s="27" t="s">
        <v>15</v>
      </c>
      <c r="G432" s="27" t="s">
        <v>34</v>
      </c>
      <c r="H432" s="28">
        <v>42673</v>
      </c>
      <c r="I432" s="27">
        <v>114635</v>
      </c>
      <c r="J432" s="29" t="s">
        <v>68</v>
      </c>
    </row>
    <row r="433" s="22" customFormat="1" spans="1:10">
      <c r="A433" s="30" t="s">
        <v>941</v>
      </c>
      <c r="B433" s="31" t="s">
        <v>942</v>
      </c>
      <c r="C433" s="31" t="s">
        <v>19</v>
      </c>
      <c r="D433" s="31" t="s">
        <v>26</v>
      </c>
      <c r="E433" s="31" t="s">
        <v>61</v>
      </c>
      <c r="F433" s="31" t="s">
        <v>15</v>
      </c>
      <c r="G433" s="31" t="s">
        <v>28</v>
      </c>
      <c r="H433" s="32">
        <v>43641</v>
      </c>
      <c r="I433" s="31">
        <v>109027</v>
      </c>
      <c r="J433" s="33"/>
    </row>
    <row r="434" s="22" customFormat="1" spans="1:10">
      <c r="A434" s="26" t="s">
        <v>943</v>
      </c>
      <c r="B434" s="27" t="s">
        <v>290</v>
      </c>
      <c r="C434" s="27" t="s">
        <v>19</v>
      </c>
      <c r="D434" s="27" t="s">
        <v>32</v>
      </c>
      <c r="E434" s="27" t="s">
        <v>130</v>
      </c>
      <c r="F434" s="27" t="s">
        <v>15</v>
      </c>
      <c r="G434" s="27" t="s">
        <v>94</v>
      </c>
      <c r="H434" s="28">
        <v>44261</v>
      </c>
      <c r="I434" s="27">
        <v>78164</v>
      </c>
      <c r="J434" s="29" t="s">
        <v>536</v>
      </c>
    </row>
    <row r="435" s="22" customFormat="1" spans="1:10">
      <c r="A435" s="30" t="s">
        <v>944</v>
      </c>
      <c r="B435" s="31" t="s">
        <v>904</v>
      </c>
      <c r="C435" s="31" t="s">
        <v>12</v>
      </c>
      <c r="D435" s="31" t="s">
        <v>38</v>
      </c>
      <c r="E435" s="31" t="s">
        <v>44</v>
      </c>
      <c r="F435" s="31" t="s">
        <v>15</v>
      </c>
      <c r="G435" s="31" t="s">
        <v>16</v>
      </c>
      <c r="H435" s="32">
        <v>44221</v>
      </c>
      <c r="I435" s="31">
        <v>120831</v>
      </c>
      <c r="J435" s="33" t="s">
        <v>821</v>
      </c>
    </row>
    <row r="436" s="22" customFormat="1" spans="1:10">
      <c r="A436" s="26" t="s">
        <v>945</v>
      </c>
      <c r="B436" s="27" t="s">
        <v>946</v>
      </c>
      <c r="C436" s="27" t="s">
        <v>19</v>
      </c>
      <c r="D436" s="27" t="s">
        <v>38</v>
      </c>
      <c r="E436" s="27" t="s">
        <v>77</v>
      </c>
      <c r="F436" s="27" t="s">
        <v>15</v>
      </c>
      <c r="G436" s="27" t="s">
        <v>40</v>
      </c>
      <c r="H436" s="28">
        <v>42524</v>
      </c>
      <c r="I436" s="27">
        <v>120923</v>
      </c>
      <c r="J436" s="29" t="s">
        <v>607</v>
      </c>
    </row>
    <row r="437" s="22" customFormat="1" spans="1:10">
      <c r="A437" s="30" t="s">
        <v>947</v>
      </c>
      <c r="B437" s="31" t="s">
        <v>948</v>
      </c>
      <c r="C437" s="31" t="s">
        <v>19</v>
      </c>
      <c r="D437" s="31" t="s">
        <v>26</v>
      </c>
      <c r="E437" s="31" t="s">
        <v>162</v>
      </c>
      <c r="F437" s="31" t="s">
        <v>15</v>
      </c>
      <c r="G437" s="31" t="s">
        <v>40</v>
      </c>
      <c r="H437" s="32">
        <v>42603</v>
      </c>
      <c r="I437" s="31">
        <v>152132</v>
      </c>
      <c r="J437" s="33" t="s">
        <v>259</v>
      </c>
    </row>
    <row r="438" s="22" customFormat="1" spans="1:10">
      <c r="A438" s="26" t="s">
        <v>949</v>
      </c>
      <c r="B438" s="27" t="s">
        <v>950</v>
      </c>
      <c r="C438" s="27" t="s">
        <v>19</v>
      </c>
      <c r="D438" s="27" t="s">
        <v>38</v>
      </c>
      <c r="E438" s="27" t="s">
        <v>66</v>
      </c>
      <c r="F438" s="27" t="s">
        <v>48</v>
      </c>
      <c r="G438" s="27" t="s">
        <v>28</v>
      </c>
      <c r="H438" s="28">
        <v>43880</v>
      </c>
      <c r="I438" s="27">
        <v>229625</v>
      </c>
      <c r="J438" s="29" t="s">
        <v>951</v>
      </c>
    </row>
    <row r="439" s="22" customFormat="1" spans="1:10">
      <c r="A439" s="30" t="s">
        <v>952</v>
      </c>
      <c r="B439" s="31" t="s">
        <v>590</v>
      </c>
      <c r="C439" s="31" t="s">
        <v>12</v>
      </c>
      <c r="D439" s="31" t="s">
        <v>52</v>
      </c>
      <c r="E439" s="31" t="s">
        <v>120</v>
      </c>
      <c r="F439" s="31" t="s">
        <v>48</v>
      </c>
      <c r="G439" s="31" t="s">
        <v>62</v>
      </c>
      <c r="H439" s="32">
        <v>45776</v>
      </c>
      <c r="I439" s="31">
        <v>117618</v>
      </c>
      <c r="J439" s="33" t="s">
        <v>777</v>
      </c>
    </row>
    <row r="440" s="22" customFormat="1" spans="1:10">
      <c r="A440" s="26" t="s">
        <v>953</v>
      </c>
      <c r="B440" s="27" t="s">
        <v>327</v>
      </c>
      <c r="C440" s="27" t="s">
        <v>19</v>
      </c>
      <c r="D440" s="27" t="s">
        <v>26</v>
      </c>
      <c r="E440" s="27" t="s">
        <v>162</v>
      </c>
      <c r="F440" s="27" t="s">
        <v>48</v>
      </c>
      <c r="G440" s="27" t="s">
        <v>62</v>
      </c>
      <c r="H440" s="28">
        <v>43545</v>
      </c>
      <c r="I440" s="27">
        <v>169222</v>
      </c>
      <c r="J440" s="29" t="s">
        <v>954</v>
      </c>
    </row>
    <row r="441" s="22" customFormat="1" spans="1:10">
      <c r="A441" s="30" t="s">
        <v>955</v>
      </c>
      <c r="B441" s="31" t="s">
        <v>956</v>
      </c>
      <c r="C441" s="31" t="s">
        <v>12</v>
      </c>
      <c r="D441" s="31" t="s">
        <v>38</v>
      </c>
      <c r="E441" s="31" t="s">
        <v>44</v>
      </c>
      <c r="F441" s="31" t="s">
        <v>15</v>
      </c>
      <c r="G441" s="31" t="s">
        <v>28</v>
      </c>
      <c r="H441" s="32">
        <v>42684</v>
      </c>
      <c r="I441" s="31">
        <v>179843</v>
      </c>
      <c r="J441" s="33" t="s">
        <v>209</v>
      </c>
    </row>
    <row r="442" s="22" customFormat="1" spans="1:10">
      <c r="A442" s="26" t="s">
        <v>957</v>
      </c>
      <c r="B442" s="27" t="s">
        <v>958</v>
      </c>
      <c r="C442" s="27" t="s">
        <v>12</v>
      </c>
      <c r="D442" s="27" t="s">
        <v>38</v>
      </c>
      <c r="E442" s="27" t="s">
        <v>84</v>
      </c>
      <c r="F442" s="27" t="s">
        <v>15</v>
      </c>
      <c r="G442" s="27" t="s">
        <v>40</v>
      </c>
      <c r="H442" s="28">
        <v>45010</v>
      </c>
      <c r="I442" s="27">
        <v>158222</v>
      </c>
      <c r="J442" s="29" t="s">
        <v>762</v>
      </c>
    </row>
    <row r="443" s="22" customFormat="1" spans="1:10">
      <c r="A443" s="30" t="s">
        <v>959</v>
      </c>
      <c r="B443" s="31" t="s">
        <v>516</v>
      </c>
      <c r="C443" s="31" t="s">
        <v>146</v>
      </c>
      <c r="D443" s="31" t="s">
        <v>20</v>
      </c>
      <c r="E443" s="31" t="s">
        <v>147</v>
      </c>
      <c r="F443" s="31" t="s">
        <v>15</v>
      </c>
      <c r="G443" s="31" t="s">
        <v>62</v>
      </c>
      <c r="H443" s="32">
        <v>45873</v>
      </c>
      <c r="I443" s="31">
        <v>64675</v>
      </c>
      <c r="J443" s="33" t="s">
        <v>74</v>
      </c>
    </row>
    <row r="444" s="22" customFormat="1" spans="1:10">
      <c r="A444" s="26" t="s">
        <v>960</v>
      </c>
      <c r="B444" s="27" t="s">
        <v>769</v>
      </c>
      <c r="C444" s="27" t="s">
        <v>12</v>
      </c>
      <c r="D444" s="27" t="s">
        <v>13</v>
      </c>
      <c r="E444" s="27" t="s">
        <v>223</v>
      </c>
      <c r="F444" s="27" t="s">
        <v>22</v>
      </c>
      <c r="G444" s="27" t="s">
        <v>34</v>
      </c>
      <c r="H444" s="28">
        <v>42739</v>
      </c>
      <c r="I444" s="27">
        <v>82815</v>
      </c>
      <c r="J444" s="29" t="s">
        <v>465</v>
      </c>
    </row>
    <row r="445" s="22" customFormat="1" spans="1:10">
      <c r="A445" s="30" t="s">
        <v>961</v>
      </c>
      <c r="B445" s="31" t="s">
        <v>962</v>
      </c>
      <c r="C445" s="31" t="s">
        <v>12</v>
      </c>
      <c r="D445" s="31" t="s">
        <v>13</v>
      </c>
      <c r="E445" s="31" t="s">
        <v>165</v>
      </c>
      <c r="F445" s="31" t="s">
        <v>48</v>
      </c>
      <c r="G445" s="31" t="s">
        <v>16</v>
      </c>
      <c r="H445" s="32">
        <v>44889</v>
      </c>
      <c r="I445" s="31">
        <v>174886</v>
      </c>
      <c r="J445" s="33" t="s">
        <v>727</v>
      </c>
    </row>
    <row r="446" s="22" customFormat="1" spans="1:10">
      <c r="A446" s="26" t="s">
        <v>963</v>
      </c>
      <c r="B446" s="27" t="s">
        <v>964</v>
      </c>
      <c r="C446" s="27" t="s">
        <v>12</v>
      </c>
      <c r="D446" s="27" t="s">
        <v>52</v>
      </c>
      <c r="E446" s="27" t="s">
        <v>53</v>
      </c>
      <c r="F446" s="27" t="s">
        <v>15</v>
      </c>
      <c r="G446" s="27" t="s">
        <v>94</v>
      </c>
      <c r="H446" s="28">
        <v>44803</v>
      </c>
      <c r="I446" s="27">
        <v>194618</v>
      </c>
      <c r="J446" s="29" t="s">
        <v>838</v>
      </c>
    </row>
    <row r="447" s="22" customFormat="1" spans="1:10">
      <c r="A447" s="30" t="s">
        <v>965</v>
      </c>
      <c r="B447" s="31" t="s">
        <v>966</v>
      </c>
      <c r="C447" s="31" t="s">
        <v>12</v>
      </c>
      <c r="D447" s="31" t="s">
        <v>20</v>
      </c>
      <c r="E447" s="31" t="s">
        <v>147</v>
      </c>
      <c r="F447" s="31" t="s">
        <v>15</v>
      </c>
      <c r="G447" s="31" t="s">
        <v>28</v>
      </c>
      <c r="H447" s="32">
        <v>44446</v>
      </c>
      <c r="I447" s="31">
        <v>74103</v>
      </c>
      <c r="J447" s="33"/>
    </row>
    <row r="448" s="22" customFormat="1" spans="1:10">
      <c r="A448" s="26" t="s">
        <v>967</v>
      </c>
      <c r="B448" s="27" t="s">
        <v>968</v>
      </c>
      <c r="C448" s="27" t="s">
        <v>12</v>
      </c>
      <c r="D448" s="27" t="s">
        <v>20</v>
      </c>
      <c r="E448" s="27" t="s">
        <v>21</v>
      </c>
      <c r="F448" s="27" t="s">
        <v>15</v>
      </c>
      <c r="G448" s="27" t="s">
        <v>40</v>
      </c>
      <c r="H448" s="28">
        <v>43944</v>
      </c>
      <c r="I448" s="27">
        <v>121829</v>
      </c>
      <c r="J448" s="29" t="s">
        <v>573</v>
      </c>
    </row>
    <row r="449" s="22" customFormat="1" spans="1:10">
      <c r="A449" s="30" t="s">
        <v>627</v>
      </c>
      <c r="B449" s="31" t="s">
        <v>969</v>
      </c>
      <c r="C449" s="31" t="s">
        <v>19</v>
      </c>
      <c r="D449" s="31" t="s">
        <v>26</v>
      </c>
      <c r="E449" s="31" t="s">
        <v>27</v>
      </c>
      <c r="F449" s="31" t="s">
        <v>15</v>
      </c>
      <c r="G449" s="31" t="s">
        <v>94</v>
      </c>
      <c r="H449" s="32">
        <v>44265</v>
      </c>
      <c r="I449" s="31">
        <v>255433</v>
      </c>
      <c r="J449" s="33" t="s">
        <v>970</v>
      </c>
    </row>
    <row r="450" s="22" customFormat="1" spans="1:10">
      <c r="A450" s="26" t="s">
        <v>971</v>
      </c>
      <c r="B450" s="27" t="s">
        <v>972</v>
      </c>
      <c r="C450" s="27" t="s">
        <v>12</v>
      </c>
      <c r="D450" s="27" t="s">
        <v>13</v>
      </c>
      <c r="E450" s="27" t="s">
        <v>98</v>
      </c>
      <c r="F450" s="27" t="s">
        <v>15</v>
      </c>
      <c r="G450" s="27" t="s">
        <v>94</v>
      </c>
      <c r="H450" s="28">
        <v>44747</v>
      </c>
      <c r="I450" s="27">
        <v>193112</v>
      </c>
      <c r="J450" s="29" t="s">
        <v>172</v>
      </c>
    </row>
    <row r="451" s="22" customFormat="1" spans="1:10">
      <c r="A451" s="30" t="s">
        <v>973</v>
      </c>
      <c r="B451" s="31" t="s">
        <v>974</v>
      </c>
      <c r="C451" s="31" t="s">
        <v>19</v>
      </c>
      <c r="D451" s="31" t="s">
        <v>38</v>
      </c>
      <c r="E451" s="31" t="s">
        <v>44</v>
      </c>
      <c r="F451" s="31" t="s">
        <v>15</v>
      </c>
      <c r="G451" s="31" t="s">
        <v>34</v>
      </c>
      <c r="H451" s="32">
        <v>44640</v>
      </c>
      <c r="I451" s="31">
        <v>140602</v>
      </c>
      <c r="J451" s="33" t="s">
        <v>372</v>
      </c>
    </row>
    <row r="452" s="22" customFormat="1" spans="1:10">
      <c r="A452" s="26" t="s">
        <v>975</v>
      </c>
      <c r="B452" s="27" t="s">
        <v>415</v>
      </c>
      <c r="C452" s="27" t="s">
        <v>12</v>
      </c>
      <c r="D452" s="27" t="s">
        <v>52</v>
      </c>
      <c r="E452" s="27" t="s">
        <v>120</v>
      </c>
      <c r="F452" s="27" t="s">
        <v>15</v>
      </c>
      <c r="G452" s="27" t="s">
        <v>40</v>
      </c>
      <c r="H452" s="28">
        <v>45613</v>
      </c>
      <c r="I452" s="27">
        <v>82842</v>
      </c>
      <c r="J452" s="29" t="s">
        <v>151</v>
      </c>
    </row>
    <row r="453" s="22" customFormat="1" spans="1:10">
      <c r="A453" s="30" t="s">
        <v>976</v>
      </c>
      <c r="B453" s="31" t="s">
        <v>977</v>
      </c>
      <c r="C453" s="31" t="s">
        <v>12</v>
      </c>
      <c r="D453" s="31" t="s">
        <v>92</v>
      </c>
      <c r="E453" s="31" t="s">
        <v>93</v>
      </c>
      <c r="F453" s="31" t="s">
        <v>15</v>
      </c>
      <c r="G453" s="31" t="s">
        <v>28</v>
      </c>
      <c r="H453" s="32">
        <v>45396</v>
      </c>
      <c r="I453" s="31">
        <v>83584</v>
      </c>
      <c r="J453" s="33"/>
    </row>
    <row r="454" s="22" customFormat="1" spans="1:10">
      <c r="A454" s="26" t="s">
        <v>226</v>
      </c>
      <c r="B454" s="27" t="s">
        <v>978</v>
      </c>
      <c r="C454" s="27" t="s">
        <v>19</v>
      </c>
      <c r="D454" s="27" t="s">
        <v>13</v>
      </c>
      <c r="E454" s="27" t="s">
        <v>98</v>
      </c>
      <c r="F454" s="27" t="s">
        <v>48</v>
      </c>
      <c r="G454" s="27" t="s">
        <v>40</v>
      </c>
      <c r="H454" s="28">
        <v>42538</v>
      </c>
      <c r="I454" s="27">
        <v>263179</v>
      </c>
      <c r="J454" s="29" t="s">
        <v>81</v>
      </c>
    </row>
    <row r="455" s="22" customFormat="1" spans="1:10">
      <c r="A455" s="30" t="s">
        <v>979</v>
      </c>
      <c r="B455" s="31" t="s">
        <v>980</v>
      </c>
      <c r="C455" s="31" t="s">
        <v>19</v>
      </c>
      <c r="D455" s="31" t="s">
        <v>20</v>
      </c>
      <c r="E455" s="31" t="s">
        <v>21</v>
      </c>
      <c r="F455" s="31" t="s">
        <v>15</v>
      </c>
      <c r="G455" s="31" t="s">
        <v>28</v>
      </c>
      <c r="H455" s="32">
        <v>44212</v>
      </c>
      <c r="I455" s="31">
        <v>95636</v>
      </c>
      <c r="J455" s="33" t="s">
        <v>459</v>
      </c>
    </row>
    <row r="456" s="22" customFormat="1" spans="1:10">
      <c r="A456" s="26" t="s">
        <v>981</v>
      </c>
      <c r="B456" s="27" t="s">
        <v>635</v>
      </c>
      <c r="C456" s="27" t="s">
        <v>19</v>
      </c>
      <c r="D456" s="27" t="s">
        <v>38</v>
      </c>
      <c r="E456" s="27" t="s">
        <v>77</v>
      </c>
      <c r="F456" s="27" t="s">
        <v>15</v>
      </c>
      <c r="G456" s="27" t="s">
        <v>40</v>
      </c>
      <c r="H456" s="28">
        <v>45687</v>
      </c>
      <c r="I456" s="27">
        <v>70124</v>
      </c>
      <c r="J456" s="29" t="s">
        <v>425</v>
      </c>
    </row>
    <row r="457" s="22" customFormat="1" spans="1:10">
      <c r="A457" s="30" t="s">
        <v>183</v>
      </c>
      <c r="B457" s="31" t="s">
        <v>414</v>
      </c>
      <c r="C457" s="31" t="s">
        <v>12</v>
      </c>
      <c r="D457" s="31" t="s">
        <v>92</v>
      </c>
      <c r="E457" s="31" t="s">
        <v>193</v>
      </c>
      <c r="F457" s="31" t="s">
        <v>15</v>
      </c>
      <c r="G457" s="31" t="s">
        <v>40</v>
      </c>
      <c r="H457" s="32">
        <v>44711</v>
      </c>
      <c r="I457" s="31">
        <v>227832</v>
      </c>
      <c r="J457" s="33" t="s">
        <v>621</v>
      </c>
    </row>
    <row r="458" s="22" customFormat="1" spans="1:10">
      <c r="A458" s="26" t="s">
        <v>982</v>
      </c>
      <c r="B458" s="27" t="s">
        <v>321</v>
      </c>
      <c r="C458" s="27" t="s">
        <v>12</v>
      </c>
      <c r="D458" s="27" t="s">
        <v>38</v>
      </c>
      <c r="E458" s="27" t="s">
        <v>44</v>
      </c>
      <c r="F458" s="27" t="s">
        <v>48</v>
      </c>
      <c r="G458" s="27" t="s">
        <v>62</v>
      </c>
      <c r="H458" s="28">
        <v>45039</v>
      </c>
      <c r="I458" s="27">
        <v>197505</v>
      </c>
      <c r="J458" s="29" t="s">
        <v>482</v>
      </c>
    </row>
    <row r="459" s="22" customFormat="1" spans="1:10">
      <c r="A459" s="30" t="s">
        <v>983</v>
      </c>
      <c r="B459" s="31" t="s">
        <v>984</v>
      </c>
      <c r="C459" s="31" t="s">
        <v>19</v>
      </c>
      <c r="D459" s="31" t="s">
        <v>13</v>
      </c>
      <c r="E459" s="31" t="s">
        <v>223</v>
      </c>
      <c r="F459" s="31" t="s">
        <v>15</v>
      </c>
      <c r="G459" s="31" t="s">
        <v>62</v>
      </c>
      <c r="H459" s="32">
        <v>43141</v>
      </c>
      <c r="I459" s="31">
        <v>105291</v>
      </c>
      <c r="J459" s="33" t="s">
        <v>574</v>
      </c>
    </row>
    <row r="460" s="22" customFormat="1" spans="1:10">
      <c r="A460" s="26" t="s">
        <v>985</v>
      </c>
      <c r="B460" s="27" t="s">
        <v>986</v>
      </c>
      <c r="C460" s="27" t="s">
        <v>12</v>
      </c>
      <c r="D460" s="27" t="s">
        <v>38</v>
      </c>
      <c r="E460" s="27" t="s">
        <v>77</v>
      </c>
      <c r="F460" s="27" t="s">
        <v>22</v>
      </c>
      <c r="G460" s="27" t="s">
        <v>16</v>
      </c>
      <c r="H460" s="28">
        <v>43686</v>
      </c>
      <c r="I460" s="27">
        <v>135917</v>
      </c>
      <c r="J460" s="29"/>
    </row>
    <row r="461" s="22" customFormat="1" spans="1:10">
      <c r="A461" s="30" t="s">
        <v>987</v>
      </c>
      <c r="B461" s="31" t="s">
        <v>333</v>
      </c>
      <c r="C461" s="31" t="s">
        <v>19</v>
      </c>
      <c r="D461" s="31" t="s">
        <v>38</v>
      </c>
      <c r="E461" s="31" t="s">
        <v>44</v>
      </c>
      <c r="F461" s="31" t="s">
        <v>15</v>
      </c>
      <c r="G461" s="31" t="s">
        <v>16</v>
      </c>
      <c r="H461" s="32">
        <v>44848</v>
      </c>
      <c r="I461" s="31">
        <v>166740</v>
      </c>
      <c r="J461" s="33"/>
    </row>
    <row r="462" s="22" customFormat="1" spans="1:10">
      <c r="A462" s="26" t="s">
        <v>988</v>
      </c>
      <c r="B462" s="27" t="s">
        <v>989</v>
      </c>
      <c r="C462" s="27" t="s">
        <v>19</v>
      </c>
      <c r="D462" s="27" t="s">
        <v>38</v>
      </c>
      <c r="E462" s="27" t="s">
        <v>66</v>
      </c>
      <c r="F462" s="27" t="s">
        <v>15</v>
      </c>
      <c r="G462" s="27" t="s">
        <v>16</v>
      </c>
      <c r="H462" s="28">
        <v>44318</v>
      </c>
      <c r="I462" s="27">
        <v>182833</v>
      </c>
      <c r="J462" s="29" t="s">
        <v>309</v>
      </c>
    </row>
    <row r="463" s="22" customFormat="1" spans="1:10">
      <c r="A463" s="30" t="s">
        <v>990</v>
      </c>
      <c r="B463" s="31" t="s">
        <v>720</v>
      </c>
      <c r="C463" s="31" t="s">
        <v>19</v>
      </c>
      <c r="D463" s="31" t="s">
        <v>32</v>
      </c>
      <c r="E463" s="31" t="s">
        <v>33</v>
      </c>
      <c r="F463" s="31" t="s">
        <v>15</v>
      </c>
      <c r="G463" s="31" t="s">
        <v>62</v>
      </c>
      <c r="H463" s="32">
        <v>44423</v>
      </c>
      <c r="I463" s="31">
        <v>63724</v>
      </c>
      <c r="J463" s="33" t="s">
        <v>889</v>
      </c>
    </row>
    <row r="464" s="22" customFormat="1" spans="1:10">
      <c r="A464" s="26" t="s">
        <v>991</v>
      </c>
      <c r="B464" s="27" t="s">
        <v>720</v>
      </c>
      <c r="C464" s="27" t="s">
        <v>19</v>
      </c>
      <c r="D464" s="27" t="s">
        <v>26</v>
      </c>
      <c r="E464" s="27" t="s">
        <v>162</v>
      </c>
      <c r="F464" s="27" t="s">
        <v>15</v>
      </c>
      <c r="G464" s="27" t="s">
        <v>62</v>
      </c>
      <c r="H464" s="28">
        <v>42987</v>
      </c>
      <c r="I464" s="27">
        <v>173386</v>
      </c>
      <c r="J464" s="29" t="s">
        <v>299</v>
      </c>
    </row>
    <row r="465" s="22" customFormat="1" spans="1:10">
      <c r="A465" s="30" t="s">
        <v>992</v>
      </c>
      <c r="B465" s="31" t="s">
        <v>993</v>
      </c>
      <c r="C465" s="31" t="s">
        <v>19</v>
      </c>
      <c r="D465" s="31" t="s">
        <v>92</v>
      </c>
      <c r="E465" s="31" t="s">
        <v>93</v>
      </c>
      <c r="F465" s="31" t="s">
        <v>15</v>
      </c>
      <c r="G465" s="31" t="s">
        <v>62</v>
      </c>
      <c r="H465" s="32">
        <v>42623</v>
      </c>
      <c r="I465" s="31">
        <v>143282</v>
      </c>
      <c r="J465" s="33" t="s">
        <v>306</v>
      </c>
    </row>
    <row r="466" s="22" customFormat="1" spans="1:10">
      <c r="A466" s="26" t="s">
        <v>842</v>
      </c>
      <c r="B466" s="27" t="s">
        <v>994</v>
      </c>
      <c r="C466" s="27" t="s">
        <v>19</v>
      </c>
      <c r="D466" s="27" t="s">
        <v>20</v>
      </c>
      <c r="E466" s="27" t="s">
        <v>70</v>
      </c>
      <c r="F466" s="27" t="s">
        <v>48</v>
      </c>
      <c r="G466" s="27" t="s">
        <v>40</v>
      </c>
      <c r="H466" s="28">
        <v>44215</v>
      </c>
      <c r="I466" s="27">
        <v>173256</v>
      </c>
      <c r="J466" s="29" t="s">
        <v>821</v>
      </c>
    </row>
    <row r="467" s="22" customFormat="1" spans="1:10">
      <c r="A467" s="30" t="s">
        <v>995</v>
      </c>
      <c r="B467" s="31" t="s">
        <v>996</v>
      </c>
      <c r="C467" s="31" t="s">
        <v>19</v>
      </c>
      <c r="D467" s="31" t="s">
        <v>13</v>
      </c>
      <c r="E467" s="31" t="s">
        <v>14</v>
      </c>
      <c r="F467" s="31" t="s">
        <v>48</v>
      </c>
      <c r="G467" s="31" t="s">
        <v>94</v>
      </c>
      <c r="H467" s="32">
        <v>42793</v>
      </c>
      <c r="I467" s="31">
        <v>69789</v>
      </c>
      <c r="J467" s="33" t="s">
        <v>813</v>
      </c>
    </row>
    <row r="468" s="22" customFormat="1" spans="1:10">
      <c r="A468" s="26" t="s">
        <v>862</v>
      </c>
      <c r="B468" s="27" t="s">
        <v>997</v>
      </c>
      <c r="C468" s="27" t="s">
        <v>19</v>
      </c>
      <c r="D468" s="27" t="s">
        <v>87</v>
      </c>
      <c r="E468" s="27" t="s">
        <v>111</v>
      </c>
      <c r="F468" s="27" t="s">
        <v>15</v>
      </c>
      <c r="G468" s="27" t="s">
        <v>28</v>
      </c>
      <c r="H468" s="28">
        <v>45691</v>
      </c>
      <c r="I468" s="27">
        <v>255591</v>
      </c>
      <c r="J468" s="29" t="s">
        <v>803</v>
      </c>
    </row>
    <row r="469" s="22" customFormat="1" spans="1:10">
      <c r="A469" s="30" t="s">
        <v>998</v>
      </c>
      <c r="B469" s="31" t="s">
        <v>999</v>
      </c>
      <c r="C469" s="31" t="s">
        <v>12</v>
      </c>
      <c r="D469" s="31" t="s">
        <v>52</v>
      </c>
      <c r="E469" s="31" t="s">
        <v>120</v>
      </c>
      <c r="F469" s="31" t="s">
        <v>15</v>
      </c>
      <c r="G469" s="31" t="s">
        <v>40</v>
      </c>
      <c r="H469" s="32">
        <v>45799</v>
      </c>
      <c r="I469" s="31">
        <v>98291</v>
      </c>
      <c r="J469" s="33"/>
    </row>
    <row r="470" s="22" customFormat="1" spans="1:10">
      <c r="A470" s="26" t="s">
        <v>557</v>
      </c>
      <c r="B470" s="27" t="s">
        <v>1000</v>
      </c>
      <c r="C470" s="27" t="s">
        <v>12</v>
      </c>
      <c r="D470" s="27" t="s">
        <v>87</v>
      </c>
      <c r="E470" s="27" t="s">
        <v>111</v>
      </c>
      <c r="F470" s="27" t="s">
        <v>15</v>
      </c>
      <c r="G470" s="27" t="s">
        <v>34</v>
      </c>
      <c r="H470" s="28">
        <v>43776</v>
      </c>
      <c r="I470" s="27">
        <v>276368</v>
      </c>
      <c r="J470" s="29" t="s">
        <v>619</v>
      </c>
    </row>
    <row r="471" s="22" customFormat="1" spans="1:10">
      <c r="A471" s="30" t="s">
        <v>1001</v>
      </c>
      <c r="B471" s="31" t="s">
        <v>1002</v>
      </c>
      <c r="C471" s="31" t="s">
        <v>19</v>
      </c>
      <c r="D471" s="31" t="s">
        <v>20</v>
      </c>
      <c r="E471" s="31" t="s">
        <v>70</v>
      </c>
      <c r="F471" s="31" t="s">
        <v>15</v>
      </c>
      <c r="G471" s="31" t="s">
        <v>34</v>
      </c>
      <c r="H471" s="32">
        <v>45295</v>
      </c>
      <c r="I471" s="31">
        <v>158145</v>
      </c>
      <c r="J471" s="33" t="s">
        <v>1003</v>
      </c>
    </row>
    <row r="472" s="22" customFormat="1" spans="1:10">
      <c r="A472" s="26" t="s">
        <v>1004</v>
      </c>
      <c r="B472" s="27" t="s">
        <v>1005</v>
      </c>
      <c r="C472" s="27" t="s">
        <v>19</v>
      </c>
      <c r="D472" s="27" t="s">
        <v>38</v>
      </c>
      <c r="E472" s="27" t="s">
        <v>140</v>
      </c>
      <c r="F472" s="27" t="s">
        <v>15</v>
      </c>
      <c r="G472" s="27" t="s">
        <v>62</v>
      </c>
      <c r="H472" s="28">
        <v>42715</v>
      </c>
      <c r="I472" s="27">
        <v>150348</v>
      </c>
      <c r="J472" s="29" t="s">
        <v>727</v>
      </c>
    </row>
    <row r="473" s="22" customFormat="1" spans="1:10">
      <c r="A473" s="30" t="s">
        <v>951</v>
      </c>
      <c r="B473" s="31" t="s">
        <v>980</v>
      </c>
      <c r="C473" s="31" t="s">
        <v>19</v>
      </c>
      <c r="D473" s="31" t="s">
        <v>20</v>
      </c>
      <c r="E473" s="31" t="s">
        <v>70</v>
      </c>
      <c r="F473" s="31" t="s">
        <v>15</v>
      </c>
      <c r="G473" s="31" t="s">
        <v>94</v>
      </c>
      <c r="H473" s="32">
        <v>44436</v>
      </c>
      <c r="I473" s="31">
        <v>120126</v>
      </c>
      <c r="J473" s="33" t="s">
        <v>449</v>
      </c>
    </row>
    <row r="474" s="22" customFormat="1" spans="1:10">
      <c r="A474" s="26" t="s">
        <v>1006</v>
      </c>
      <c r="B474" s="27" t="s">
        <v>1007</v>
      </c>
      <c r="C474" s="27" t="s">
        <v>19</v>
      </c>
      <c r="D474" s="27" t="s">
        <v>38</v>
      </c>
      <c r="E474" s="27" t="s">
        <v>39</v>
      </c>
      <c r="F474" s="27" t="s">
        <v>48</v>
      </c>
      <c r="G474" s="27" t="s">
        <v>94</v>
      </c>
      <c r="H474" s="28">
        <v>45016</v>
      </c>
      <c r="I474" s="27">
        <v>184741</v>
      </c>
      <c r="J474" s="29" t="s">
        <v>224</v>
      </c>
    </row>
    <row r="475" s="22" customFormat="1" spans="1:10">
      <c r="A475" s="30" t="s">
        <v>1008</v>
      </c>
      <c r="B475" s="31" t="s">
        <v>1009</v>
      </c>
      <c r="C475" s="31" t="s">
        <v>19</v>
      </c>
      <c r="D475" s="31" t="s">
        <v>52</v>
      </c>
      <c r="E475" s="31" t="s">
        <v>120</v>
      </c>
      <c r="F475" s="31" t="s">
        <v>15</v>
      </c>
      <c r="G475" s="31" t="s">
        <v>62</v>
      </c>
      <c r="H475" s="32">
        <v>43076</v>
      </c>
      <c r="I475" s="31">
        <v>70447</v>
      </c>
      <c r="J475" s="33" t="s">
        <v>758</v>
      </c>
    </row>
    <row r="476" s="22" customFormat="1" spans="1:10">
      <c r="A476" s="26" t="s">
        <v>1010</v>
      </c>
      <c r="B476" s="27" t="s">
        <v>705</v>
      </c>
      <c r="C476" s="27" t="s">
        <v>19</v>
      </c>
      <c r="D476" s="27" t="s">
        <v>92</v>
      </c>
      <c r="E476" s="27" t="s">
        <v>391</v>
      </c>
      <c r="F476" s="27" t="s">
        <v>15</v>
      </c>
      <c r="G476" s="27" t="s">
        <v>40</v>
      </c>
      <c r="H476" s="28">
        <v>42530</v>
      </c>
      <c r="I476" s="27">
        <v>97284</v>
      </c>
      <c r="J476" s="29" t="s">
        <v>347</v>
      </c>
    </row>
    <row r="477" s="22" customFormat="1" spans="1:10">
      <c r="A477" s="30" t="s">
        <v>1011</v>
      </c>
      <c r="B477" s="31" t="s">
        <v>461</v>
      </c>
      <c r="C477" s="31" t="s">
        <v>12</v>
      </c>
      <c r="D477" s="31" t="s">
        <v>20</v>
      </c>
      <c r="E477" s="31" t="s">
        <v>21</v>
      </c>
      <c r="F477" s="31" t="s">
        <v>15</v>
      </c>
      <c r="G477" s="31" t="s">
        <v>62</v>
      </c>
      <c r="H477" s="32">
        <v>43384</v>
      </c>
      <c r="I477" s="31">
        <v>106133</v>
      </c>
      <c r="J477" s="33" t="s">
        <v>226</v>
      </c>
    </row>
    <row r="478" s="22" customFormat="1" spans="1:10">
      <c r="A478" s="26" t="s">
        <v>1012</v>
      </c>
      <c r="B478" s="27" t="s">
        <v>282</v>
      </c>
      <c r="C478" s="27" t="s">
        <v>12</v>
      </c>
      <c r="D478" s="27" t="s">
        <v>38</v>
      </c>
      <c r="E478" s="27" t="s">
        <v>39</v>
      </c>
      <c r="F478" s="27" t="s">
        <v>15</v>
      </c>
      <c r="G478" s="27" t="s">
        <v>62</v>
      </c>
      <c r="H478" s="28">
        <v>45268</v>
      </c>
      <c r="I478" s="27">
        <v>174752</v>
      </c>
      <c r="J478" s="29" t="s">
        <v>721</v>
      </c>
    </row>
    <row r="479" s="22" customFormat="1" spans="1:10">
      <c r="A479" s="30" t="s">
        <v>1013</v>
      </c>
      <c r="B479" s="31" t="s">
        <v>1014</v>
      </c>
      <c r="C479" s="31" t="s">
        <v>12</v>
      </c>
      <c r="D479" s="31" t="s">
        <v>92</v>
      </c>
      <c r="E479" s="31" t="s">
        <v>126</v>
      </c>
      <c r="F479" s="31" t="s">
        <v>15</v>
      </c>
      <c r="G479" s="31" t="s">
        <v>40</v>
      </c>
      <c r="H479" s="32">
        <v>44163</v>
      </c>
      <c r="I479" s="31">
        <v>119233</v>
      </c>
      <c r="J479" s="33" t="s">
        <v>557</v>
      </c>
    </row>
    <row r="480" s="22" customFormat="1" spans="1:10">
      <c r="A480" s="26" t="s">
        <v>889</v>
      </c>
      <c r="B480" s="27" t="s">
        <v>1015</v>
      </c>
      <c r="C480" s="27" t="s">
        <v>12</v>
      </c>
      <c r="D480" s="27" t="s">
        <v>20</v>
      </c>
      <c r="E480" s="27" t="s">
        <v>70</v>
      </c>
      <c r="F480" s="27" t="s">
        <v>48</v>
      </c>
      <c r="G480" s="27" t="s">
        <v>28</v>
      </c>
      <c r="H480" s="28">
        <v>44169</v>
      </c>
      <c r="I480" s="27">
        <v>72655</v>
      </c>
      <c r="J480" s="29" t="s">
        <v>172</v>
      </c>
    </row>
    <row r="481" s="22" customFormat="1" spans="1:10">
      <c r="A481" s="30" t="s">
        <v>1016</v>
      </c>
      <c r="B481" s="31" t="s">
        <v>1017</v>
      </c>
      <c r="C481" s="31" t="s">
        <v>12</v>
      </c>
      <c r="D481" s="31" t="s">
        <v>92</v>
      </c>
      <c r="E481" s="31" t="s">
        <v>391</v>
      </c>
      <c r="F481" s="31" t="s">
        <v>15</v>
      </c>
      <c r="G481" s="31" t="s">
        <v>62</v>
      </c>
      <c r="H481" s="32">
        <v>44516</v>
      </c>
      <c r="I481" s="31">
        <v>105709</v>
      </c>
      <c r="J481" s="33" t="s">
        <v>1018</v>
      </c>
    </row>
    <row r="482" s="22" customFormat="1" spans="1:10">
      <c r="A482" s="26" t="s">
        <v>1019</v>
      </c>
      <c r="B482" s="27" t="s">
        <v>1020</v>
      </c>
      <c r="C482" s="27" t="s">
        <v>19</v>
      </c>
      <c r="D482" s="27" t="s">
        <v>32</v>
      </c>
      <c r="E482" s="27" t="s">
        <v>208</v>
      </c>
      <c r="F482" s="27" t="s">
        <v>48</v>
      </c>
      <c r="G482" s="27" t="s">
        <v>34</v>
      </c>
      <c r="H482" s="28">
        <v>44511</v>
      </c>
      <c r="I482" s="27">
        <v>180674</v>
      </c>
      <c r="J482" s="29" t="s">
        <v>776</v>
      </c>
    </row>
    <row r="483" s="22" customFormat="1" spans="1:10">
      <c r="A483" s="30" t="s">
        <v>1021</v>
      </c>
      <c r="B483" s="31" t="s">
        <v>1022</v>
      </c>
      <c r="C483" s="31" t="s">
        <v>19</v>
      </c>
      <c r="D483" s="31" t="s">
        <v>26</v>
      </c>
      <c r="E483" s="31" t="s">
        <v>162</v>
      </c>
      <c r="F483" s="31" t="s">
        <v>15</v>
      </c>
      <c r="G483" s="31" t="s">
        <v>34</v>
      </c>
      <c r="H483" s="32">
        <v>44867</v>
      </c>
      <c r="I483" s="31">
        <v>149123</v>
      </c>
      <c r="J483" s="33" t="s">
        <v>1003</v>
      </c>
    </row>
    <row r="484" s="22" customFormat="1" spans="1:10">
      <c r="A484" s="26" t="s">
        <v>1023</v>
      </c>
      <c r="B484" s="27" t="s">
        <v>1024</v>
      </c>
      <c r="C484" s="27" t="s">
        <v>19</v>
      </c>
      <c r="D484" s="27" t="s">
        <v>13</v>
      </c>
      <c r="E484" s="27" t="s">
        <v>165</v>
      </c>
      <c r="F484" s="27" t="s">
        <v>48</v>
      </c>
      <c r="G484" s="27" t="s">
        <v>94</v>
      </c>
      <c r="H484" s="28">
        <v>43020</v>
      </c>
      <c r="I484" s="27">
        <v>93524</v>
      </c>
      <c r="J484" s="29" t="s">
        <v>459</v>
      </c>
    </row>
    <row r="485" s="22" customFormat="1" spans="1:10">
      <c r="A485" s="30" t="s">
        <v>1025</v>
      </c>
      <c r="B485" s="31" t="s">
        <v>1026</v>
      </c>
      <c r="C485" s="31" t="s">
        <v>12</v>
      </c>
      <c r="D485" s="31" t="s">
        <v>32</v>
      </c>
      <c r="E485" s="31" t="s">
        <v>57</v>
      </c>
      <c r="F485" s="31" t="s">
        <v>22</v>
      </c>
      <c r="G485" s="31" t="s">
        <v>40</v>
      </c>
      <c r="H485" s="32">
        <v>43860</v>
      </c>
      <c r="I485" s="31">
        <v>86132</v>
      </c>
      <c r="J485" s="33" t="s">
        <v>262</v>
      </c>
    </row>
    <row r="486" s="22" customFormat="1" spans="1:10">
      <c r="A486" s="26" t="s">
        <v>1027</v>
      </c>
      <c r="B486" s="27" t="s">
        <v>333</v>
      </c>
      <c r="C486" s="27" t="s">
        <v>12</v>
      </c>
      <c r="D486" s="27" t="s">
        <v>92</v>
      </c>
      <c r="E486" s="27" t="s">
        <v>391</v>
      </c>
      <c r="F486" s="27" t="s">
        <v>15</v>
      </c>
      <c r="G486" s="27" t="s">
        <v>94</v>
      </c>
      <c r="H486" s="28">
        <v>43897</v>
      </c>
      <c r="I486" s="27">
        <v>76505</v>
      </c>
      <c r="J486" s="29" t="s">
        <v>547</v>
      </c>
    </row>
    <row r="487" s="22" customFormat="1" spans="1:10">
      <c r="A487" s="30" t="s">
        <v>1028</v>
      </c>
      <c r="B487" s="31" t="s">
        <v>1029</v>
      </c>
      <c r="C487" s="31" t="s">
        <v>12</v>
      </c>
      <c r="D487" s="31" t="s">
        <v>20</v>
      </c>
      <c r="E487" s="31" t="s">
        <v>21</v>
      </c>
      <c r="F487" s="31" t="s">
        <v>22</v>
      </c>
      <c r="G487" s="31" t="s">
        <v>62</v>
      </c>
      <c r="H487" s="32">
        <v>43528</v>
      </c>
      <c r="I487" s="31">
        <v>122625</v>
      </c>
      <c r="J487" s="33" t="s">
        <v>490</v>
      </c>
    </row>
    <row r="488" s="22" customFormat="1" spans="1:10">
      <c r="A488" s="26" t="s">
        <v>1030</v>
      </c>
      <c r="B488" s="27" t="s">
        <v>584</v>
      </c>
      <c r="C488" s="27" t="s">
        <v>19</v>
      </c>
      <c r="D488" s="27" t="s">
        <v>38</v>
      </c>
      <c r="E488" s="27" t="s">
        <v>66</v>
      </c>
      <c r="F488" s="27" t="s">
        <v>15</v>
      </c>
      <c r="G488" s="27" t="s">
        <v>28</v>
      </c>
      <c r="H488" s="28">
        <v>43956</v>
      </c>
      <c r="I488" s="27">
        <v>93652</v>
      </c>
      <c r="J488" s="29" t="s">
        <v>585</v>
      </c>
    </row>
    <row r="489" s="22" customFormat="1" spans="1:10">
      <c r="A489" s="30" t="s">
        <v>579</v>
      </c>
      <c r="B489" s="31" t="s">
        <v>1031</v>
      </c>
      <c r="C489" s="31" t="s">
        <v>12</v>
      </c>
      <c r="D489" s="31" t="s">
        <v>87</v>
      </c>
      <c r="E489" s="31" t="s">
        <v>349</v>
      </c>
      <c r="F489" s="31" t="s">
        <v>15</v>
      </c>
      <c r="G489" s="31" t="s">
        <v>34</v>
      </c>
      <c r="H489" s="32">
        <v>44044</v>
      </c>
      <c r="I489" s="31">
        <v>170512</v>
      </c>
      <c r="J489" s="33" t="s">
        <v>549</v>
      </c>
    </row>
    <row r="490" s="22" customFormat="1" spans="1:10">
      <c r="A490" s="26" t="s">
        <v>1032</v>
      </c>
      <c r="B490" s="27" t="s">
        <v>1033</v>
      </c>
      <c r="C490" s="27" t="s">
        <v>19</v>
      </c>
      <c r="D490" s="27" t="s">
        <v>20</v>
      </c>
      <c r="E490" s="27" t="s">
        <v>21</v>
      </c>
      <c r="F490" s="27" t="s">
        <v>15</v>
      </c>
      <c r="G490" s="27" t="s">
        <v>34</v>
      </c>
      <c r="H490" s="28">
        <v>45542</v>
      </c>
      <c r="I490" s="27">
        <v>66957</v>
      </c>
      <c r="J490" s="29" t="s">
        <v>971</v>
      </c>
    </row>
    <row r="491" s="22" customFormat="1" spans="1:10">
      <c r="A491" s="30" t="s">
        <v>1034</v>
      </c>
      <c r="B491" s="31" t="s">
        <v>1035</v>
      </c>
      <c r="C491" s="31" t="s">
        <v>12</v>
      </c>
      <c r="D491" s="31" t="s">
        <v>52</v>
      </c>
      <c r="E491" s="31" t="s">
        <v>120</v>
      </c>
      <c r="F491" s="31" t="s">
        <v>15</v>
      </c>
      <c r="G491" s="31" t="s">
        <v>62</v>
      </c>
      <c r="H491" s="32">
        <v>43755</v>
      </c>
      <c r="I491" s="31">
        <v>71348</v>
      </c>
      <c r="J491" s="33" t="s">
        <v>1036</v>
      </c>
    </row>
    <row r="492" s="22" customFormat="1" spans="1:10">
      <c r="A492" s="26" t="s">
        <v>1037</v>
      </c>
      <c r="B492" s="27" t="s">
        <v>1038</v>
      </c>
      <c r="C492" s="27" t="s">
        <v>19</v>
      </c>
      <c r="D492" s="27" t="s">
        <v>13</v>
      </c>
      <c r="E492" s="27" t="s">
        <v>14</v>
      </c>
      <c r="F492" s="27" t="s">
        <v>48</v>
      </c>
      <c r="G492" s="27" t="s">
        <v>34</v>
      </c>
      <c r="H492" s="28">
        <v>45150</v>
      </c>
      <c r="I492" s="27">
        <v>123353</v>
      </c>
      <c r="J492" s="29" t="s">
        <v>1039</v>
      </c>
    </row>
    <row r="493" s="22" customFormat="1" spans="1:10">
      <c r="A493" s="30" t="s">
        <v>1040</v>
      </c>
      <c r="B493" s="31" t="s">
        <v>1041</v>
      </c>
      <c r="C493" s="31" t="s">
        <v>19</v>
      </c>
      <c r="D493" s="31" t="s">
        <v>32</v>
      </c>
      <c r="E493" s="31" t="s">
        <v>130</v>
      </c>
      <c r="F493" s="31" t="s">
        <v>15</v>
      </c>
      <c r="G493" s="31" t="s">
        <v>62</v>
      </c>
      <c r="H493" s="32">
        <v>44818</v>
      </c>
      <c r="I493" s="31">
        <v>82823</v>
      </c>
      <c r="J493" s="33" t="s">
        <v>183</v>
      </c>
    </row>
    <row r="494" s="22" customFormat="1" spans="1:10">
      <c r="A494" s="26" t="s">
        <v>1042</v>
      </c>
      <c r="B494" s="27" t="s">
        <v>1043</v>
      </c>
      <c r="C494" s="27" t="s">
        <v>19</v>
      </c>
      <c r="D494" s="27" t="s">
        <v>87</v>
      </c>
      <c r="E494" s="27" t="s">
        <v>88</v>
      </c>
      <c r="F494" s="27" t="s">
        <v>15</v>
      </c>
      <c r="G494" s="27" t="s">
        <v>62</v>
      </c>
      <c r="H494" s="28">
        <v>42584</v>
      </c>
      <c r="I494" s="27">
        <v>244869</v>
      </c>
      <c r="J494" s="29" t="s">
        <v>468</v>
      </c>
    </row>
    <row r="495" s="22" customFormat="1" spans="1:10">
      <c r="A495" s="30" t="s">
        <v>1044</v>
      </c>
      <c r="B495" s="31" t="s">
        <v>399</v>
      </c>
      <c r="C495" s="31" t="s">
        <v>19</v>
      </c>
      <c r="D495" s="31" t="s">
        <v>38</v>
      </c>
      <c r="E495" s="31" t="s">
        <v>77</v>
      </c>
      <c r="F495" s="31" t="s">
        <v>15</v>
      </c>
      <c r="G495" s="31" t="s">
        <v>40</v>
      </c>
      <c r="H495" s="32">
        <v>45602</v>
      </c>
      <c r="I495" s="31">
        <v>143367</v>
      </c>
      <c r="J495" s="33" t="s">
        <v>373</v>
      </c>
    </row>
    <row r="496" s="22" customFormat="1" spans="1:10">
      <c r="A496" s="26" t="s">
        <v>1045</v>
      </c>
      <c r="B496" s="27" t="s">
        <v>1046</v>
      </c>
      <c r="C496" s="27" t="s">
        <v>19</v>
      </c>
      <c r="D496" s="27" t="s">
        <v>13</v>
      </c>
      <c r="E496" s="27" t="s">
        <v>223</v>
      </c>
      <c r="F496" s="27" t="s">
        <v>15</v>
      </c>
      <c r="G496" s="27" t="s">
        <v>16</v>
      </c>
      <c r="H496" s="28">
        <v>44954</v>
      </c>
      <c r="I496" s="27">
        <v>202730</v>
      </c>
      <c r="J496" s="29" t="s">
        <v>663</v>
      </c>
    </row>
    <row r="497" s="22" customFormat="1" spans="1:10">
      <c r="A497" s="30" t="s">
        <v>1047</v>
      </c>
      <c r="B497" s="31" t="s">
        <v>31</v>
      </c>
      <c r="C497" s="31" t="s">
        <v>12</v>
      </c>
      <c r="D497" s="31" t="s">
        <v>13</v>
      </c>
      <c r="E497" s="31" t="s">
        <v>223</v>
      </c>
      <c r="F497" s="31" t="s">
        <v>15</v>
      </c>
      <c r="G497" s="31" t="s">
        <v>16</v>
      </c>
      <c r="H497" s="32">
        <v>45021</v>
      </c>
      <c r="I497" s="31">
        <v>164041</v>
      </c>
      <c r="J497" s="33" t="s">
        <v>237</v>
      </c>
    </row>
    <row r="498" s="22" customFormat="1" spans="1:10">
      <c r="A498" s="26" t="s">
        <v>1048</v>
      </c>
      <c r="B498" s="27" t="s">
        <v>1049</v>
      </c>
      <c r="C498" s="27" t="s">
        <v>19</v>
      </c>
      <c r="D498" s="27" t="s">
        <v>92</v>
      </c>
      <c r="E498" s="27" t="s">
        <v>93</v>
      </c>
      <c r="F498" s="27" t="s">
        <v>15</v>
      </c>
      <c r="G498" s="27" t="s">
        <v>40</v>
      </c>
      <c r="H498" s="28">
        <v>43740</v>
      </c>
      <c r="I498" s="27">
        <v>92112</v>
      </c>
      <c r="J498" s="29" t="s">
        <v>262</v>
      </c>
    </row>
    <row r="499" s="22" customFormat="1" spans="1:10">
      <c r="A499" s="30" t="s">
        <v>1050</v>
      </c>
      <c r="B499" s="31" t="s">
        <v>1051</v>
      </c>
      <c r="C499" s="31" t="s">
        <v>19</v>
      </c>
      <c r="D499" s="31" t="s">
        <v>38</v>
      </c>
      <c r="E499" s="31" t="s">
        <v>140</v>
      </c>
      <c r="F499" s="31" t="s">
        <v>15</v>
      </c>
      <c r="G499" s="31" t="s">
        <v>34</v>
      </c>
      <c r="H499" s="32">
        <v>42639</v>
      </c>
      <c r="I499" s="31">
        <v>122792</v>
      </c>
      <c r="J499" s="33" t="s">
        <v>549</v>
      </c>
    </row>
    <row r="500" s="22" customFormat="1" spans="1:10">
      <c r="A500" s="26" t="s">
        <v>1052</v>
      </c>
      <c r="B500" s="27" t="s">
        <v>700</v>
      </c>
      <c r="C500" s="27" t="s">
        <v>19</v>
      </c>
      <c r="D500" s="27" t="s">
        <v>20</v>
      </c>
      <c r="E500" s="27" t="s">
        <v>21</v>
      </c>
      <c r="F500" s="27" t="s">
        <v>15</v>
      </c>
      <c r="G500" s="27" t="s">
        <v>94</v>
      </c>
      <c r="H500" s="28">
        <v>43720</v>
      </c>
      <c r="I500" s="27">
        <v>63704</v>
      </c>
      <c r="J500" s="29" t="s">
        <v>225</v>
      </c>
    </row>
    <row r="501" s="22" customFormat="1" spans="1:10">
      <c r="A501" s="30" t="s">
        <v>347</v>
      </c>
      <c r="B501" s="31" t="s">
        <v>1053</v>
      </c>
      <c r="C501" s="31" t="s">
        <v>19</v>
      </c>
      <c r="D501" s="31" t="s">
        <v>20</v>
      </c>
      <c r="E501" s="31" t="s">
        <v>70</v>
      </c>
      <c r="F501" s="31" t="s">
        <v>15</v>
      </c>
      <c r="G501" s="31" t="s">
        <v>28</v>
      </c>
      <c r="H501" s="32">
        <v>42757</v>
      </c>
      <c r="I501" s="31">
        <v>134281</v>
      </c>
      <c r="J501" s="33" t="s">
        <v>889</v>
      </c>
    </row>
    <row r="502" s="22" customFormat="1" spans="1:10">
      <c r="A502" s="26" t="s">
        <v>1054</v>
      </c>
      <c r="B502" s="27" t="s">
        <v>1005</v>
      </c>
      <c r="C502" s="27" t="s">
        <v>12</v>
      </c>
      <c r="D502" s="27" t="s">
        <v>26</v>
      </c>
      <c r="E502" s="27" t="s">
        <v>61</v>
      </c>
      <c r="F502" s="27" t="s">
        <v>22</v>
      </c>
      <c r="G502" s="27" t="s">
        <v>94</v>
      </c>
      <c r="H502" s="28">
        <v>44655</v>
      </c>
      <c r="I502" s="27">
        <v>78758</v>
      </c>
      <c r="J502" s="29" t="s">
        <v>109</v>
      </c>
    </row>
    <row r="503" s="22" customFormat="1" spans="1:10">
      <c r="A503" s="30" t="s">
        <v>1055</v>
      </c>
      <c r="B503" s="31" t="s">
        <v>315</v>
      </c>
      <c r="C503" s="31" t="s">
        <v>19</v>
      </c>
      <c r="D503" s="31" t="s">
        <v>92</v>
      </c>
      <c r="E503" s="31" t="s">
        <v>391</v>
      </c>
      <c r="F503" s="31" t="s">
        <v>15</v>
      </c>
      <c r="G503" s="31" t="s">
        <v>94</v>
      </c>
      <c r="H503" s="32">
        <v>45148</v>
      </c>
      <c r="I503" s="31">
        <v>116802</v>
      </c>
      <c r="J503" s="33" t="s">
        <v>929</v>
      </c>
    </row>
    <row r="504" s="22" customFormat="1" spans="1:10">
      <c r="A504" s="26" t="s">
        <v>1056</v>
      </c>
      <c r="B504" s="27" t="s">
        <v>1057</v>
      </c>
      <c r="C504" s="27" t="s">
        <v>19</v>
      </c>
      <c r="D504" s="27" t="s">
        <v>87</v>
      </c>
      <c r="E504" s="27" t="s">
        <v>88</v>
      </c>
      <c r="F504" s="27" t="s">
        <v>48</v>
      </c>
      <c r="G504" s="27" t="s">
        <v>28</v>
      </c>
      <c r="H504" s="28">
        <v>43953</v>
      </c>
      <c r="I504" s="27">
        <v>119337</v>
      </c>
      <c r="J504" s="29" t="s">
        <v>272</v>
      </c>
    </row>
    <row r="505" s="22" customFormat="1" spans="1:10">
      <c r="A505" s="30" t="s">
        <v>1058</v>
      </c>
      <c r="B505" s="31" t="s">
        <v>867</v>
      </c>
      <c r="C505" s="31" t="s">
        <v>12</v>
      </c>
      <c r="D505" s="31" t="s">
        <v>52</v>
      </c>
      <c r="E505" s="31" t="s">
        <v>246</v>
      </c>
      <c r="F505" s="31" t="s">
        <v>48</v>
      </c>
      <c r="G505" s="31" t="s">
        <v>16</v>
      </c>
      <c r="H505" s="32">
        <v>43533</v>
      </c>
      <c r="I505" s="31">
        <v>104488</v>
      </c>
      <c r="J505" s="33" t="s">
        <v>274</v>
      </c>
    </row>
    <row r="506" s="22" customFormat="1" spans="1:10">
      <c r="A506" s="26" t="s">
        <v>1059</v>
      </c>
      <c r="B506" s="27" t="s">
        <v>1060</v>
      </c>
      <c r="C506" s="27" t="s">
        <v>19</v>
      </c>
      <c r="D506" s="27" t="s">
        <v>26</v>
      </c>
      <c r="E506" s="27" t="s">
        <v>61</v>
      </c>
      <c r="F506" s="27" t="s">
        <v>15</v>
      </c>
      <c r="G506" s="27" t="s">
        <v>34</v>
      </c>
      <c r="H506" s="28">
        <v>43402</v>
      </c>
      <c r="I506" s="27">
        <v>131168</v>
      </c>
      <c r="J506" s="29" t="s">
        <v>490</v>
      </c>
    </row>
    <row r="507" s="22" customFormat="1" spans="1:10">
      <c r="A507" s="30" t="s">
        <v>1061</v>
      </c>
      <c r="B507" s="31" t="s">
        <v>950</v>
      </c>
      <c r="C507" s="31" t="s">
        <v>12</v>
      </c>
      <c r="D507" s="31" t="s">
        <v>38</v>
      </c>
      <c r="E507" s="31" t="s">
        <v>66</v>
      </c>
      <c r="F507" s="31" t="s">
        <v>15</v>
      </c>
      <c r="G507" s="31" t="s">
        <v>94</v>
      </c>
      <c r="H507" s="32">
        <v>45334</v>
      </c>
      <c r="I507" s="31">
        <v>154602</v>
      </c>
      <c r="J507" s="33" t="s">
        <v>196</v>
      </c>
    </row>
    <row r="508" s="22" customFormat="1" spans="1:10">
      <c r="A508" s="26" t="s">
        <v>1062</v>
      </c>
      <c r="B508" s="27" t="s">
        <v>790</v>
      </c>
      <c r="C508" s="27" t="s">
        <v>19</v>
      </c>
      <c r="D508" s="27" t="s">
        <v>20</v>
      </c>
      <c r="E508" s="27" t="s">
        <v>21</v>
      </c>
      <c r="F508" s="27" t="s">
        <v>15</v>
      </c>
      <c r="G508" s="27" t="s">
        <v>28</v>
      </c>
      <c r="H508" s="28">
        <v>45858</v>
      </c>
      <c r="I508" s="27">
        <v>126712</v>
      </c>
      <c r="J508" s="29" t="s">
        <v>583</v>
      </c>
    </row>
    <row r="509" s="22" customFormat="1" spans="1:10">
      <c r="A509" s="30" t="s">
        <v>1063</v>
      </c>
      <c r="B509" s="31" t="s">
        <v>164</v>
      </c>
      <c r="C509" s="31" t="s">
        <v>19</v>
      </c>
      <c r="D509" s="31" t="s">
        <v>52</v>
      </c>
      <c r="E509" s="31" t="s">
        <v>120</v>
      </c>
      <c r="F509" s="31" t="s">
        <v>15</v>
      </c>
      <c r="G509" s="31" t="s">
        <v>34</v>
      </c>
      <c r="H509" s="32">
        <v>45059</v>
      </c>
      <c r="I509" s="31">
        <v>81788</v>
      </c>
      <c r="J509" s="33" t="s">
        <v>971</v>
      </c>
    </row>
    <row r="510" s="22" customFormat="1" spans="1:10">
      <c r="A510" s="26" t="s">
        <v>1064</v>
      </c>
      <c r="B510" s="27" t="s">
        <v>1065</v>
      </c>
      <c r="C510" s="27" t="s">
        <v>19</v>
      </c>
      <c r="D510" s="27" t="s">
        <v>20</v>
      </c>
      <c r="E510" s="27" t="s">
        <v>21</v>
      </c>
      <c r="F510" s="27" t="s">
        <v>15</v>
      </c>
      <c r="G510" s="27" t="s">
        <v>28</v>
      </c>
      <c r="H510" s="28">
        <v>44838</v>
      </c>
      <c r="I510" s="27">
        <v>91568</v>
      </c>
      <c r="J510" s="29" t="s">
        <v>374</v>
      </c>
    </row>
    <row r="511" s="22" customFormat="1" spans="1:10">
      <c r="A511" s="30" t="s">
        <v>1066</v>
      </c>
      <c r="B511" s="31" t="s">
        <v>616</v>
      </c>
      <c r="C511" s="31" t="s">
        <v>19</v>
      </c>
      <c r="D511" s="31" t="s">
        <v>26</v>
      </c>
      <c r="E511" s="31" t="s">
        <v>294</v>
      </c>
      <c r="F511" s="31" t="s">
        <v>15</v>
      </c>
      <c r="G511" s="31" t="s">
        <v>34</v>
      </c>
      <c r="H511" s="32">
        <v>42985</v>
      </c>
      <c r="I511" s="31">
        <v>165555</v>
      </c>
      <c r="J511" s="33" t="s">
        <v>447</v>
      </c>
    </row>
    <row r="512" s="22" customFormat="1" spans="1:10">
      <c r="A512" s="26" t="s">
        <v>582</v>
      </c>
      <c r="B512" s="27" t="s">
        <v>1067</v>
      </c>
      <c r="C512" s="27" t="s">
        <v>19</v>
      </c>
      <c r="D512" s="27" t="s">
        <v>32</v>
      </c>
      <c r="E512" s="27" t="s">
        <v>208</v>
      </c>
      <c r="F512" s="27" t="s">
        <v>48</v>
      </c>
      <c r="G512" s="27" t="s">
        <v>40</v>
      </c>
      <c r="H512" s="28">
        <v>43735</v>
      </c>
      <c r="I512" s="27">
        <v>112094</v>
      </c>
      <c r="J512" s="29"/>
    </row>
    <row r="513" s="22" customFormat="1" spans="1:10">
      <c r="A513" s="30" t="s">
        <v>1068</v>
      </c>
      <c r="B513" s="31" t="s">
        <v>1069</v>
      </c>
      <c r="C513" s="31" t="s">
        <v>19</v>
      </c>
      <c r="D513" s="31" t="s">
        <v>13</v>
      </c>
      <c r="E513" s="31" t="s">
        <v>223</v>
      </c>
      <c r="F513" s="31" t="s">
        <v>15</v>
      </c>
      <c r="G513" s="31" t="s">
        <v>28</v>
      </c>
      <c r="H513" s="32">
        <v>42703</v>
      </c>
      <c r="I513" s="31">
        <v>166948</v>
      </c>
      <c r="J513" s="33" t="s">
        <v>970</v>
      </c>
    </row>
    <row r="514" s="22" customFormat="1" spans="1:10">
      <c r="A514" s="26" t="s">
        <v>908</v>
      </c>
      <c r="B514" s="27" t="s">
        <v>703</v>
      </c>
      <c r="C514" s="27" t="s">
        <v>12</v>
      </c>
      <c r="D514" s="27" t="s">
        <v>20</v>
      </c>
      <c r="E514" s="27" t="s">
        <v>70</v>
      </c>
      <c r="F514" s="27" t="s">
        <v>15</v>
      </c>
      <c r="G514" s="27" t="s">
        <v>16</v>
      </c>
      <c r="H514" s="28">
        <v>44756</v>
      </c>
      <c r="I514" s="27">
        <v>65373</v>
      </c>
      <c r="J514" s="29" t="s">
        <v>186</v>
      </c>
    </row>
    <row r="515" s="22" customFormat="1" spans="1:10">
      <c r="A515" s="30" t="s">
        <v>1070</v>
      </c>
      <c r="B515" s="31" t="s">
        <v>279</v>
      </c>
      <c r="C515" s="31" t="s">
        <v>19</v>
      </c>
      <c r="D515" s="31" t="s">
        <v>52</v>
      </c>
      <c r="E515" s="31" t="s">
        <v>246</v>
      </c>
      <c r="F515" s="31" t="s">
        <v>15</v>
      </c>
      <c r="G515" s="31" t="s">
        <v>94</v>
      </c>
      <c r="H515" s="32">
        <v>45088</v>
      </c>
      <c r="I515" s="31">
        <v>58569</v>
      </c>
      <c r="J515" s="33" t="s">
        <v>186</v>
      </c>
    </row>
    <row r="516" s="22" customFormat="1" spans="1:10">
      <c r="A516" s="26" t="s">
        <v>1071</v>
      </c>
      <c r="B516" s="27" t="s">
        <v>1072</v>
      </c>
      <c r="C516" s="27" t="s">
        <v>12</v>
      </c>
      <c r="D516" s="27" t="s">
        <v>38</v>
      </c>
      <c r="E516" s="27" t="s">
        <v>77</v>
      </c>
      <c r="F516" s="27" t="s">
        <v>15</v>
      </c>
      <c r="G516" s="27" t="s">
        <v>28</v>
      </c>
      <c r="H516" s="28">
        <v>42949</v>
      </c>
      <c r="I516" s="27">
        <v>157572</v>
      </c>
      <c r="J516" s="29" t="s">
        <v>615</v>
      </c>
    </row>
    <row r="517" s="22" customFormat="1" spans="1:10">
      <c r="A517" s="30" t="s">
        <v>1073</v>
      </c>
      <c r="B517" s="31" t="s">
        <v>1074</v>
      </c>
      <c r="C517" s="31" t="s">
        <v>12</v>
      </c>
      <c r="D517" s="31" t="s">
        <v>38</v>
      </c>
      <c r="E517" s="31" t="s">
        <v>77</v>
      </c>
      <c r="F517" s="31" t="s">
        <v>15</v>
      </c>
      <c r="G517" s="31" t="s">
        <v>16</v>
      </c>
      <c r="H517" s="32">
        <v>43802</v>
      </c>
      <c r="I517" s="31">
        <v>136343</v>
      </c>
      <c r="J517" s="33" t="s">
        <v>81</v>
      </c>
    </row>
    <row r="518" s="22" customFormat="1" spans="1:10">
      <c r="A518" s="26" t="s">
        <v>1075</v>
      </c>
      <c r="B518" s="27" t="s">
        <v>73</v>
      </c>
      <c r="C518" s="27" t="s">
        <v>19</v>
      </c>
      <c r="D518" s="27" t="s">
        <v>13</v>
      </c>
      <c r="E518" s="27" t="s">
        <v>223</v>
      </c>
      <c r="F518" s="27" t="s">
        <v>48</v>
      </c>
      <c r="G518" s="27" t="s">
        <v>16</v>
      </c>
      <c r="H518" s="28">
        <v>43640</v>
      </c>
      <c r="I518" s="27">
        <v>151280</v>
      </c>
      <c r="J518" s="29" t="s">
        <v>201</v>
      </c>
    </row>
    <row r="519" s="22" customFormat="1" spans="1:10">
      <c r="A519" s="30" t="s">
        <v>954</v>
      </c>
      <c r="B519" s="31" t="s">
        <v>1076</v>
      </c>
      <c r="C519" s="31" t="s">
        <v>19</v>
      </c>
      <c r="D519" s="31" t="s">
        <v>52</v>
      </c>
      <c r="E519" s="31" t="s">
        <v>53</v>
      </c>
      <c r="F519" s="31" t="s">
        <v>15</v>
      </c>
      <c r="G519" s="31" t="s">
        <v>94</v>
      </c>
      <c r="H519" s="32">
        <v>45057</v>
      </c>
      <c r="I519" s="31">
        <v>135072</v>
      </c>
      <c r="J519" s="33" t="s">
        <v>1077</v>
      </c>
    </row>
    <row r="520" s="22" customFormat="1" spans="1:10">
      <c r="A520" s="26" t="s">
        <v>1078</v>
      </c>
      <c r="B520" s="27" t="s">
        <v>901</v>
      </c>
      <c r="C520" s="27" t="s">
        <v>19</v>
      </c>
      <c r="D520" s="27" t="s">
        <v>20</v>
      </c>
      <c r="E520" s="27" t="s">
        <v>147</v>
      </c>
      <c r="F520" s="27" t="s">
        <v>15</v>
      </c>
      <c r="G520" s="27" t="s">
        <v>40</v>
      </c>
      <c r="H520" s="28">
        <v>45230</v>
      </c>
      <c r="I520" s="27">
        <v>94916</v>
      </c>
      <c r="J520" s="29" t="s">
        <v>105</v>
      </c>
    </row>
    <row r="521" s="22" customFormat="1" spans="1:10">
      <c r="A521" s="30" t="s">
        <v>562</v>
      </c>
      <c r="B521" s="31" t="s">
        <v>684</v>
      </c>
      <c r="C521" s="31" t="s">
        <v>19</v>
      </c>
      <c r="D521" s="31" t="s">
        <v>38</v>
      </c>
      <c r="E521" s="31" t="s">
        <v>84</v>
      </c>
      <c r="F521" s="31" t="s">
        <v>15</v>
      </c>
      <c r="G521" s="31" t="s">
        <v>16</v>
      </c>
      <c r="H521" s="32">
        <v>45082</v>
      </c>
      <c r="I521" s="31">
        <v>161279</v>
      </c>
      <c r="J521" s="33" t="s">
        <v>918</v>
      </c>
    </row>
    <row r="522" s="22" customFormat="1" spans="1:10">
      <c r="A522" s="26" t="s">
        <v>1079</v>
      </c>
      <c r="B522" s="27" t="s">
        <v>1080</v>
      </c>
      <c r="C522" s="27" t="s">
        <v>293</v>
      </c>
      <c r="D522" s="27" t="s">
        <v>32</v>
      </c>
      <c r="E522" s="27" t="s">
        <v>57</v>
      </c>
      <c r="F522" s="27" t="s">
        <v>15</v>
      </c>
      <c r="G522" s="27" t="s">
        <v>62</v>
      </c>
      <c r="H522" s="28">
        <v>43975</v>
      </c>
      <c r="I522" s="27">
        <v>117086</v>
      </c>
      <c r="J522" s="29" t="s">
        <v>929</v>
      </c>
    </row>
    <row r="523" s="22" customFormat="1" spans="1:10">
      <c r="A523" s="30" t="s">
        <v>1081</v>
      </c>
      <c r="B523" s="31" t="s">
        <v>1082</v>
      </c>
      <c r="C523" s="31" t="s">
        <v>19</v>
      </c>
      <c r="D523" s="31" t="s">
        <v>13</v>
      </c>
      <c r="E523" s="31" t="s">
        <v>98</v>
      </c>
      <c r="F523" s="31" t="s">
        <v>48</v>
      </c>
      <c r="G523" s="31" t="s">
        <v>28</v>
      </c>
      <c r="H523" s="32">
        <v>42898</v>
      </c>
      <c r="I523" s="31">
        <v>114723</v>
      </c>
      <c r="J523" s="33" t="s">
        <v>1083</v>
      </c>
    </row>
    <row r="524" s="22" customFormat="1" spans="1:10">
      <c r="A524" s="26" t="s">
        <v>1084</v>
      </c>
      <c r="B524" s="27" t="s">
        <v>1085</v>
      </c>
      <c r="C524" s="27" t="s">
        <v>12</v>
      </c>
      <c r="D524" s="27" t="s">
        <v>20</v>
      </c>
      <c r="E524" s="27" t="s">
        <v>147</v>
      </c>
      <c r="F524" s="27" t="s">
        <v>22</v>
      </c>
      <c r="G524" s="27" t="s">
        <v>28</v>
      </c>
      <c r="H524" s="28">
        <v>44807</v>
      </c>
      <c r="I524" s="27">
        <v>93005</v>
      </c>
      <c r="J524" s="29" t="s">
        <v>803</v>
      </c>
    </row>
    <row r="525" s="22" customFormat="1" spans="1:10">
      <c r="A525" s="30" t="s">
        <v>1086</v>
      </c>
      <c r="B525" s="31" t="s">
        <v>792</v>
      </c>
      <c r="C525" s="31" t="s">
        <v>12</v>
      </c>
      <c r="D525" s="31" t="s">
        <v>52</v>
      </c>
      <c r="E525" s="31" t="s">
        <v>246</v>
      </c>
      <c r="F525" s="31" t="s">
        <v>15</v>
      </c>
      <c r="G525" s="31" t="s">
        <v>16</v>
      </c>
      <c r="H525" s="32">
        <v>45273</v>
      </c>
      <c r="I525" s="31">
        <v>55063</v>
      </c>
      <c r="J525" s="33" t="s">
        <v>547</v>
      </c>
    </row>
    <row r="526" s="22" customFormat="1" spans="1:10">
      <c r="A526" s="26" t="s">
        <v>1087</v>
      </c>
      <c r="B526" s="27" t="s">
        <v>1026</v>
      </c>
      <c r="C526" s="27" t="s">
        <v>12</v>
      </c>
      <c r="D526" s="27" t="s">
        <v>52</v>
      </c>
      <c r="E526" s="27" t="s">
        <v>120</v>
      </c>
      <c r="F526" s="27" t="s">
        <v>15</v>
      </c>
      <c r="G526" s="27" t="s">
        <v>40</v>
      </c>
      <c r="H526" s="28">
        <v>42717</v>
      </c>
      <c r="I526" s="27">
        <v>60800</v>
      </c>
      <c r="J526" s="29" t="s">
        <v>971</v>
      </c>
    </row>
    <row r="527" s="22" customFormat="1" spans="1:10">
      <c r="A527" s="30" t="s">
        <v>1088</v>
      </c>
      <c r="B527" s="31" t="s">
        <v>857</v>
      </c>
      <c r="C527" s="31" t="s">
        <v>12</v>
      </c>
      <c r="D527" s="31" t="s">
        <v>13</v>
      </c>
      <c r="E527" s="31" t="s">
        <v>14</v>
      </c>
      <c r="F527" s="31" t="s">
        <v>15</v>
      </c>
      <c r="G527" s="31" t="s">
        <v>34</v>
      </c>
      <c r="H527" s="32">
        <v>43638</v>
      </c>
      <c r="I527" s="31">
        <v>127247</v>
      </c>
      <c r="J527" s="33" t="s">
        <v>456</v>
      </c>
    </row>
    <row r="528" s="22" customFormat="1" spans="1:10">
      <c r="A528" s="26" t="s">
        <v>1089</v>
      </c>
      <c r="B528" s="27" t="s">
        <v>1090</v>
      </c>
      <c r="C528" s="27" t="s">
        <v>12</v>
      </c>
      <c r="D528" s="27" t="s">
        <v>13</v>
      </c>
      <c r="E528" s="27" t="s">
        <v>14</v>
      </c>
      <c r="F528" s="27" t="s">
        <v>15</v>
      </c>
      <c r="G528" s="27" t="s">
        <v>28</v>
      </c>
      <c r="H528" s="28">
        <v>44659</v>
      </c>
      <c r="I528" s="27">
        <v>135545</v>
      </c>
      <c r="J528" s="29" t="s">
        <v>668</v>
      </c>
    </row>
    <row r="529" s="22" customFormat="1" spans="1:10">
      <c r="A529" s="30" t="s">
        <v>676</v>
      </c>
      <c r="B529" s="31" t="s">
        <v>935</v>
      </c>
      <c r="C529" s="31" t="s">
        <v>19</v>
      </c>
      <c r="D529" s="31" t="s">
        <v>87</v>
      </c>
      <c r="E529" s="31" t="s">
        <v>156</v>
      </c>
      <c r="F529" s="31" t="s">
        <v>15</v>
      </c>
      <c r="G529" s="31" t="s">
        <v>34</v>
      </c>
      <c r="H529" s="32">
        <v>43912</v>
      </c>
      <c r="I529" s="31">
        <v>322943</v>
      </c>
      <c r="J529" s="33"/>
    </row>
    <row r="530" s="22" customFormat="1" spans="1:10">
      <c r="A530" s="26" t="s">
        <v>1091</v>
      </c>
      <c r="B530" s="27" t="s">
        <v>1092</v>
      </c>
      <c r="C530" s="27" t="s">
        <v>19</v>
      </c>
      <c r="D530" s="27" t="s">
        <v>38</v>
      </c>
      <c r="E530" s="27" t="s">
        <v>39</v>
      </c>
      <c r="F530" s="27" t="s">
        <v>15</v>
      </c>
      <c r="G530" s="27" t="s">
        <v>28</v>
      </c>
      <c r="H530" s="28">
        <v>45005</v>
      </c>
      <c r="I530" s="27">
        <v>168822</v>
      </c>
      <c r="J530" s="29" t="s">
        <v>725</v>
      </c>
    </row>
    <row r="531" s="22" customFormat="1" spans="1:10">
      <c r="A531" s="30" t="s">
        <v>1093</v>
      </c>
      <c r="B531" s="31" t="s">
        <v>1094</v>
      </c>
      <c r="C531" s="31" t="s">
        <v>19</v>
      </c>
      <c r="D531" s="31" t="s">
        <v>52</v>
      </c>
      <c r="E531" s="31" t="s">
        <v>120</v>
      </c>
      <c r="F531" s="31" t="s">
        <v>15</v>
      </c>
      <c r="G531" s="31" t="s">
        <v>94</v>
      </c>
      <c r="H531" s="32">
        <v>45612</v>
      </c>
      <c r="I531" s="31">
        <v>162991</v>
      </c>
      <c r="J531" s="33" t="s">
        <v>803</v>
      </c>
    </row>
    <row r="532" s="22" customFormat="1" spans="1:10">
      <c r="A532" s="26" t="s">
        <v>1095</v>
      </c>
      <c r="B532" s="27" t="s">
        <v>743</v>
      </c>
      <c r="C532" s="27" t="s">
        <v>19</v>
      </c>
      <c r="D532" s="27" t="s">
        <v>52</v>
      </c>
      <c r="E532" s="27" t="s">
        <v>246</v>
      </c>
      <c r="F532" s="27" t="s">
        <v>48</v>
      </c>
      <c r="G532" s="27" t="s">
        <v>28</v>
      </c>
      <c r="H532" s="28">
        <v>43715</v>
      </c>
      <c r="I532" s="27">
        <v>55182</v>
      </c>
      <c r="J532" s="29" t="s">
        <v>425</v>
      </c>
    </row>
    <row r="533" s="22" customFormat="1" spans="1:10">
      <c r="A533" s="30" t="s">
        <v>1096</v>
      </c>
      <c r="B533" s="31" t="s">
        <v>1097</v>
      </c>
      <c r="C533" s="31" t="s">
        <v>12</v>
      </c>
      <c r="D533" s="31" t="s">
        <v>20</v>
      </c>
      <c r="E533" s="31" t="s">
        <v>21</v>
      </c>
      <c r="F533" s="31" t="s">
        <v>15</v>
      </c>
      <c r="G533" s="31" t="s">
        <v>62</v>
      </c>
      <c r="H533" s="32">
        <v>45700</v>
      </c>
      <c r="I533" s="31">
        <v>101249</v>
      </c>
      <c r="J533" s="33"/>
    </row>
    <row r="534" s="22" customFormat="1" spans="1:10">
      <c r="A534" s="26" t="s">
        <v>570</v>
      </c>
      <c r="B534" s="27" t="s">
        <v>1098</v>
      </c>
      <c r="C534" s="27" t="s">
        <v>12</v>
      </c>
      <c r="D534" s="27" t="s">
        <v>20</v>
      </c>
      <c r="E534" s="27" t="s">
        <v>70</v>
      </c>
      <c r="F534" s="27" t="s">
        <v>15</v>
      </c>
      <c r="G534" s="27" t="s">
        <v>28</v>
      </c>
      <c r="H534" s="28">
        <v>42893</v>
      </c>
      <c r="I534" s="27">
        <v>139243</v>
      </c>
      <c r="J534" s="29" t="s">
        <v>725</v>
      </c>
    </row>
    <row r="535" s="22" customFormat="1" spans="1:10">
      <c r="A535" s="30" t="s">
        <v>1099</v>
      </c>
      <c r="B535" s="31" t="s">
        <v>76</v>
      </c>
      <c r="C535" s="31" t="s">
        <v>19</v>
      </c>
      <c r="D535" s="31" t="s">
        <v>92</v>
      </c>
      <c r="E535" s="31" t="s">
        <v>391</v>
      </c>
      <c r="F535" s="31" t="s">
        <v>15</v>
      </c>
      <c r="G535" s="31" t="s">
        <v>28</v>
      </c>
      <c r="H535" s="32">
        <v>45114</v>
      </c>
      <c r="I535" s="31">
        <v>158489</v>
      </c>
      <c r="J535" s="33" t="s">
        <v>68</v>
      </c>
    </row>
    <row r="536" s="22" customFormat="1" spans="1:10">
      <c r="A536" s="26" t="s">
        <v>1100</v>
      </c>
      <c r="B536" s="27" t="s">
        <v>97</v>
      </c>
      <c r="C536" s="27" t="s">
        <v>12</v>
      </c>
      <c r="D536" s="27" t="s">
        <v>26</v>
      </c>
      <c r="E536" s="27" t="s">
        <v>61</v>
      </c>
      <c r="F536" s="27" t="s">
        <v>15</v>
      </c>
      <c r="G536" s="27" t="s">
        <v>40</v>
      </c>
      <c r="H536" s="28">
        <v>45248</v>
      </c>
      <c r="I536" s="27">
        <v>80148</v>
      </c>
      <c r="J536" s="29" t="s">
        <v>331</v>
      </c>
    </row>
    <row r="537" s="22" customFormat="1" spans="1:10">
      <c r="A537" s="30" t="s">
        <v>1101</v>
      </c>
      <c r="B537" s="31" t="s">
        <v>584</v>
      </c>
      <c r="C537" s="31" t="s">
        <v>12</v>
      </c>
      <c r="D537" s="31" t="s">
        <v>20</v>
      </c>
      <c r="E537" s="31" t="s">
        <v>147</v>
      </c>
      <c r="F537" s="31" t="s">
        <v>48</v>
      </c>
      <c r="G537" s="31" t="s">
        <v>34</v>
      </c>
      <c r="H537" s="32">
        <v>45765</v>
      </c>
      <c r="I537" s="31">
        <v>119007</v>
      </c>
      <c r="J537" s="33" t="s">
        <v>558</v>
      </c>
    </row>
    <row r="538" s="22" customFormat="1" spans="1:10">
      <c r="A538" s="26" t="s">
        <v>1102</v>
      </c>
      <c r="B538" s="27" t="s">
        <v>1103</v>
      </c>
      <c r="C538" s="27" t="s">
        <v>19</v>
      </c>
      <c r="D538" s="27" t="s">
        <v>52</v>
      </c>
      <c r="E538" s="27" t="s">
        <v>246</v>
      </c>
      <c r="F538" s="27" t="s">
        <v>48</v>
      </c>
      <c r="G538" s="27" t="s">
        <v>34</v>
      </c>
      <c r="H538" s="28">
        <v>45396</v>
      </c>
      <c r="I538" s="27">
        <v>131744</v>
      </c>
      <c r="J538" s="29" t="s">
        <v>476</v>
      </c>
    </row>
    <row r="539" s="22" customFormat="1" spans="1:10">
      <c r="A539" s="30" t="s">
        <v>589</v>
      </c>
      <c r="B539" s="31" t="s">
        <v>633</v>
      </c>
      <c r="C539" s="31" t="s">
        <v>12</v>
      </c>
      <c r="D539" s="31" t="s">
        <v>87</v>
      </c>
      <c r="E539" s="31" t="s">
        <v>349</v>
      </c>
      <c r="F539" s="31" t="s">
        <v>15</v>
      </c>
      <c r="G539" s="31" t="s">
        <v>62</v>
      </c>
      <c r="H539" s="32">
        <v>45177</v>
      </c>
      <c r="I539" s="31">
        <v>321281</v>
      </c>
      <c r="J539" s="33" t="s">
        <v>456</v>
      </c>
    </row>
    <row r="540" s="22" customFormat="1" spans="1:10">
      <c r="A540" s="26" t="s">
        <v>1104</v>
      </c>
      <c r="B540" s="27" t="s">
        <v>305</v>
      </c>
      <c r="C540" s="27" t="s">
        <v>12</v>
      </c>
      <c r="D540" s="27" t="s">
        <v>13</v>
      </c>
      <c r="E540" s="27" t="s">
        <v>14</v>
      </c>
      <c r="F540" s="27" t="s">
        <v>15</v>
      </c>
      <c r="G540" s="27" t="s">
        <v>62</v>
      </c>
      <c r="H540" s="28">
        <v>44526</v>
      </c>
      <c r="I540" s="27">
        <v>113727</v>
      </c>
      <c r="J540" s="29" t="s">
        <v>963</v>
      </c>
    </row>
    <row r="541" s="22" customFormat="1" spans="1:10">
      <c r="A541" s="30" t="s">
        <v>1105</v>
      </c>
      <c r="B541" s="31" t="s">
        <v>265</v>
      </c>
      <c r="C541" s="31" t="s">
        <v>19</v>
      </c>
      <c r="D541" s="31" t="s">
        <v>38</v>
      </c>
      <c r="E541" s="31" t="s">
        <v>140</v>
      </c>
      <c r="F541" s="31" t="s">
        <v>15</v>
      </c>
      <c r="G541" s="31" t="s">
        <v>34</v>
      </c>
      <c r="H541" s="32">
        <v>42752</v>
      </c>
      <c r="I541" s="31">
        <v>280400</v>
      </c>
      <c r="J541" s="33" t="s">
        <v>436</v>
      </c>
    </row>
    <row r="542" s="22" customFormat="1" spans="1:10">
      <c r="A542" s="26" t="s">
        <v>1106</v>
      </c>
      <c r="B542" s="27" t="s">
        <v>1107</v>
      </c>
      <c r="C542" s="27" t="s">
        <v>12</v>
      </c>
      <c r="D542" s="27" t="s">
        <v>20</v>
      </c>
      <c r="E542" s="27" t="s">
        <v>21</v>
      </c>
      <c r="F542" s="27" t="s">
        <v>48</v>
      </c>
      <c r="G542" s="27" t="s">
        <v>28</v>
      </c>
      <c r="H542" s="28">
        <v>45016</v>
      </c>
      <c r="I542" s="27">
        <v>102186</v>
      </c>
      <c r="J542" s="29" t="s">
        <v>440</v>
      </c>
    </row>
    <row r="543" s="22" customFormat="1" spans="1:10">
      <c r="A543" s="30" t="s">
        <v>1108</v>
      </c>
      <c r="B543" s="31" t="s">
        <v>1109</v>
      </c>
      <c r="C543" s="31" t="s">
        <v>12</v>
      </c>
      <c r="D543" s="31" t="s">
        <v>32</v>
      </c>
      <c r="E543" s="31" t="s">
        <v>57</v>
      </c>
      <c r="F543" s="31" t="s">
        <v>15</v>
      </c>
      <c r="G543" s="31" t="s">
        <v>16</v>
      </c>
      <c r="H543" s="32">
        <v>45116</v>
      </c>
      <c r="I543" s="31">
        <v>88171</v>
      </c>
      <c r="J543" s="33" t="s">
        <v>836</v>
      </c>
    </row>
    <row r="544" s="22" customFormat="1" spans="1:10">
      <c r="A544" s="26" t="s">
        <v>601</v>
      </c>
      <c r="B544" s="27" t="s">
        <v>1110</v>
      </c>
      <c r="C544" s="27" t="s">
        <v>19</v>
      </c>
      <c r="D544" s="27" t="s">
        <v>87</v>
      </c>
      <c r="E544" s="27" t="s">
        <v>156</v>
      </c>
      <c r="F544" s="27" t="s">
        <v>15</v>
      </c>
      <c r="G544" s="27" t="s">
        <v>94</v>
      </c>
      <c r="H544" s="28">
        <v>44104</v>
      </c>
      <c r="I544" s="27">
        <v>271579</v>
      </c>
      <c r="J544" s="29" t="s">
        <v>262</v>
      </c>
    </row>
    <row r="545" s="22" customFormat="1" spans="1:10">
      <c r="A545" s="30" t="s">
        <v>1111</v>
      </c>
      <c r="B545" s="31" t="s">
        <v>207</v>
      </c>
      <c r="C545" s="31" t="s">
        <v>19</v>
      </c>
      <c r="D545" s="31" t="s">
        <v>26</v>
      </c>
      <c r="E545" s="31" t="s">
        <v>162</v>
      </c>
      <c r="F545" s="31" t="s">
        <v>15</v>
      </c>
      <c r="G545" s="31" t="s">
        <v>94</v>
      </c>
      <c r="H545" s="32">
        <v>44452</v>
      </c>
      <c r="I545" s="31">
        <v>167921</v>
      </c>
      <c r="J545" s="33" t="s">
        <v>580</v>
      </c>
    </row>
    <row r="546" s="22" customFormat="1" spans="1:10">
      <c r="A546" s="26" t="s">
        <v>929</v>
      </c>
      <c r="B546" s="27" t="s">
        <v>1112</v>
      </c>
      <c r="C546" s="27" t="s">
        <v>19</v>
      </c>
      <c r="D546" s="27" t="s">
        <v>32</v>
      </c>
      <c r="E546" s="27" t="s">
        <v>208</v>
      </c>
      <c r="F546" s="27" t="s">
        <v>15</v>
      </c>
      <c r="G546" s="27" t="s">
        <v>34</v>
      </c>
      <c r="H546" s="28">
        <v>43852</v>
      </c>
      <c r="I546" s="27">
        <v>132186</v>
      </c>
      <c r="J546" s="29" t="s">
        <v>344</v>
      </c>
    </row>
    <row r="547" s="22" customFormat="1" spans="1:10">
      <c r="A547" s="30" t="s">
        <v>1113</v>
      </c>
      <c r="B547" s="31" t="s">
        <v>778</v>
      </c>
      <c r="C547" s="31" t="s">
        <v>12</v>
      </c>
      <c r="D547" s="31" t="s">
        <v>13</v>
      </c>
      <c r="E547" s="31" t="s">
        <v>165</v>
      </c>
      <c r="F547" s="31" t="s">
        <v>15</v>
      </c>
      <c r="G547" s="31" t="s">
        <v>34</v>
      </c>
      <c r="H547" s="32">
        <v>42444</v>
      </c>
      <c r="I547" s="31">
        <v>135670</v>
      </c>
      <c r="J547" s="33" t="s">
        <v>151</v>
      </c>
    </row>
    <row r="548" s="22" customFormat="1" spans="1:10">
      <c r="A548" s="26" t="s">
        <v>1114</v>
      </c>
      <c r="B548" s="27" t="s">
        <v>1115</v>
      </c>
      <c r="C548" s="27" t="s">
        <v>12</v>
      </c>
      <c r="D548" s="27" t="s">
        <v>38</v>
      </c>
      <c r="E548" s="27" t="s">
        <v>39</v>
      </c>
      <c r="F548" s="27" t="s">
        <v>15</v>
      </c>
      <c r="G548" s="27" t="s">
        <v>40</v>
      </c>
      <c r="H548" s="28">
        <v>43855</v>
      </c>
      <c r="I548" s="27">
        <v>144190</v>
      </c>
      <c r="J548" s="29" t="s">
        <v>615</v>
      </c>
    </row>
    <row r="549" s="22" customFormat="1" spans="1:10">
      <c r="A549" s="30" t="s">
        <v>1116</v>
      </c>
      <c r="B549" s="31" t="s">
        <v>1117</v>
      </c>
      <c r="C549" s="31" t="s">
        <v>19</v>
      </c>
      <c r="D549" s="31" t="s">
        <v>26</v>
      </c>
      <c r="E549" s="31" t="s">
        <v>61</v>
      </c>
      <c r="F549" s="31" t="s">
        <v>15</v>
      </c>
      <c r="G549" s="31" t="s">
        <v>94</v>
      </c>
      <c r="H549" s="32">
        <v>43635</v>
      </c>
      <c r="I549" s="31">
        <v>198074</v>
      </c>
      <c r="J549" s="33" t="s">
        <v>237</v>
      </c>
    </row>
    <row r="550" s="22" customFormat="1" spans="1:10">
      <c r="A550" s="26" t="s">
        <v>1118</v>
      </c>
      <c r="B550" s="27" t="s">
        <v>1119</v>
      </c>
      <c r="C550" s="27" t="s">
        <v>12</v>
      </c>
      <c r="D550" s="27" t="s">
        <v>92</v>
      </c>
      <c r="E550" s="27" t="s">
        <v>189</v>
      </c>
      <c r="F550" s="27" t="s">
        <v>15</v>
      </c>
      <c r="G550" s="27" t="s">
        <v>16</v>
      </c>
      <c r="H550" s="28">
        <v>43108</v>
      </c>
      <c r="I550" s="27">
        <v>140744</v>
      </c>
      <c r="J550" s="29" t="s">
        <v>585</v>
      </c>
    </row>
    <row r="551" s="22" customFormat="1" spans="1:10">
      <c r="A551" s="30" t="s">
        <v>1120</v>
      </c>
      <c r="B551" s="31" t="s">
        <v>1121</v>
      </c>
      <c r="C551" s="31" t="s">
        <v>19</v>
      </c>
      <c r="D551" s="31" t="s">
        <v>52</v>
      </c>
      <c r="E551" s="31" t="s">
        <v>120</v>
      </c>
      <c r="F551" s="31" t="s">
        <v>15</v>
      </c>
      <c r="G551" s="31" t="s">
        <v>28</v>
      </c>
      <c r="H551" s="32">
        <v>43247</v>
      </c>
      <c r="I551" s="31">
        <v>141122</v>
      </c>
      <c r="J551" s="33" t="s">
        <v>471</v>
      </c>
    </row>
    <row r="552" s="22" customFormat="1" spans="1:10">
      <c r="A552" s="26" t="s">
        <v>1122</v>
      </c>
      <c r="B552" s="27" t="s">
        <v>1123</v>
      </c>
      <c r="C552" s="27" t="s">
        <v>12</v>
      </c>
      <c r="D552" s="27" t="s">
        <v>92</v>
      </c>
      <c r="E552" s="27" t="s">
        <v>193</v>
      </c>
      <c r="F552" s="27" t="s">
        <v>15</v>
      </c>
      <c r="G552" s="27" t="s">
        <v>28</v>
      </c>
      <c r="H552" s="28">
        <v>43769</v>
      </c>
      <c r="I552" s="27">
        <v>157660</v>
      </c>
      <c r="J552" s="29"/>
    </row>
    <row r="553" s="22" customFormat="1" spans="1:10">
      <c r="A553" s="30" t="s">
        <v>1124</v>
      </c>
      <c r="B553" s="31" t="s">
        <v>1125</v>
      </c>
      <c r="C553" s="31" t="s">
        <v>12</v>
      </c>
      <c r="D553" s="31" t="s">
        <v>52</v>
      </c>
      <c r="E553" s="31" t="s">
        <v>120</v>
      </c>
      <c r="F553" s="31" t="s">
        <v>15</v>
      </c>
      <c r="G553" s="31" t="s">
        <v>94</v>
      </c>
      <c r="H553" s="32">
        <v>45508</v>
      </c>
      <c r="I553" s="31">
        <v>54791</v>
      </c>
      <c r="J553" s="33" t="s">
        <v>334</v>
      </c>
    </row>
    <row r="554" s="22" customFormat="1" spans="1:10">
      <c r="A554" s="26" t="s">
        <v>1126</v>
      </c>
      <c r="B554" s="27" t="s">
        <v>1072</v>
      </c>
      <c r="C554" s="27" t="s">
        <v>19</v>
      </c>
      <c r="D554" s="27" t="s">
        <v>92</v>
      </c>
      <c r="E554" s="27" t="s">
        <v>126</v>
      </c>
      <c r="F554" s="27" t="s">
        <v>15</v>
      </c>
      <c r="G554" s="27" t="s">
        <v>40</v>
      </c>
      <c r="H554" s="28">
        <v>44361</v>
      </c>
      <c r="I554" s="27">
        <v>144565</v>
      </c>
      <c r="J554" s="29" t="s">
        <v>274</v>
      </c>
    </row>
    <row r="555" s="22" customFormat="1" spans="1:10">
      <c r="A555" s="30" t="s">
        <v>425</v>
      </c>
      <c r="B555" s="31" t="s">
        <v>479</v>
      </c>
      <c r="C555" s="31" t="s">
        <v>12</v>
      </c>
      <c r="D555" s="31" t="s">
        <v>92</v>
      </c>
      <c r="E555" s="31" t="s">
        <v>193</v>
      </c>
      <c r="F555" s="31" t="s">
        <v>15</v>
      </c>
      <c r="G555" s="31" t="s">
        <v>62</v>
      </c>
      <c r="H555" s="32">
        <v>43156</v>
      </c>
      <c r="I555" s="31">
        <v>118399</v>
      </c>
      <c r="J555" s="33" t="s">
        <v>782</v>
      </c>
    </row>
    <row r="556" s="22" customFormat="1" spans="1:10">
      <c r="A556" s="26" t="s">
        <v>1127</v>
      </c>
      <c r="B556" s="27" t="s">
        <v>1128</v>
      </c>
      <c r="C556" s="27" t="s">
        <v>12</v>
      </c>
      <c r="D556" s="27" t="s">
        <v>52</v>
      </c>
      <c r="E556" s="27" t="s">
        <v>246</v>
      </c>
      <c r="F556" s="27" t="s">
        <v>15</v>
      </c>
      <c r="G556" s="27" t="s">
        <v>94</v>
      </c>
      <c r="H556" s="28">
        <v>43297</v>
      </c>
      <c r="I556" s="27">
        <v>96262</v>
      </c>
      <c r="J556" s="29" t="s">
        <v>288</v>
      </c>
    </row>
    <row r="557" s="22" customFormat="1" spans="1:10">
      <c r="A557" s="30" t="s">
        <v>1129</v>
      </c>
      <c r="B557" s="31" t="s">
        <v>920</v>
      </c>
      <c r="C557" s="31" t="s">
        <v>12</v>
      </c>
      <c r="D557" s="31" t="s">
        <v>13</v>
      </c>
      <c r="E557" s="31" t="s">
        <v>14</v>
      </c>
      <c r="F557" s="31" t="s">
        <v>15</v>
      </c>
      <c r="G557" s="31" t="s">
        <v>34</v>
      </c>
      <c r="H557" s="32">
        <v>42933</v>
      </c>
      <c r="I557" s="31">
        <v>120796</v>
      </c>
      <c r="J557" s="33" t="s">
        <v>416</v>
      </c>
    </row>
    <row r="558" s="22" customFormat="1" spans="1:10">
      <c r="A558" s="26" t="s">
        <v>1130</v>
      </c>
      <c r="B558" s="27" t="s">
        <v>1131</v>
      </c>
      <c r="C558" s="27" t="s">
        <v>19</v>
      </c>
      <c r="D558" s="27" t="s">
        <v>38</v>
      </c>
      <c r="E558" s="27" t="s">
        <v>140</v>
      </c>
      <c r="F558" s="27" t="s">
        <v>22</v>
      </c>
      <c r="G558" s="27" t="s">
        <v>34</v>
      </c>
      <c r="H558" s="28">
        <v>43004</v>
      </c>
      <c r="I558" s="27">
        <v>239730</v>
      </c>
      <c r="J558" s="29"/>
    </row>
    <row r="559" s="22" customFormat="1" spans="1:10">
      <c r="A559" s="30" t="s">
        <v>1132</v>
      </c>
      <c r="B559" s="31" t="s">
        <v>849</v>
      </c>
      <c r="C559" s="31" t="s">
        <v>146</v>
      </c>
      <c r="D559" s="31" t="s">
        <v>38</v>
      </c>
      <c r="E559" s="31" t="s">
        <v>66</v>
      </c>
      <c r="F559" s="31" t="s">
        <v>15</v>
      </c>
      <c r="G559" s="31" t="s">
        <v>34</v>
      </c>
      <c r="H559" s="32">
        <v>42686</v>
      </c>
      <c r="I559" s="31">
        <v>185256</v>
      </c>
      <c r="J559" s="33" t="s">
        <v>468</v>
      </c>
    </row>
    <row r="560" s="22" customFormat="1" spans="1:10">
      <c r="A560" s="26" t="s">
        <v>1083</v>
      </c>
      <c r="B560" s="27" t="s">
        <v>612</v>
      </c>
      <c r="C560" s="27" t="s">
        <v>12</v>
      </c>
      <c r="D560" s="27" t="s">
        <v>26</v>
      </c>
      <c r="E560" s="27" t="s">
        <v>27</v>
      </c>
      <c r="F560" s="27" t="s">
        <v>15</v>
      </c>
      <c r="G560" s="27" t="s">
        <v>34</v>
      </c>
      <c r="H560" s="28">
        <v>43581</v>
      </c>
      <c r="I560" s="27">
        <v>253912</v>
      </c>
      <c r="J560" s="29" t="s">
        <v>493</v>
      </c>
    </row>
    <row r="561" s="22" customFormat="1" spans="1:10">
      <c r="A561" s="30" t="s">
        <v>449</v>
      </c>
      <c r="B561" s="31" t="s">
        <v>1133</v>
      </c>
      <c r="C561" s="31" t="s">
        <v>19</v>
      </c>
      <c r="D561" s="31" t="s">
        <v>32</v>
      </c>
      <c r="E561" s="31" t="s">
        <v>208</v>
      </c>
      <c r="F561" s="31" t="s">
        <v>15</v>
      </c>
      <c r="G561" s="31" t="s">
        <v>94</v>
      </c>
      <c r="H561" s="32">
        <v>45828</v>
      </c>
      <c r="I561" s="31">
        <v>210488</v>
      </c>
      <c r="J561" s="33" t="s">
        <v>640</v>
      </c>
    </row>
    <row r="562" s="22" customFormat="1" spans="1:10">
      <c r="A562" s="26" t="s">
        <v>1134</v>
      </c>
      <c r="B562" s="27" t="s">
        <v>1135</v>
      </c>
      <c r="C562" s="27" t="s">
        <v>19</v>
      </c>
      <c r="D562" s="27" t="s">
        <v>26</v>
      </c>
      <c r="E562" s="27" t="s">
        <v>61</v>
      </c>
      <c r="F562" s="27" t="s">
        <v>15</v>
      </c>
      <c r="G562" s="27" t="s">
        <v>40</v>
      </c>
      <c r="H562" s="28">
        <v>45598</v>
      </c>
      <c r="I562" s="27">
        <v>155423</v>
      </c>
      <c r="J562" s="29" t="s">
        <v>68</v>
      </c>
    </row>
    <row r="563" s="22" customFormat="1" spans="1:10">
      <c r="A563" s="30" t="s">
        <v>1136</v>
      </c>
      <c r="B563" s="31" t="s">
        <v>1137</v>
      </c>
      <c r="C563" s="31" t="s">
        <v>19</v>
      </c>
      <c r="D563" s="31" t="s">
        <v>38</v>
      </c>
      <c r="E563" s="31" t="s">
        <v>66</v>
      </c>
      <c r="F563" s="31" t="s">
        <v>48</v>
      </c>
      <c r="G563" s="31" t="s">
        <v>62</v>
      </c>
      <c r="H563" s="32">
        <v>42784</v>
      </c>
      <c r="I563" s="31">
        <v>100233</v>
      </c>
      <c r="J563" s="33" t="s">
        <v>416</v>
      </c>
    </row>
    <row r="564" s="22" customFormat="1" spans="1:10">
      <c r="A564" s="26" t="s">
        <v>1138</v>
      </c>
      <c r="B564" s="27" t="s">
        <v>680</v>
      </c>
      <c r="C564" s="27" t="s">
        <v>19</v>
      </c>
      <c r="D564" s="27" t="s">
        <v>38</v>
      </c>
      <c r="E564" s="27" t="s">
        <v>39</v>
      </c>
      <c r="F564" s="27" t="s">
        <v>15</v>
      </c>
      <c r="G564" s="27" t="s">
        <v>40</v>
      </c>
      <c r="H564" s="28">
        <v>44449</v>
      </c>
      <c r="I564" s="27">
        <v>211477</v>
      </c>
      <c r="J564" s="29"/>
    </row>
    <row r="565" s="22" customFormat="1" spans="1:10">
      <c r="A565" s="30" t="s">
        <v>1139</v>
      </c>
      <c r="B565" s="31" t="s">
        <v>1140</v>
      </c>
      <c r="C565" s="31" t="s">
        <v>19</v>
      </c>
      <c r="D565" s="31" t="s">
        <v>38</v>
      </c>
      <c r="E565" s="31" t="s">
        <v>66</v>
      </c>
      <c r="F565" s="31" t="s">
        <v>15</v>
      </c>
      <c r="G565" s="31" t="s">
        <v>94</v>
      </c>
      <c r="H565" s="32">
        <v>45527</v>
      </c>
      <c r="I565" s="31">
        <v>224909</v>
      </c>
      <c r="J565" s="33" t="s">
        <v>209</v>
      </c>
    </row>
    <row r="566" s="22" customFormat="1" spans="1:10">
      <c r="A566" s="26" t="s">
        <v>543</v>
      </c>
      <c r="B566" s="27" t="s">
        <v>236</v>
      </c>
      <c r="C566" s="27" t="s">
        <v>12</v>
      </c>
      <c r="D566" s="27" t="s">
        <v>13</v>
      </c>
      <c r="E566" s="27" t="s">
        <v>98</v>
      </c>
      <c r="F566" s="27" t="s">
        <v>15</v>
      </c>
      <c r="G566" s="27" t="s">
        <v>16</v>
      </c>
      <c r="H566" s="28">
        <v>44580</v>
      </c>
      <c r="I566" s="27">
        <v>238998</v>
      </c>
      <c r="J566" s="29" t="s">
        <v>344</v>
      </c>
    </row>
    <row r="567" s="22" customFormat="1" spans="1:10">
      <c r="A567" s="30" t="s">
        <v>1141</v>
      </c>
      <c r="B567" s="31" t="s">
        <v>287</v>
      </c>
      <c r="C567" s="31" t="s">
        <v>12</v>
      </c>
      <c r="D567" s="31" t="s">
        <v>92</v>
      </c>
      <c r="E567" s="31" t="s">
        <v>391</v>
      </c>
      <c r="F567" s="31" t="s">
        <v>15</v>
      </c>
      <c r="G567" s="31" t="s">
        <v>40</v>
      </c>
      <c r="H567" s="32">
        <v>45790</v>
      </c>
      <c r="I567" s="31">
        <v>150971</v>
      </c>
      <c r="J567" s="33" t="s">
        <v>762</v>
      </c>
    </row>
    <row r="568" s="22" customFormat="1" spans="1:10">
      <c r="A568" s="26" t="s">
        <v>1142</v>
      </c>
      <c r="B568" s="27" t="s">
        <v>869</v>
      </c>
      <c r="C568" s="27" t="s">
        <v>19</v>
      </c>
      <c r="D568" s="27" t="s">
        <v>13</v>
      </c>
      <c r="E568" s="27" t="s">
        <v>223</v>
      </c>
      <c r="F568" s="27" t="s">
        <v>15</v>
      </c>
      <c r="G568" s="27" t="s">
        <v>28</v>
      </c>
      <c r="H568" s="28">
        <v>45395</v>
      </c>
      <c r="I568" s="27">
        <v>211829</v>
      </c>
      <c r="J568" s="29" t="s">
        <v>621</v>
      </c>
    </row>
    <row r="569" s="22" customFormat="1" spans="1:10">
      <c r="A569" s="30" t="s">
        <v>1143</v>
      </c>
      <c r="B569" s="31" t="s">
        <v>609</v>
      </c>
      <c r="C569" s="31" t="s">
        <v>12</v>
      </c>
      <c r="D569" s="31" t="s">
        <v>13</v>
      </c>
      <c r="E569" s="31" t="s">
        <v>14</v>
      </c>
      <c r="F569" s="31" t="s">
        <v>15</v>
      </c>
      <c r="G569" s="31" t="s">
        <v>62</v>
      </c>
      <c r="H569" s="32">
        <v>44526</v>
      </c>
      <c r="I569" s="31">
        <v>145287</v>
      </c>
      <c r="J569" s="33"/>
    </row>
    <row r="570" s="22" customFormat="1" spans="1:10">
      <c r="A570" s="26" t="s">
        <v>1144</v>
      </c>
      <c r="B570" s="27" t="s">
        <v>1131</v>
      </c>
      <c r="C570" s="27" t="s">
        <v>12</v>
      </c>
      <c r="D570" s="27" t="s">
        <v>20</v>
      </c>
      <c r="E570" s="27" t="s">
        <v>21</v>
      </c>
      <c r="F570" s="27" t="s">
        <v>15</v>
      </c>
      <c r="G570" s="27" t="s">
        <v>62</v>
      </c>
      <c r="H570" s="28">
        <v>42524</v>
      </c>
      <c r="I570" s="27">
        <v>58483</v>
      </c>
      <c r="J570" s="29"/>
    </row>
    <row r="571" s="22" customFormat="1" spans="1:10">
      <c r="A571" s="30" t="s">
        <v>1145</v>
      </c>
      <c r="B571" s="31" t="s">
        <v>1146</v>
      </c>
      <c r="C571" s="31" t="s">
        <v>12</v>
      </c>
      <c r="D571" s="31" t="s">
        <v>13</v>
      </c>
      <c r="E571" s="31" t="s">
        <v>165</v>
      </c>
      <c r="F571" s="31" t="s">
        <v>15</v>
      </c>
      <c r="G571" s="31" t="s">
        <v>16</v>
      </c>
      <c r="H571" s="32">
        <v>45081</v>
      </c>
      <c r="I571" s="31">
        <v>101081</v>
      </c>
      <c r="J571" s="33" t="s">
        <v>172</v>
      </c>
    </row>
    <row r="572" s="22" customFormat="1" spans="1:10">
      <c r="A572" s="26" t="s">
        <v>1147</v>
      </c>
      <c r="B572" s="27" t="s">
        <v>1148</v>
      </c>
      <c r="C572" s="27" t="s">
        <v>12</v>
      </c>
      <c r="D572" s="27" t="s">
        <v>92</v>
      </c>
      <c r="E572" s="27" t="s">
        <v>93</v>
      </c>
      <c r="F572" s="27" t="s">
        <v>15</v>
      </c>
      <c r="G572" s="27" t="s">
        <v>28</v>
      </c>
      <c r="H572" s="28">
        <v>43749</v>
      </c>
      <c r="I572" s="27">
        <v>89872</v>
      </c>
      <c r="J572" s="29"/>
    </row>
    <row r="573" s="22" customFormat="1" spans="1:10">
      <c r="A573" s="30" t="s">
        <v>1149</v>
      </c>
      <c r="B573" s="31" t="s">
        <v>832</v>
      </c>
      <c r="C573" s="31" t="s">
        <v>19</v>
      </c>
      <c r="D573" s="31" t="s">
        <v>52</v>
      </c>
      <c r="E573" s="31" t="s">
        <v>246</v>
      </c>
      <c r="F573" s="31" t="s">
        <v>15</v>
      </c>
      <c r="G573" s="31" t="s">
        <v>28</v>
      </c>
      <c r="H573" s="32">
        <v>45508</v>
      </c>
      <c r="I573" s="31">
        <v>62383</v>
      </c>
      <c r="J573" s="33" t="s">
        <v>230</v>
      </c>
    </row>
    <row r="574" s="22" customFormat="1" spans="1:10">
      <c r="A574" s="26" t="s">
        <v>1150</v>
      </c>
      <c r="B574" s="27" t="s">
        <v>107</v>
      </c>
      <c r="C574" s="27" t="s">
        <v>12</v>
      </c>
      <c r="D574" s="27" t="s">
        <v>13</v>
      </c>
      <c r="E574" s="27" t="s">
        <v>223</v>
      </c>
      <c r="F574" s="27" t="s">
        <v>15</v>
      </c>
      <c r="G574" s="27" t="s">
        <v>40</v>
      </c>
      <c r="H574" s="28">
        <v>44901</v>
      </c>
      <c r="I574" s="27">
        <v>139985</v>
      </c>
      <c r="J574" s="29" t="s">
        <v>465</v>
      </c>
    </row>
    <row r="575" s="22" customFormat="1" spans="1:10">
      <c r="A575" s="30" t="s">
        <v>476</v>
      </c>
      <c r="B575" s="31" t="s">
        <v>203</v>
      </c>
      <c r="C575" s="31" t="s">
        <v>12</v>
      </c>
      <c r="D575" s="31" t="s">
        <v>32</v>
      </c>
      <c r="E575" s="31" t="s">
        <v>208</v>
      </c>
      <c r="F575" s="31" t="s">
        <v>22</v>
      </c>
      <c r="G575" s="31" t="s">
        <v>16</v>
      </c>
      <c r="H575" s="32">
        <v>42906</v>
      </c>
      <c r="I575" s="31">
        <v>102751</v>
      </c>
      <c r="J575" s="33" t="s">
        <v>1151</v>
      </c>
    </row>
    <row r="576" s="22" customFormat="1" spans="1:10">
      <c r="A576" s="26" t="s">
        <v>1152</v>
      </c>
      <c r="B576" s="27" t="s">
        <v>1153</v>
      </c>
      <c r="C576" s="27" t="s">
        <v>19</v>
      </c>
      <c r="D576" s="27" t="s">
        <v>52</v>
      </c>
      <c r="E576" s="27" t="s">
        <v>246</v>
      </c>
      <c r="F576" s="27" t="s">
        <v>15</v>
      </c>
      <c r="G576" s="27" t="s">
        <v>62</v>
      </c>
      <c r="H576" s="28">
        <v>44816</v>
      </c>
      <c r="I576" s="27">
        <v>59718</v>
      </c>
      <c r="J576" s="29" t="s">
        <v>721</v>
      </c>
    </row>
    <row r="577" s="22" customFormat="1" spans="1:10">
      <c r="A577" s="30" t="s">
        <v>1154</v>
      </c>
      <c r="B577" s="31" t="s">
        <v>1155</v>
      </c>
      <c r="C577" s="31" t="s">
        <v>12</v>
      </c>
      <c r="D577" s="31" t="s">
        <v>20</v>
      </c>
      <c r="E577" s="31" t="s">
        <v>147</v>
      </c>
      <c r="F577" s="31" t="s">
        <v>15</v>
      </c>
      <c r="G577" s="31" t="s">
        <v>62</v>
      </c>
      <c r="H577" s="32">
        <v>43913</v>
      </c>
      <c r="I577" s="31">
        <v>56617</v>
      </c>
      <c r="J577" s="33" t="s">
        <v>352</v>
      </c>
    </row>
    <row r="578" s="22" customFormat="1" spans="1:10">
      <c r="A578" s="26" t="s">
        <v>1156</v>
      </c>
      <c r="B578" s="27" t="s">
        <v>177</v>
      </c>
      <c r="C578" s="27" t="s">
        <v>19</v>
      </c>
      <c r="D578" s="27" t="s">
        <v>38</v>
      </c>
      <c r="E578" s="27" t="s">
        <v>77</v>
      </c>
      <c r="F578" s="27" t="s">
        <v>48</v>
      </c>
      <c r="G578" s="27" t="s">
        <v>34</v>
      </c>
      <c r="H578" s="28">
        <v>43001</v>
      </c>
      <c r="I578" s="27">
        <v>78598</v>
      </c>
      <c r="J578" s="29" t="s">
        <v>117</v>
      </c>
    </row>
    <row r="579" s="22" customFormat="1" spans="1:10">
      <c r="A579" s="30" t="s">
        <v>1157</v>
      </c>
      <c r="B579" s="31" t="s">
        <v>492</v>
      </c>
      <c r="C579" s="31" t="s">
        <v>19</v>
      </c>
      <c r="D579" s="31" t="s">
        <v>20</v>
      </c>
      <c r="E579" s="31" t="s">
        <v>21</v>
      </c>
      <c r="F579" s="31" t="s">
        <v>15</v>
      </c>
      <c r="G579" s="31" t="s">
        <v>16</v>
      </c>
      <c r="H579" s="32">
        <v>43034</v>
      </c>
      <c r="I579" s="31">
        <v>101482</v>
      </c>
      <c r="J579" s="33" t="s">
        <v>341</v>
      </c>
    </row>
    <row r="580" s="22" customFormat="1" spans="1:10">
      <c r="A580" s="26" t="s">
        <v>1158</v>
      </c>
      <c r="B580" s="27" t="s">
        <v>603</v>
      </c>
      <c r="C580" s="27" t="s">
        <v>19</v>
      </c>
      <c r="D580" s="27" t="s">
        <v>92</v>
      </c>
      <c r="E580" s="27" t="s">
        <v>93</v>
      </c>
      <c r="F580" s="27" t="s">
        <v>48</v>
      </c>
      <c r="G580" s="27" t="s">
        <v>40</v>
      </c>
      <c r="H580" s="28">
        <v>43110</v>
      </c>
      <c r="I580" s="27">
        <v>75797</v>
      </c>
      <c r="J580" s="29" t="s">
        <v>583</v>
      </c>
    </row>
    <row r="581" s="22" customFormat="1" spans="1:10">
      <c r="A581" s="30" t="s">
        <v>215</v>
      </c>
      <c r="B581" s="31" t="s">
        <v>1159</v>
      </c>
      <c r="C581" s="31" t="s">
        <v>12</v>
      </c>
      <c r="D581" s="31" t="s">
        <v>87</v>
      </c>
      <c r="E581" s="31" t="s">
        <v>156</v>
      </c>
      <c r="F581" s="31" t="s">
        <v>15</v>
      </c>
      <c r="G581" s="31" t="s">
        <v>28</v>
      </c>
      <c r="H581" s="32">
        <v>45775</v>
      </c>
      <c r="I581" s="31">
        <v>243494</v>
      </c>
      <c r="J581" s="33" t="s">
        <v>115</v>
      </c>
    </row>
    <row r="582" s="22" customFormat="1" spans="1:10">
      <c r="A582" s="26" t="s">
        <v>1160</v>
      </c>
      <c r="B582" s="27" t="s">
        <v>603</v>
      </c>
      <c r="C582" s="27" t="s">
        <v>19</v>
      </c>
      <c r="D582" s="27" t="s">
        <v>13</v>
      </c>
      <c r="E582" s="27" t="s">
        <v>14</v>
      </c>
      <c r="F582" s="27" t="s">
        <v>15</v>
      </c>
      <c r="G582" s="27" t="s">
        <v>40</v>
      </c>
      <c r="H582" s="28">
        <v>45207</v>
      </c>
      <c r="I582" s="27">
        <v>86634</v>
      </c>
      <c r="J582" s="29" t="s">
        <v>102</v>
      </c>
    </row>
    <row r="583" s="22" customFormat="1" spans="1:10">
      <c r="A583" s="30" t="s">
        <v>1161</v>
      </c>
      <c r="B583" s="31" t="s">
        <v>1162</v>
      </c>
      <c r="C583" s="31" t="s">
        <v>12</v>
      </c>
      <c r="D583" s="31" t="s">
        <v>20</v>
      </c>
      <c r="E583" s="31" t="s">
        <v>21</v>
      </c>
      <c r="F583" s="31" t="s">
        <v>15</v>
      </c>
      <c r="G583" s="31" t="s">
        <v>28</v>
      </c>
      <c r="H583" s="32">
        <v>45528</v>
      </c>
      <c r="I583" s="31">
        <v>72541</v>
      </c>
      <c r="J583" s="33" t="s">
        <v>601</v>
      </c>
    </row>
    <row r="584" s="22" customFormat="1" spans="1:10">
      <c r="A584" s="26" t="s">
        <v>1163</v>
      </c>
      <c r="B584" s="27" t="s">
        <v>1155</v>
      </c>
      <c r="C584" s="27" t="s">
        <v>12</v>
      </c>
      <c r="D584" s="27" t="s">
        <v>92</v>
      </c>
      <c r="E584" s="27" t="s">
        <v>93</v>
      </c>
      <c r="F584" s="27" t="s">
        <v>15</v>
      </c>
      <c r="G584" s="27" t="s">
        <v>34</v>
      </c>
      <c r="H584" s="28">
        <v>44928</v>
      </c>
      <c r="I584" s="27">
        <v>156742</v>
      </c>
      <c r="J584" s="29" t="s">
        <v>108</v>
      </c>
    </row>
    <row r="585" s="22" customFormat="1" spans="1:10">
      <c r="A585" s="30" t="s">
        <v>1164</v>
      </c>
      <c r="B585" s="31" t="s">
        <v>1165</v>
      </c>
      <c r="C585" s="31" t="s">
        <v>19</v>
      </c>
      <c r="D585" s="31" t="s">
        <v>13</v>
      </c>
      <c r="E585" s="31" t="s">
        <v>165</v>
      </c>
      <c r="F585" s="31" t="s">
        <v>15</v>
      </c>
      <c r="G585" s="31" t="s">
        <v>16</v>
      </c>
      <c r="H585" s="32">
        <v>45683</v>
      </c>
      <c r="I585" s="31">
        <v>155431</v>
      </c>
      <c r="J585" s="33" t="s">
        <v>512</v>
      </c>
    </row>
    <row r="586" s="22" customFormat="1" spans="1:10">
      <c r="A586" s="26" t="s">
        <v>386</v>
      </c>
      <c r="B586" s="27" t="s">
        <v>1166</v>
      </c>
      <c r="C586" s="27" t="s">
        <v>12</v>
      </c>
      <c r="D586" s="27" t="s">
        <v>32</v>
      </c>
      <c r="E586" s="27" t="s">
        <v>208</v>
      </c>
      <c r="F586" s="27" t="s">
        <v>15</v>
      </c>
      <c r="G586" s="27" t="s">
        <v>62</v>
      </c>
      <c r="H586" s="28">
        <v>43048</v>
      </c>
      <c r="I586" s="27">
        <v>205608</v>
      </c>
      <c r="J586" s="29" t="s">
        <v>1036</v>
      </c>
    </row>
    <row r="587" s="22" customFormat="1" spans="1:10">
      <c r="A587" s="30" t="s">
        <v>1167</v>
      </c>
      <c r="B587" s="31" t="s">
        <v>1168</v>
      </c>
      <c r="C587" s="31" t="s">
        <v>19</v>
      </c>
      <c r="D587" s="31" t="s">
        <v>87</v>
      </c>
      <c r="E587" s="31" t="s">
        <v>88</v>
      </c>
      <c r="F587" s="31" t="s">
        <v>15</v>
      </c>
      <c r="G587" s="31" t="s">
        <v>34</v>
      </c>
      <c r="H587" s="32">
        <v>45323</v>
      </c>
      <c r="I587" s="31">
        <v>157460</v>
      </c>
      <c r="J587" s="33" t="s">
        <v>105</v>
      </c>
    </row>
    <row r="588" s="22" customFormat="1" spans="1:10">
      <c r="A588" s="26" t="s">
        <v>1169</v>
      </c>
      <c r="B588" s="27" t="s">
        <v>656</v>
      </c>
      <c r="C588" s="27" t="s">
        <v>19</v>
      </c>
      <c r="D588" s="27" t="s">
        <v>38</v>
      </c>
      <c r="E588" s="27" t="s">
        <v>44</v>
      </c>
      <c r="F588" s="27" t="s">
        <v>15</v>
      </c>
      <c r="G588" s="27" t="s">
        <v>94</v>
      </c>
      <c r="H588" s="28">
        <v>44162</v>
      </c>
      <c r="I588" s="27">
        <v>144619</v>
      </c>
      <c r="J588" s="29" t="s">
        <v>237</v>
      </c>
    </row>
    <row r="589" s="22" customFormat="1" spans="1:10">
      <c r="A589" s="30" t="s">
        <v>1170</v>
      </c>
      <c r="B589" s="31" t="s">
        <v>1171</v>
      </c>
      <c r="C589" s="31" t="s">
        <v>12</v>
      </c>
      <c r="D589" s="31" t="s">
        <v>38</v>
      </c>
      <c r="E589" s="31" t="s">
        <v>66</v>
      </c>
      <c r="F589" s="31" t="s">
        <v>15</v>
      </c>
      <c r="G589" s="31" t="s">
        <v>62</v>
      </c>
      <c r="H589" s="32">
        <v>42548</v>
      </c>
      <c r="I589" s="31">
        <v>182892</v>
      </c>
      <c r="J589" s="33" t="s">
        <v>601</v>
      </c>
    </row>
    <row r="590" s="22" customFormat="1" spans="1:10">
      <c r="A590" s="26" t="s">
        <v>1172</v>
      </c>
      <c r="B590" s="27" t="s">
        <v>1173</v>
      </c>
      <c r="C590" s="27" t="s">
        <v>19</v>
      </c>
      <c r="D590" s="27" t="s">
        <v>38</v>
      </c>
      <c r="E590" s="27" t="s">
        <v>66</v>
      </c>
      <c r="F590" s="27" t="s">
        <v>15</v>
      </c>
      <c r="G590" s="27" t="s">
        <v>62</v>
      </c>
      <c r="H590" s="28">
        <v>44052</v>
      </c>
      <c r="I590" s="27">
        <v>171884</v>
      </c>
      <c r="J590" s="29" t="s">
        <v>579</v>
      </c>
    </row>
    <row r="591" s="22" customFormat="1" spans="1:10">
      <c r="A591" s="30" t="s">
        <v>1174</v>
      </c>
      <c r="B591" s="31" t="s">
        <v>1175</v>
      </c>
      <c r="C591" s="31" t="s">
        <v>19</v>
      </c>
      <c r="D591" s="31" t="s">
        <v>38</v>
      </c>
      <c r="E591" s="31" t="s">
        <v>44</v>
      </c>
      <c r="F591" s="31" t="s">
        <v>15</v>
      </c>
      <c r="G591" s="31" t="s">
        <v>16</v>
      </c>
      <c r="H591" s="32">
        <v>43862</v>
      </c>
      <c r="I591" s="31">
        <v>85557</v>
      </c>
      <c r="J591" s="33" t="s">
        <v>467</v>
      </c>
    </row>
    <row r="592" s="22" customFormat="1" spans="1:10">
      <c r="A592" s="26" t="s">
        <v>1176</v>
      </c>
      <c r="B592" s="27" t="s">
        <v>666</v>
      </c>
      <c r="C592" s="27" t="s">
        <v>12</v>
      </c>
      <c r="D592" s="27" t="s">
        <v>38</v>
      </c>
      <c r="E592" s="27" t="s">
        <v>44</v>
      </c>
      <c r="F592" s="27" t="s">
        <v>48</v>
      </c>
      <c r="G592" s="27" t="s">
        <v>16</v>
      </c>
      <c r="H592" s="28">
        <v>45140</v>
      </c>
      <c r="I592" s="27">
        <v>125670</v>
      </c>
      <c r="J592" s="29" t="s">
        <v>202</v>
      </c>
    </row>
    <row r="593" s="22" customFormat="1" spans="1:10">
      <c r="A593" s="30" t="s">
        <v>190</v>
      </c>
      <c r="B593" s="31" t="s">
        <v>446</v>
      </c>
      <c r="C593" s="31" t="s">
        <v>19</v>
      </c>
      <c r="D593" s="31" t="s">
        <v>32</v>
      </c>
      <c r="E593" s="31" t="s">
        <v>208</v>
      </c>
      <c r="F593" s="31" t="s">
        <v>15</v>
      </c>
      <c r="G593" s="31" t="s">
        <v>16</v>
      </c>
      <c r="H593" s="32">
        <v>45317</v>
      </c>
      <c r="I593" s="31">
        <v>159972</v>
      </c>
      <c r="J593" s="33" t="s">
        <v>309</v>
      </c>
    </row>
    <row r="594" s="22" customFormat="1" spans="1:10">
      <c r="A594" s="26" t="s">
        <v>1177</v>
      </c>
      <c r="B594" s="27" t="s">
        <v>593</v>
      </c>
      <c r="C594" s="27" t="s">
        <v>19</v>
      </c>
      <c r="D594" s="27" t="s">
        <v>38</v>
      </c>
      <c r="E594" s="27" t="s">
        <v>77</v>
      </c>
      <c r="F594" s="27" t="s">
        <v>15</v>
      </c>
      <c r="G594" s="27" t="s">
        <v>28</v>
      </c>
      <c r="H594" s="28">
        <v>43342</v>
      </c>
      <c r="I594" s="27">
        <v>141698</v>
      </c>
      <c r="J594" s="29" t="s">
        <v>573</v>
      </c>
    </row>
    <row r="595" s="22" customFormat="1" spans="1:10">
      <c r="A595" s="30" t="s">
        <v>1178</v>
      </c>
      <c r="B595" s="31" t="s">
        <v>481</v>
      </c>
      <c r="C595" s="31" t="s">
        <v>12</v>
      </c>
      <c r="D595" s="31" t="s">
        <v>13</v>
      </c>
      <c r="E595" s="31" t="s">
        <v>14</v>
      </c>
      <c r="F595" s="31" t="s">
        <v>15</v>
      </c>
      <c r="G595" s="31" t="s">
        <v>16</v>
      </c>
      <c r="H595" s="32">
        <v>44189</v>
      </c>
      <c r="I595" s="31">
        <v>149831</v>
      </c>
      <c r="J595" s="33" t="s">
        <v>758</v>
      </c>
    </row>
    <row r="596" s="22" customFormat="1" spans="1:10">
      <c r="A596" s="26" t="s">
        <v>499</v>
      </c>
      <c r="B596" s="27" t="s">
        <v>415</v>
      </c>
      <c r="C596" s="27" t="s">
        <v>19</v>
      </c>
      <c r="D596" s="27" t="s">
        <v>52</v>
      </c>
      <c r="E596" s="27" t="s">
        <v>53</v>
      </c>
      <c r="F596" s="27" t="s">
        <v>15</v>
      </c>
      <c r="G596" s="27" t="s">
        <v>94</v>
      </c>
      <c r="H596" s="28">
        <v>44870</v>
      </c>
      <c r="I596" s="27">
        <v>186586</v>
      </c>
      <c r="J596" s="29"/>
    </row>
    <row r="597" s="22" customFormat="1" spans="1:10">
      <c r="A597" s="30" t="s">
        <v>1179</v>
      </c>
      <c r="B597" s="31" t="s">
        <v>1133</v>
      </c>
      <c r="C597" s="31" t="s">
        <v>12</v>
      </c>
      <c r="D597" s="31" t="s">
        <v>92</v>
      </c>
      <c r="E597" s="31" t="s">
        <v>93</v>
      </c>
      <c r="F597" s="31" t="s">
        <v>48</v>
      </c>
      <c r="G597" s="31" t="s">
        <v>40</v>
      </c>
      <c r="H597" s="32">
        <v>43537</v>
      </c>
      <c r="I597" s="31">
        <v>69151</v>
      </c>
      <c r="J597" s="33" t="s">
        <v>134</v>
      </c>
    </row>
    <row r="598" s="22" customFormat="1" spans="1:10">
      <c r="A598" s="26" t="s">
        <v>1180</v>
      </c>
      <c r="B598" s="27" t="s">
        <v>820</v>
      </c>
      <c r="C598" s="27" t="s">
        <v>12</v>
      </c>
      <c r="D598" s="27" t="s">
        <v>32</v>
      </c>
      <c r="E598" s="27" t="s">
        <v>57</v>
      </c>
      <c r="F598" s="27" t="s">
        <v>48</v>
      </c>
      <c r="G598" s="27" t="s">
        <v>62</v>
      </c>
      <c r="H598" s="28">
        <v>45451</v>
      </c>
      <c r="I598" s="27">
        <v>104195</v>
      </c>
      <c r="J598" s="29" t="s">
        <v>621</v>
      </c>
    </row>
    <row r="599" s="22" customFormat="1" spans="1:10">
      <c r="A599" s="30" t="s">
        <v>1181</v>
      </c>
      <c r="B599" s="31" t="s">
        <v>705</v>
      </c>
      <c r="C599" s="31" t="s">
        <v>19</v>
      </c>
      <c r="D599" s="31" t="s">
        <v>38</v>
      </c>
      <c r="E599" s="31" t="s">
        <v>77</v>
      </c>
      <c r="F599" s="31" t="s">
        <v>15</v>
      </c>
      <c r="G599" s="31" t="s">
        <v>94</v>
      </c>
      <c r="H599" s="32">
        <v>45436</v>
      </c>
      <c r="I599" s="31">
        <v>157968</v>
      </c>
      <c r="J599" s="33" t="s">
        <v>179</v>
      </c>
    </row>
    <row r="600" s="22" customFormat="1" spans="1:10">
      <c r="A600" s="26" t="s">
        <v>1182</v>
      </c>
      <c r="B600" s="27" t="s">
        <v>664</v>
      </c>
      <c r="C600" s="27" t="s">
        <v>19</v>
      </c>
      <c r="D600" s="27" t="s">
        <v>38</v>
      </c>
      <c r="E600" s="27" t="s">
        <v>77</v>
      </c>
      <c r="F600" s="27" t="s">
        <v>15</v>
      </c>
      <c r="G600" s="27" t="s">
        <v>40</v>
      </c>
      <c r="H600" s="28">
        <v>45580</v>
      </c>
      <c r="I600" s="27">
        <v>198433</v>
      </c>
      <c r="J600" s="29" t="s">
        <v>175</v>
      </c>
    </row>
    <row r="601" s="22" customFormat="1" spans="1:10">
      <c r="A601" s="30" t="s">
        <v>1183</v>
      </c>
      <c r="B601" s="31" t="s">
        <v>1184</v>
      </c>
      <c r="C601" s="31" t="s">
        <v>12</v>
      </c>
      <c r="D601" s="31" t="s">
        <v>38</v>
      </c>
      <c r="E601" s="31" t="s">
        <v>39</v>
      </c>
      <c r="F601" s="31" t="s">
        <v>15</v>
      </c>
      <c r="G601" s="31" t="s">
        <v>28</v>
      </c>
      <c r="H601" s="32">
        <v>44208</v>
      </c>
      <c r="I601" s="31">
        <v>163236</v>
      </c>
      <c r="J601" s="33" t="s">
        <v>1077</v>
      </c>
    </row>
    <row r="602" s="22" customFormat="1" spans="1:10">
      <c r="A602" s="26" t="s">
        <v>1185</v>
      </c>
      <c r="B602" s="27" t="s">
        <v>242</v>
      </c>
      <c r="C602" s="27" t="s">
        <v>19</v>
      </c>
      <c r="D602" s="27" t="s">
        <v>38</v>
      </c>
      <c r="E602" s="27" t="s">
        <v>77</v>
      </c>
      <c r="F602" s="27" t="s">
        <v>48</v>
      </c>
      <c r="G602" s="27" t="s">
        <v>28</v>
      </c>
      <c r="H602" s="28">
        <v>43328</v>
      </c>
      <c r="I602" s="27">
        <v>148806</v>
      </c>
      <c r="J602" s="29" t="s">
        <v>341</v>
      </c>
    </row>
    <row r="603" s="22" customFormat="1" spans="1:10">
      <c r="A603" s="30" t="s">
        <v>574</v>
      </c>
      <c r="B603" s="31" t="s">
        <v>80</v>
      </c>
      <c r="C603" s="31" t="s">
        <v>12</v>
      </c>
      <c r="D603" s="31" t="s">
        <v>87</v>
      </c>
      <c r="E603" s="31" t="s">
        <v>156</v>
      </c>
      <c r="F603" s="31" t="s">
        <v>48</v>
      </c>
      <c r="G603" s="31" t="s">
        <v>40</v>
      </c>
      <c r="H603" s="32">
        <v>44557</v>
      </c>
      <c r="I603" s="31">
        <v>175181</v>
      </c>
      <c r="J603" s="33"/>
    </row>
    <row r="604" s="22" customFormat="1" spans="1:10">
      <c r="A604" s="26" t="s">
        <v>1186</v>
      </c>
      <c r="B604" s="27" t="s">
        <v>1187</v>
      </c>
      <c r="C604" s="27" t="s">
        <v>19</v>
      </c>
      <c r="D604" s="27" t="s">
        <v>38</v>
      </c>
      <c r="E604" s="27" t="s">
        <v>66</v>
      </c>
      <c r="F604" s="27" t="s">
        <v>15</v>
      </c>
      <c r="G604" s="27" t="s">
        <v>62</v>
      </c>
      <c r="H604" s="28">
        <v>43349</v>
      </c>
      <c r="I604" s="27">
        <v>153747</v>
      </c>
      <c r="J604" s="29" t="s">
        <v>286</v>
      </c>
    </row>
    <row r="605" s="22" customFormat="1" spans="1:10">
      <c r="A605" s="30" t="s">
        <v>1188</v>
      </c>
      <c r="B605" s="31" t="s">
        <v>1065</v>
      </c>
      <c r="C605" s="31" t="s">
        <v>12</v>
      </c>
      <c r="D605" s="31" t="s">
        <v>38</v>
      </c>
      <c r="E605" s="31" t="s">
        <v>66</v>
      </c>
      <c r="F605" s="31" t="s">
        <v>15</v>
      </c>
      <c r="G605" s="31" t="s">
        <v>16</v>
      </c>
      <c r="H605" s="32">
        <v>43637</v>
      </c>
      <c r="I605" s="31">
        <v>170491</v>
      </c>
      <c r="J605" s="33" t="s">
        <v>776</v>
      </c>
    </row>
    <row r="606" s="22" customFormat="1" spans="1:10">
      <c r="A606" s="26" t="s">
        <v>1189</v>
      </c>
      <c r="B606" s="27" t="s">
        <v>161</v>
      </c>
      <c r="C606" s="27" t="s">
        <v>12</v>
      </c>
      <c r="D606" s="27" t="s">
        <v>38</v>
      </c>
      <c r="E606" s="27" t="s">
        <v>77</v>
      </c>
      <c r="F606" s="27" t="s">
        <v>48</v>
      </c>
      <c r="G606" s="27" t="s">
        <v>28</v>
      </c>
      <c r="H606" s="28">
        <v>45682</v>
      </c>
      <c r="I606" s="27">
        <v>177297</v>
      </c>
      <c r="J606" s="29" t="s">
        <v>725</v>
      </c>
    </row>
    <row r="607" s="22" customFormat="1" spans="1:10">
      <c r="A607" s="30" t="s">
        <v>1190</v>
      </c>
      <c r="B607" s="31" t="s">
        <v>1191</v>
      </c>
      <c r="C607" s="31" t="s">
        <v>12</v>
      </c>
      <c r="D607" s="31" t="s">
        <v>13</v>
      </c>
      <c r="E607" s="31" t="s">
        <v>165</v>
      </c>
      <c r="F607" s="31" t="s">
        <v>15</v>
      </c>
      <c r="G607" s="31" t="s">
        <v>62</v>
      </c>
      <c r="H607" s="32">
        <v>45582</v>
      </c>
      <c r="I607" s="31">
        <v>64256</v>
      </c>
      <c r="J607" s="33" t="s">
        <v>206</v>
      </c>
    </row>
    <row r="608" s="22" customFormat="1" spans="1:10">
      <c r="A608" s="26" t="s">
        <v>1192</v>
      </c>
      <c r="B608" s="27" t="s">
        <v>271</v>
      </c>
      <c r="C608" s="27" t="s">
        <v>19</v>
      </c>
      <c r="D608" s="27" t="s">
        <v>38</v>
      </c>
      <c r="E608" s="27" t="s">
        <v>77</v>
      </c>
      <c r="F608" s="27" t="s">
        <v>22</v>
      </c>
      <c r="G608" s="27" t="s">
        <v>34</v>
      </c>
      <c r="H608" s="28">
        <v>44291</v>
      </c>
      <c r="I608" s="27">
        <v>171159</v>
      </c>
      <c r="J608" s="29" t="s">
        <v>419</v>
      </c>
    </row>
    <row r="609" s="22" customFormat="1" spans="1:10">
      <c r="A609" s="30" t="s">
        <v>1193</v>
      </c>
      <c r="B609" s="31" t="s">
        <v>717</v>
      </c>
      <c r="C609" s="31" t="s">
        <v>12</v>
      </c>
      <c r="D609" s="31" t="s">
        <v>13</v>
      </c>
      <c r="E609" s="31" t="s">
        <v>223</v>
      </c>
      <c r="F609" s="31" t="s">
        <v>15</v>
      </c>
      <c r="G609" s="31" t="s">
        <v>28</v>
      </c>
      <c r="H609" s="32">
        <v>45790</v>
      </c>
      <c r="I609" s="31">
        <v>202406</v>
      </c>
      <c r="J609" s="33" t="s">
        <v>621</v>
      </c>
    </row>
    <row r="610" s="22" customFormat="1" spans="1:10">
      <c r="A610" s="26" t="s">
        <v>1194</v>
      </c>
      <c r="B610" s="27" t="s">
        <v>997</v>
      </c>
      <c r="C610" s="27" t="s">
        <v>19</v>
      </c>
      <c r="D610" s="27" t="s">
        <v>92</v>
      </c>
      <c r="E610" s="27" t="s">
        <v>189</v>
      </c>
      <c r="F610" s="27" t="s">
        <v>15</v>
      </c>
      <c r="G610" s="27" t="s">
        <v>16</v>
      </c>
      <c r="H610" s="28">
        <v>43164</v>
      </c>
      <c r="I610" s="27">
        <v>153772</v>
      </c>
      <c r="J610" s="29" t="s">
        <v>347</v>
      </c>
    </row>
    <row r="611" s="22" customFormat="1" spans="1:10">
      <c r="A611" s="30" t="s">
        <v>1195</v>
      </c>
      <c r="B611" s="31" t="s">
        <v>1196</v>
      </c>
      <c r="C611" s="31" t="s">
        <v>19</v>
      </c>
      <c r="D611" s="31" t="s">
        <v>26</v>
      </c>
      <c r="E611" s="31" t="s">
        <v>61</v>
      </c>
      <c r="F611" s="31" t="s">
        <v>15</v>
      </c>
      <c r="G611" s="31" t="s">
        <v>62</v>
      </c>
      <c r="H611" s="32">
        <v>43876</v>
      </c>
      <c r="I611" s="31">
        <v>133813</v>
      </c>
      <c r="J611" s="33" t="s">
        <v>386</v>
      </c>
    </row>
    <row r="612" s="22" customFormat="1" spans="1:10">
      <c r="A612" s="26" t="s">
        <v>1197</v>
      </c>
      <c r="B612" s="27" t="s">
        <v>69</v>
      </c>
      <c r="C612" s="27" t="s">
        <v>12</v>
      </c>
      <c r="D612" s="27" t="s">
        <v>38</v>
      </c>
      <c r="E612" s="27" t="s">
        <v>39</v>
      </c>
      <c r="F612" s="27" t="s">
        <v>15</v>
      </c>
      <c r="G612" s="27" t="s">
        <v>16</v>
      </c>
      <c r="H612" s="28">
        <v>45148</v>
      </c>
      <c r="I612" s="27">
        <v>228212</v>
      </c>
      <c r="J612" s="29" t="s">
        <v>234</v>
      </c>
    </row>
    <row r="613" s="22" customFormat="1" spans="1:10">
      <c r="A613" s="30" t="s">
        <v>1198</v>
      </c>
      <c r="B613" s="31" t="s">
        <v>948</v>
      </c>
      <c r="C613" s="31" t="s">
        <v>19</v>
      </c>
      <c r="D613" s="31" t="s">
        <v>52</v>
      </c>
      <c r="E613" s="31" t="s">
        <v>120</v>
      </c>
      <c r="F613" s="31" t="s">
        <v>15</v>
      </c>
      <c r="G613" s="31" t="s">
        <v>94</v>
      </c>
      <c r="H613" s="32">
        <v>44706</v>
      </c>
      <c r="I613" s="31">
        <v>154087</v>
      </c>
      <c r="J613" s="33" t="s">
        <v>529</v>
      </c>
    </row>
    <row r="614" s="22" customFormat="1" spans="1:10">
      <c r="A614" s="26" t="s">
        <v>1199</v>
      </c>
      <c r="B614" s="27" t="s">
        <v>1168</v>
      </c>
      <c r="C614" s="27" t="s">
        <v>12</v>
      </c>
      <c r="D614" s="27" t="s">
        <v>32</v>
      </c>
      <c r="E614" s="27" t="s">
        <v>130</v>
      </c>
      <c r="F614" s="27" t="s">
        <v>15</v>
      </c>
      <c r="G614" s="27" t="s">
        <v>94</v>
      </c>
      <c r="H614" s="28">
        <v>44174</v>
      </c>
      <c r="I614" s="27">
        <v>99530</v>
      </c>
      <c r="J614" s="29" t="s">
        <v>243</v>
      </c>
    </row>
    <row r="615" s="22" customFormat="1" spans="1:10">
      <c r="A615" s="30" t="s">
        <v>1200</v>
      </c>
      <c r="B615" s="31" t="s">
        <v>1201</v>
      </c>
      <c r="C615" s="31" t="s">
        <v>19</v>
      </c>
      <c r="D615" s="31" t="s">
        <v>38</v>
      </c>
      <c r="E615" s="31" t="s">
        <v>66</v>
      </c>
      <c r="F615" s="31" t="s">
        <v>15</v>
      </c>
      <c r="G615" s="31" t="s">
        <v>40</v>
      </c>
      <c r="H615" s="32">
        <v>44261</v>
      </c>
      <c r="I615" s="31">
        <v>105296</v>
      </c>
      <c r="J615" s="33"/>
    </row>
    <row r="616" s="22" customFormat="1" spans="1:10">
      <c r="A616" s="26" t="s">
        <v>1202</v>
      </c>
      <c r="B616" s="27" t="s">
        <v>1203</v>
      </c>
      <c r="C616" s="27" t="s">
        <v>19</v>
      </c>
      <c r="D616" s="27" t="s">
        <v>52</v>
      </c>
      <c r="E616" s="27" t="s">
        <v>246</v>
      </c>
      <c r="F616" s="27" t="s">
        <v>48</v>
      </c>
      <c r="G616" s="27" t="s">
        <v>40</v>
      </c>
      <c r="H616" s="28">
        <v>45521</v>
      </c>
      <c r="I616" s="27">
        <v>76276</v>
      </c>
      <c r="J616" s="29" t="s">
        <v>799</v>
      </c>
    </row>
    <row r="617" s="22" customFormat="1" spans="1:10">
      <c r="A617" s="30" t="s">
        <v>1204</v>
      </c>
      <c r="B617" s="31" t="s">
        <v>1165</v>
      </c>
      <c r="C617" s="31" t="s">
        <v>19</v>
      </c>
      <c r="D617" s="31" t="s">
        <v>20</v>
      </c>
      <c r="E617" s="31" t="s">
        <v>21</v>
      </c>
      <c r="F617" s="31" t="s">
        <v>15</v>
      </c>
      <c r="G617" s="31" t="s">
        <v>34</v>
      </c>
      <c r="H617" s="32">
        <v>43524</v>
      </c>
      <c r="I617" s="31">
        <v>68846</v>
      </c>
      <c r="J617" s="33" t="s">
        <v>865</v>
      </c>
    </row>
    <row r="618" s="22" customFormat="1" spans="1:10">
      <c r="A618" s="26" t="s">
        <v>280</v>
      </c>
      <c r="B618" s="27" t="s">
        <v>614</v>
      </c>
      <c r="C618" s="27" t="s">
        <v>12</v>
      </c>
      <c r="D618" s="27" t="s">
        <v>38</v>
      </c>
      <c r="E618" s="27" t="s">
        <v>84</v>
      </c>
      <c r="F618" s="27" t="s">
        <v>48</v>
      </c>
      <c r="G618" s="27" t="s">
        <v>94</v>
      </c>
      <c r="H618" s="28">
        <v>45557</v>
      </c>
      <c r="I618" s="27">
        <v>124898</v>
      </c>
      <c r="J618" s="29"/>
    </row>
    <row r="619" s="22" customFormat="1" spans="1:10">
      <c r="A619" s="30" t="s">
        <v>727</v>
      </c>
      <c r="B619" s="31" t="s">
        <v>590</v>
      </c>
      <c r="C619" s="31" t="s">
        <v>19</v>
      </c>
      <c r="D619" s="31" t="s">
        <v>87</v>
      </c>
      <c r="E619" s="31" t="s">
        <v>349</v>
      </c>
      <c r="F619" s="31" t="s">
        <v>15</v>
      </c>
      <c r="G619" s="31" t="s">
        <v>62</v>
      </c>
      <c r="H619" s="32">
        <v>43934</v>
      </c>
      <c r="I619" s="31">
        <v>316684</v>
      </c>
      <c r="J619" s="33" t="s">
        <v>190</v>
      </c>
    </row>
    <row r="620" s="22" customFormat="1" spans="1:10">
      <c r="A620" s="26" t="s">
        <v>1205</v>
      </c>
      <c r="B620" s="27" t="s">
        <v>698</v>
      </c>
      <c r="C620" s="27" t="s">
        <v>12</v>
      </c>
      <c r="D620" s="27" t="s">
        <v>52</v>
      </c>
      <c r="E620" s="27" t="s">
        <v>120</v>
      </c>
      <c r="F620" s="27" t="s">
        <v>15</v>
      </c>
      <c r="G620" s="27" t="s">
        <v>28</v>
      </c>
      <c r="H620" s="28">
        <v>44429</v>
      </c>
      <c r="I620" s="27">
        <v>104626</v>
      </c>
      <c r="J620" s="29" t="s">
        <v>201</v>
      </c>
    </row>
    <row r="621" s="22" customFormat="1" spans="1:10">
      <c r="A621" s="30" t="s">
        <v>1206</v>
      </c>
      <c r="B621" s="31" t="s">
        <v>1155</v>
      </c>
      <c r="C621" s="31" t="s">
        <v>19</v>
      </c>
      <c r="D621" s="31" t="s">
        <v>26</v>
      </c>
      <c r="E621" s="31" t="s">
        <v>294</v>
      </c>
      <c r="F621" s="31" t="s">
        <v>15</v>
      </c>
      <c r="G621" s="31" t="s">
        <v>94</v>
      </c>
      <c r="H621" s="32">
        <v>44530</v>
      </c>
      <c r="I621" s="31">
        <v>254832</v>
      </c>
      <c r="J621" s="33" t="s">
        <v>574</v>
      </c>
    </row>
    <row r="622" s="22" customFormat="1" spans="1:10">
      <c r="A622" s="26" t="s">
        <v>1207</v>
      </c>
      <c r="B622" s="27" t="s">
        <v>155</v>
      </c>
      <c r="C622" s="27" t="s">
        <v>19</v>
      </c>
      <c r="D622" s="27" t="s">
        <v>38</v>
      </c>
      <c r="E622" s="27" t="s">
        <v>140</v>
      </c>
      <c r="F622" s="27" t="s">
        <v>22</v>
      </c>
      <c r="G622" s="27" t="s">
        <v>34</v>
      </c>
      <c r="H622" s="28">
        <v>44084</v>
      </c>
      <c r="I622" s="27">
        <v>235691</v>
      </c>
      <c r="J622" s="29" t="s">
        <v>806</v>
      </c>
    </row>
    <row r="623" s="22" customFormat="1" spans="1:10">
      <c r="A623" s="30" t="s">
        <v>1208</v>
      </c>
      <c r="B623" s="31" t="s">
        <v>351</v>
      </c>
      <c r="C623" s="31" t="s">
        <v>19</v>
      </c>
      <c r="D623" s="31" t="s">
        <v>38</v>
      </c>
      <c r="E623" s="31" t="s">
        <v>77</v>
      </c>
      <c r="F623" s="31" t="s">
        <v>15</v>
      </c>
      <c r="G623" s="31" t="s">
        <v>40</v>
      </c>
      <c r="H623" s="32">
        <v>43033</v>
      </c>
      <c r="I623" s="31">
        <v>107528</v>
      </c>
      <c r="J623" s="33" t="s">
        <v>1001</v>
      </c>
    </row>
    <row r="624" s="22" customFormat="1" spans="1:10">
      <c r="A624" s="26" t="s">
        <v>1209</v>
      </c>
      <c r="B624" s="27" t="s">
        <v>1155</v>
      </c>
      <c r="C624" s="27" t="s">
        <v>19</v>
      </c>
      <c r="D624" s="27" t="s">
        <v>13</v>
      </c>
      <c r="E624" s="27" t="s">
        <v>165</v>
      </c>
      <c r="F624" s="27" t="s">
        <v>15</v>
      </c>
      <c r="G624" s="27" t="s">
        <v>28</v>
      </c>
      <c r="H624" s="28">
        <v>45715</v>
      </c>
      <c r="I624" s="27">
        <v>125443</v>
      </c>
      <c r="J624" s="29" t="s">
        <v>369</v>
      </c>
    </row>
    <row r="625" s="22" customFormat="1" spans="1:10">
      <c r="A625" s="30" t="s">
        <v>536</v>
      </c>
      <c r="B625" s="31" t="s">
        <v>267</v>
      </c>
      <c r="C625" s="31" t="s">
        <v>19</v>
      </c>
      <c r="D625" s="31" t="s">
        <v>92</v>
      </c>
      <c r="E625" s="31" t="s">
        <v>193</v>
      </c>
      <c r="F625" s="31" t="s">
        <v>22</v>
      </c>
      <c r="G625" s="31" t="s">
        <v>16</v>
      </c>
      <c r="H625" s="32">
        <v>43187</v>
      </c>
      <c r="I625" s="31">
        <v>229318</v>
      </c>
      <c r="J625" s="33" t="s">
        <v>99</v>
      </c>
    </row>
    <row r="626" s="22" customFormat="1" spans="1:10">
      <c r="A626" s="26" t="s">
        <v>1210</v>
      </c>
      <c r="B626" s="27" t="s">
        <v>1211</v>
      </c>
      <c r="C626" s="27" t="s">
        <v>19</v>
      </c>
      <c r="D626" s="27" t="s">
        <v>32</v>
      </c>
      <c r="E626" s="27" t="s">
        <v>57</v>
      </c>
      <c r="F626" s="27" t="s">
        <v>15</v>
      </c>
      <c r="G626" s="27" t="s">
        <v>16</v>
      </c>
      <c r="H626" s="28">
        <v>45651</v>
      </c>
      <c r="I626" s="27">
        <v>69161</v>
      </c>
      <c r="J626" s="29" t="s">
        <v>227</v>
      </c>
    </row>
    <row r="627" s="22" customFormat="1" spans="1:10">
      <c r="A627" s="30" t="s">
        <v>1212</v>
      </c>
      <c r="B627" s="31" t="s">
        <v>384</v>
      </c>
      <c r="C627" s="31" t="s">
        <v>12</v>
      </c>
      <c r="D627" s="31" t="s">
        <v>13</v>
      </c>
      <c r="E627" s="31" t="s">
        <v>223</v>
      </c>
      <c r="F627" s="31" t="s">
        <v>15</v>
      </c>
      <c r="G627" s="31" t="s">
        <v>62</v>
      </c>
      <c r="H627" s="32">
        <v>44846</v>
      </c>
      <c r="I627" s="31">
        <v>162546</v>
      </c>
      <c r="J627" s="33" t="s">
        <v>183</v>
      </c>
    </row>
    <row r="628" s="22" customFormat="1" spans="1:10">
      <c r="A628" s="26" t="s">
        <v>1213</v>
      </c>
      <c r="B628" s="27" t="s">
        <v>703</v>
      </c>
      <c r="C628" s="27" t="s">
        <v>19</v>
      </c>
      <c r="D628" s="27" t="s">
        <v>13</v>
      </c>
      <c r="E628" s="27" t="s">
        <v>14</v>
      </c>
      <c r="F628" s="27" t="s">
        <v>48</v>
      </c>
      <c r="G628" s="27" t="s">
        <v>34</v>
      </c>
      <c r="H628" s="28">
        <v>42936</v>
      </c>
      <c r="I628" s="27">
        <v>113537</v>
      </c>
      <c r="J628" s="29" t="s">
        <v>259</v>
      </c>
    </row>
    <row r="629" s="22" customFormat="1" spans="1:10">
      <c r="A629" s="30" t="s">
        <v>1214</v>
      </c>
      <c r="B629" s="31" t="s">
        <v>1215</v>
      </c>
      <c r="C629" s="31" t="s">
        <v>19</v>
      </c>
      <c r="D629" s="31" t="s">
        <v>26</v>
      </c>
      <c r="E629" s="31" t="s">
        <v>61</v>
      </c>
      <c r="F629" s="31" t="s">
        <v>15</v>
      </c>
      <c r="G629" s="31" t="s">
        <v>40</v>
      </c>
      <c r="H629" s="32">
        <v>43394</v>
      </c>
      <c r="I629" s="31">
        <v>162823</v>
      </c>
      <c r="J629" s="33" t="s">
        <v>842</v>
      </c>
    </row>
    <row r="630" s="22" customFormat="1" spans="1:10">
      <c r="A630" s="26" t="s">
        <v>1216</v>
      </c>
      <c r="B630" s="27" t="s">
        <v>1217</v>
      </c>
      <c r="C630" s="27" t="s">
        <v>19</v>
      </c>
      <c r="D630" s="27" t="s">
        <v>38</v>
      </c>
      <c r="E630" s="27" t="s">
        <v>77</v>
      </c>
      <c r="F630" s="27" t="s">
        <v>15</v>
      </c>
      <c r="G630" s="27" t="s">
        <v>94</v>
      </c>
      <c r="H630" s="28">
        <v>42583</v>
      </c>
      <c r="I630" s="27">
        <v>156024</v>
      </c>
      <c r="J630" s="29"/>
    </row>
    <row r="631" s="22" customFormat="1" spans="1:10">
      <c r="A631" s="30" t="s">
        <v>134</v>
      </c>
      <c r="B631" s="31" t="s">
        <v>1218</v>
      </c>
      <c r="C631" s="31" t="s">
        <v>12</v>
      </c>
      <c r="D631" s="31" t="s">
        <v>87</v>
      </c>
      <c r="E631" s="31" t="s">
        <v>156</v>
      </c>
      <c r="F631" s="31" t="s">
        <v>48</v>
      </c>
      <c r="G631" s="31" t="s">
        <v>28</v>
      </c>
      <c r="H631" s="32">
        <v>44996</v>
      </c>
      <c r="I631" s="31">
        <v>143628</v>
      </c>
      <c r="J631" s="33" t="s">
        <v>721</v>
      </c>
    </row>
    <row r="632" s="22" customFormat="1" spans="1:10">
      <c r="A632" s="26" t="s">
        <v>1219</v>
      </c>
      <c r="B632" s="27" t="s">
        <v>754</v>
      </c>
      <c r="C632" s="27" t="s">
        <v>146</v>
      </c>
      <c r="D632" s="27" t="s">
        <v>26</v>
      </c>
      <c r="E632" s="27" t="s">
        <v>294</v>
      </c>
      <c r="F632" s="27" t="s">
        <v>15</v>
      </c>
      <c r="G632" s="27" t="s">
        <v>28</v>
      </c>
      <c r="H632" s="28">
        <v>44338</v>
      </c>
      <c r="I632" s="27">
        <v>250336</v>
      </c>
      <c r="J632" s="29" t="s">
        <v>1220</v>
      </c>
    </row>
    <row r="633" s="22" customFormat="1" spans="1:10">
      <c r="A633" s="30" t="s">
        <v>1221</v>
      </c>
      <c r="B633" s="31" t="s">
        <v>1222</v>
      </c>
      <c r="C633" s="31" t="s">
        <v>19</v>
      </c>
      <c r="D633" s="31" t="s">
        <v>52</v>
      </c>
      <c r="E633" s="31" t="s">
        <v>246</v>
      </c>
      <c r="F633" s="31" t="s">
        <v>15</v>
      </c>
      <c r="G633" s="31" t="s">
        <v>94</v>
      </c>
      <c r="H633" s="32">
        <v>43890</v>
      </c>
      <c r="I633" s="31">
        <v>126833</v>
      </c>
      <c r="J633" s="33"/>
    </row>
    <row r="634" s="22" customFormat="1" spans="1:10">
      <c r="A634" s="26" t="s">
        <v>1223</v>
      </c>
      <c r="B634" s="27" t="s">
        <v>1224</v>
      </c>
      <c r="C634" s="27" t="s">
        <v>19</v>
      </c>
      <c r="D634" s="27" t="s">
        <v>92</v>
      </c>
      <c r="E634" s="27" t="s">
        <v>93</v>
      </c>
      <c r="F634" s="27" t="s">
        <v>15</v>
      </c>
      <c r="G634" s="27" t="s">
        <v>16</v>
      </c>
      <c r="H634" s="28">
        <v>44641</v>
      </c>
      <c r="I634" s="27">
        <v>98625</v>
      </c>
      <c r="J634" s="29" t="s">
        <v>240</v>
      </c>
    </row>
    <row r="635" s="22" customFormat="1" spans="1:10">
      <c r="A635" s="30" t="s">
        <v>1225</v>
      </c>
      <c r="B635" s="31" t="s">
        <v>750</v>
      </c>
      <c r="C635" s="31" t="s">
        <v>19</v>
      </c>
      <c r="D635" s="31" t="s">
        <v>92</v>
      </c>
      <c r="E635" s="31" t="s">
        <v>126</v>
      </c>
      <c r="F635" s="31" t="s">
        <v>15</v>
      </c>
      <c r="G635" s="31" t="s">
        <v>62</v>
      </c>
      <c r="H635" s="32">
        <v>42790</v>
      </c>
      <c r="I635" s="31">
        <v>181577</v>
      </c>
      <c r="J635" s="33" t="s">
        <v>58</v>
      </c>
    </row>
    <row r="636" s="22" customFormat="1" spans="1:10">
      <c r="A636" s="26" t="s">
        <v>1039</v>
      </c>
      <c r="B636" s="27" t="s">
        <v>1090</v>
      </c>
      <c r="C636" s="27" t="s">
        <v>19</v>
      </c>
      <c r="D636" s="27" t="s">
        <v>38</v>
      </c>
      <c r="E636" s="27" t="s">
        <v>84</v>
      </c>
      <c r="F636" s="27" t="s">
        <v>22</v>
      </c>
      <c r="G636" s="27" t="s">
        <v>34</v>
      </c>
      <c r="H636" s="28">
        <v>45283</v>
      </c>
      <c r="I636" s="27">
        <v>264639</v>
      </c>
      <c r="J636" s="29" t="s">
        <v>663</v>
      </c>
    </row>
    <row r="637" s="22" customFormat="1" spans="1:10">
      <c r="A637" s="30" t="s">
        <v>1226</v>
      </c>
      <c r="B637" s="31" t="s">
        <v>934</v>
      </c>
      <c r="C637" s="31" t="s">
        <v>19</v>
      </c>
      <c r="D637" s="31" t="s">
        <v>13</v>
      </c>
      <c r="E637" s="31" t="s">
        <v>14</v>
      </c>
      <c r="F637" s="31" t="s">
        <v>15</v>
      </c>
      <c r="G637" s="31" t="s">
        <v>40</v>
      </c>
      <c r="H637" s="32">
        <v>45834</v>
      </c>
      <c r="I637" s="31">
        <v>49291</v>
      </c>
      <c r="J637" s="33" t="s">
        <v>838</v>
      </c>
    </row>
    <row r="638" s="22" customFormat="1" spans="1:10">
      <c r="A638" s="26" t="s">
        <v>1227</v>
      </c>
      <c r="B638" s="27" t="s">
        <v>1029</v>
      </c>
      <c r="C638" s="27" t="s">
        <v>19</v>
      </c>
      <c r="D638" s="27" t="s">
        <v>92</v>
      </c>
      <c r="E638" s="27" t="s">
        <v>391</v>
      </c>
      <c r="F638" s="27" t="s">
        <v>15</v>
      </c>
      <c r="G638" s="27" t="s">
        <v>16</v>
      </c>
      <c r="H638" s="28">
        <v>44483</v>
      </c>
      <c r="I638" s="27">
        <v>128115</v>
      </c>
      <c r="J638" s="29" t="s">
        <v>929</v>
      </c>
    </row>
    <row r="639" s="22" customFormat="1" spans="1:10">
      <c r="A639" s="30" t="s">
        <v>1228</v>
      </c>
      <c r="B639" s="31" t="s">
        <v>1229</v>
      </c>
      <c r="C639" s="31" t="s">
        <v>19</v>
      </c>
      <c r="D639" s="31" t="s">
        <v>87</v>
      </c>
      <c r="E639" s="31" t="s">
        <v>88</v>
      </c>
      <c r="F639" s="31" t="s">
        <v>48</v>
      </c>
      <c r="G639" s="31" t="s">
        <v>16</v>
      </c>
      <c r="H639" s="32">
        <v>45856</v>
      </c>
      <c r="I639" s="31">
        <v>188148</v>
      </c>
      <c r="J639" s="33" t="s">
        <v>71</v>
      </c>
    </row>
    <row r="640" s="22" customFormat="1" spans="1:10">
      <c r="A640" s="26" t="s">
        <v>539</v>
      </c>
      <c r="B640" s="27" t="s">
        <v>1230</v>
      </c>
      <c r="C640" s="27" t="s">
        <v>19</v>
      </c>
      <c r="D640" s="27" t="s">
        <v>87</v>
      </c>
      <c r="E640" s="27" t="s">
        <v>111</v>
      </c>
      <c r="F640" s="27" t="s">
        <v>15</v>
      </c>
      <c r="G640" s="27" t="s">
        <v>40</v>
      </c>
      <c r="H640" s="28">
        <v>42880</v>
      </c>
      <c r="I640" s="27">
        <v>138471</v>
      </c>
      <c r="J640" s="29" t="s">
        <v>464</v>
      </c>
    </row>
    <row r="641" s="22" customFormat="1" spans="1:10">
      <c r="A641" s="30" t="s">
        <v>1077</v>
      </c>
      <c r="B641" s="31" t="s">
        <v>652</v>
      </c>
      <c r="C641" s="31" t="s">
        <v>19</v>
      </c>
      <c r="D641" s="31" t="s">
        <v>13</v>
      </c>
      <c r="E641" s="31" t="s">
        <v>98</v>
      </c>
      <c r="F641" s="31" t="s">
        <v>15</v>
      </c>
      <c r="G641" s="31" t="s">
        <v>28</v>
      </c>
      <c r="H641" s="32">
        <v>43537</v>
      </c>
      <c r="I641" s="31">
        <v>133251</v>
      </c>
      <c r="J641" s="33" t="s">
        <v>397</v>
      </c>
    </row>
    <row r="642" s="22" customFormat="1" spans="1:10">
      <c r="A642" s="26" t="s">
        <v>1231</v>
      </c>
      <c r="B642" s="27" t="s">
        <v>1232</v>
      </c>
      <c r="C642" s="27" t="s">
        <v>146</v>
      </c>
      <c r="D642" s="27" t="s">
        <v>38</v>
      </c>
      <c r="E642" s="27" t="s">
        <v>140</v>
      </c>
      <c r="F642" s="27" t="s">
        <v>15</v>
      </c>
      <c r="G642" s="27" t="s">
        <v>94</v>
      </c>
      <c r="H642" s="28">
        <v>42713</v>
      </c>
      <c r="I642" s="27">
        <v>229364</v>
      </c>
      <c r="J642" s="29" t="s">
        <v>334</v>
      </c>
    </row>
    <row r="643" s="22" customFormat="1" spans="1:10">
      <c r="A643" s="30" t="s">
        <v>671</v>
      </c>
      <c r="B643" s="31" t="s">
        <v>888</v>
      </c>
      <c r="C643" s="31" t="s">
        <v>12</v>
      </c>
      <c r="D643" s="31" t="s">
        <v>13</v>
      </c>
      <c r="E643" s="31" t="s">
        <v>98</v>
      </c>
      <c r="F643" s="31" t="s">
        <v>15</v>
      </c>
      <c r="G643" s="31" t="s">
        <v>94</v>
      </c>
      <c r="H643" s="32">
        <v>45495</v>
      </c>
      <c r="I643" s="31">
        <v>135297</v>
      </c>
      <c r="J643" s="33"/>
    </row>
    <row r="644" s="22" customFormat="1" spans="1:10">
      <c r="A644" s="26" t="s">
        <v>1233</v>
      </c>
      <c r="B644" s="27" t="s">
        <v>1234</v>
      </c>
      <c r="C644" s="27" t="s">
        <v>12</v>
      </c>
      <c r="D644" s="27" t="s">
        <v>38</v>
      </c>
      <c r="E644" s="27" t="s">
        <v>140</v>
      </c>
      <c r="F644" s="27" t="s">
        <v>15</v>
      </c>
      <c r="G644" s="27" t="s">
        <v>40</v>
      </c>
      <c r="H644" s="28">
        <v>43026</v>
      </c>
      <c r="I644" s="27">
        <v>215631</v>
      </c>
      <c r="J644" s="29" t="s">
        <v>191</v>
      </c>
    </row>
    <row r="645" s="22" customFormat="1" spans="1:10">
      <c r="A645" s="30" t="s">
        <v>1235</v>
      </c>
      <c r="B645" s="31" t="s">
        <v>1236</v>
      </c>
      <c r="C645" s="31" t="s">
        <v>19</v>
      </c>
      <c r="D645" s="31" t="s">
        <v>13</v>
      </c>
      <c r="E645" s="31" t="s">
        <v>223</v>
      </c>
      <c r="F645" s="31" t="s">
        <v>15</v>
      </c>
      <c r="G645" s="31" t="s">
        <v>62</v>
      </c>
      <c r="H645" s="32">
        <v>43487</v>
      </c>
      <c r="I645" s="31">
        <v>125647</v>
      </c>
      <c r="J645" s="33" t="s">
        <v>374</v>
      </c>
    </row>
    <row r="646" s="22" customFormat="1" spans="1:10">
      <c r="A646" s="26" t="s">
        <v>1237</v>
      </c>
      <c r="B646" s="27" t="s">
        <v>1238</v>
      </c>
      <c r="C646" s="27" t="s">
        <v>12</v>
      </c>
      <c r="D646" s="27" t="s">
        <v>38</v>
      </c>
      <c r="E646" s="27" t="s">
        <v>77</v>
      </c>
      <c r="F646" s="27" t="s">
        <v>15</v>
      </c>
      <c r="G646" s="27" t="s">
        <v>16</v>
      </c>
      <c r="H646" s="28">
        <v>44210</v>
      </c>
      <c r="I646" s="27">
        <v>129283</v>
      </c>
      <c r="J646" s="29" t="s">
        <v>115</v>
      </c>
    </row>
    <row r="647" s="22" customFormat="1" spans="1:10">
      <c r="A647" s="30" t="s">
        <v>54</v>
      </c>
      <c r="B647" s="31" t="s">
        <v>282</v>
      </c>
      <c r="C647" s="31" t="s">
        <v>19</v>
      </c>
      <c r="D647" s="31" t="s">
        <v>52</v>
      </c>
      <c r="E647" s="31" t="s">
        <v>53</v>
      </c>
      <c r="F647" s="31" t="s">
        <v>15</v>
      </c>
      <c r="G647" s="31" t="s">
        <v>62</v>
      </c>
      <c r="H647" s="32">
        <v>44472</v>
      </c>
      <c r="I647" s="31">
        <v>144222</v>
      </c>
      <c r="J647" s="33" t="s">
        <v>347</v>
      </c>
    </row>
    <row r="648" s="22" customFormat="1" spans="1:10">
      <c r="A648" s="26" t="s">
        <v>1239</v>
      </c>
      <c r="B648" s="27" t="s">
        <v>942</v>
      </c>
      <c r="C648" s="27" t="s">
        <v>12</v>
      </c>
      <c r="D648" s="27" t="s">
        <v>32</v>
      </c>
      <c r="E648" s="27" t="s">
        <v>57</v>
      </c>
      <c r="F648" s="27" t="s">
        <v>15</v>
      </c>
      <c r="G648" s="27" t="s">
        <v>28</v>
      </c>
      <c r="H648" s="28">
        <v>42973</v>
      </c>
      <c r="I648" s="27">
        <v>98071</v>
      </c>
      <c r="J648" s="29" t="s">
        <v>115</v>
      </c>
    </row>
    <row r="649" s="22" customFormat="1" spans="1:10">
      <c r="A649" s="30" t="s">
        <v>67</v>
      </c>
      <c r="B649" s="31" t="s">
        <v>362</v>
      </c>
      <c r="C649" s="31" t="s">
        <v>12</v>
      </c>
      <c r="D649" s="31" t="s">
        <v>26</v>
      </c>
      <c r="E649" s="31" t="s">
        <v>27</v>
      </c>
      <c r="F649" s="31" t="s">
        <v>15</v>
      </c>
      <c r="G649" s="31" t="s">
        <v>94</v>
      </c>
      <c r="H649" s="32">
        <v>45773</v>
      </c>
      <c r="I649" s="31">
        <v>198142</v>
      </c>
      <c r="J649" s="33" t="s">
        <v>95</v>
      </c>
    </row>
    <row r="650" s="22" customFormat="1" spans="1:10">
      <c r="A650" s="26" t="s">
        <v>1003</v>
      </c>
      <c r="B650" s="27" t="s">
        <v>1240</v>
      </c>
      <c r="C650" s="27" t="s">
        <v>19</v>
      </c>
      <c r="D650" s="27" t="s">
        <v>52</v>
      </c>
      <c r="E650" s="27" t="s">
        <v>53</v>
      </c>
      <c r="F650" s="27" t="s">
        <v>15</v>
      </c>
      <c r="G650" s="27" t="s">
        <v>34</v>
      </c>
      <c r="H650" s="28">
        <v>44161</v>
      </c>
      <c r="I650" s="27">
        <v>143186</v>
      </c>
      <c r="J650" s="29" t="s">
        <v>582</v>
      </c>
    </row>
    <row r="651" s="22" customFormat="1" spans="1:10">
      <c r="A651" s="30" t="s">
        <v>1241</v>
      </c>
      <c r="B651" s="31" t="s">
        <v>1242</v>
      </c>
      <c r="C651" s="31" t="s">
        <v>19</v>
      </c>
      <c r="D651" s="31" t="s">
        <v>92</v>
      </c>
      <c r="E651" s="31" t="s">
        <v>126</v>
      </c>
      <c r="F651" s="31" t="s">
        <v>15</v>
      </c>
      <c r="G651" s="31" t="s">
        <v>34</v>
      </c>
      <c r="H651" s="32">
        <v>42745</v>
      </c>
      <c r="I651" s="31">
        <v>107440</v>
      </c>
      <c r="J651" s="33" t="s">
        <v>879</v>
      </c>
    </row>
    <row r="652" s="22" customFormat="1" spans="1:10">
      <c r="A652" s="26" t="s">
        <v>1243</v>
      </c>
      <c r="B652" s="27" t="s">
        <v>504</v>
      </c>
      <c r="C652" s="27" t="s">
        <v>19</v>
      </c>
      <c r="D652" s="27" t="s">
        <v>38</v>
      </c>
      <c r="E652" s="27" t="s">
        <v>77</v>
      </c>
      <c r="F652" s="27" t="s">
        <v>15</v>
      </c>
      <c r="G652" s="27" t="s">
        <v>34</v>
      </c>
      <c r="H652" s="28">
        <v>43279</v>
      </c>
      <c r="I652" s="27">
        <v>139534</v>
      </c>
      <c r="J652" s="29" t="s">
        <v>197</v>
      </c>
    </row>
    <row r="653" s="22" customFormat="1" spans="1:10">
      <c r="A653" s="30" t="s">
        <v>1244</v>
      </c>
      <c r="B653" s="31" t="s">
        <v>1187</v>
      </c>
      <c r="C653" s="31" t="s">
        <v>19</v>
      </c>
      <c r="D653" s="31" t="s">
        <v>92</v>
      </c>
      <c r="E653" s="31" t="s">
        <v>391</v>
      </c>
      <c r="F653" s="31" t="s">
        <v>15</v>
      </c>
      <c r="G653" s="31" t="s">
        <v>62</v>
      </c>
      <c r="H653" s="32">
        <v>45715</v>
      </c>
      <c r="I653" s="31">
        <v>140432</v>
      </c>
      <c r="J653" s="33" t="s">
        <v>67</v>
      </c>
    </row>
    <row r="654" s="22" customFormat="1" spans="1:10">
      <c r="A654" s="26" t="s">
        <v>1245</v>
      </c>
      <c r="B654" s="27" t="s">
        <v>1246</v>
      </c>
      <c r="C654" s="27" t="s">
        <v>12</v>
      </c>
      <c r="D654" s="27" t="s">
        <v>92</v>
      </c>
      <c r="E654" s="27" t="s">
        <v>391</v>
      </c>
      <c r="F654" s="27" t="s">
        <v>15</v>
      </c>
      <c r="G654" s="27" t="s">
        <v>34</v>
      </c>
      <c r="H654" s="28">
        <v>44217</v>
      </c>
      <c r="I654" s="27">
        <v>163230</v>
      </c>
      <c r="J654" s="29" t="s">
        <v>72</v>
      </c>
    </row>
    <row r="655" s="22" customFormat="1" spans="1:10">
      <c r="A655" s="30" t="s">
        <v>1247</v>
      </c>
      <c r="B655" s="31" t="s">
        <v>1248</v>
      </c>
      <c r="C655" s="31" t="s">
        <v>19</v>
      </c>
      <c r="D655" s="31" t="s">
        <v>26</v>
      </c>
      <c r="E655" s="31" t="s">
        <v>61</v>
      </c>
      <c r="F655" s="31" t="s">
        <v>15</v>
      </c>
      <c r="G655" s="31" t="s">
        <v>16</v>
      </c>
      <c r="H655" s="32">
        <v>43801</v>
      </c>
      <c r="I655" s="31">
        <v>116495</v>
      </c>
      <c r="J655" s="33" t="s">
        <v>108</v>
      </c>
    </row>
    <row r="656" s="22" customFormat="1" spans="1:10">
      <c r="A656" s="26" t="s">
        <v>1249</v>
      </c>
      <c r="B656" s="27" t="s">
        <v>297</v>
      </c>
      <c r="C656" s="27" t="s">
        <v>12</v>
      </c>
      <c r="D656" s="27" t="s">
        <v>13</v>
      </c>
      <c r="E656" s="27" t="s">
        <v>14</v>
      </c>
      <c r="F656" s="27" t="s">
        <v>15</v>
      </c>
      <c r="G656" s="27" t="s">
        <v>16</v>
      </c>
      <c r="H656" s="28">
        <v>42479</v>
      </c>
      <c r="I656" s="27">
        <v>129832</v>
      </c>
      <c r="J656" s="29" t="s">
        <v>29</v>
      </c>
    </row>
    <row r="657" s="22" customFormat="1" spans="1:10">
      <c r="A657" s="30" t="s">
        <v>464</v>
      </c>
      <c r="B657" s="31" t="s">
        <v>1250</v>
      </c>
      <c r="C657" s="31" t="s">
        <v>19</v>
      </c>
      <c r="D657" s="31" t="s">
        <v>38</v>
      </c>
      <c r="E657" s="31" t="s">
        <v>84</v>
      </c>
      <c r="F657" s="31" t="s">
        <v>15</v>
      </c>
      <c r="G657" s="31" t="s">
        <v>34</v>
      </c>
      <c r="H657" s="32">
        <v>44069</v>
      </c>
      <c r="I657" s="31">
        <v>156323</v>
      </c>
      <c r="J657" s="33" t="s">
        <v>262</v>
      </c>
    </row>
    <row r="658" s="22" customFormat="1" spans="1:10">
      <c r="A658" s="26" t="s">
        <v>274</v>
      </c>
      <c r="B658" s="27" t="s">
        <v>1251</v>
      </c>
      <c r="C658" s="27" t="s">
        <v>19</v>
      </c>
      <c r="D658" s="27" t="s">
        <v>87</v>
      </c>
      <c r="E658" s="27" t="s">
        <v>156</v>
      </c>
      <c r="F658" s="27" t="s">
        <v>15</v>
      </c>
      <c r="G658" s="27" t="s">
        <v>40</v>
      </c>
      <c r="H658" s="28">
        <v>42588</v>
      </c>
      <c r="I658" s="27">
        <v>284958</v>
      </c>
      <c r="J658" s="29" t="s">
        <v>322</v>
      </c>
    </row>
    <row r="659" s="22" customFormat="1" spans="1:10">
      <c r="A659" s="30" t="s">
        <v>1252</v>
      </c>
      <c r="B659" s="31" t="s">
        <v>893</v>
      </c>
      <c r="C659" s="31" t="s">
        <v>12</v>
      </c>
      <c r="D659" s="31" t="s">
        <v>13</v>
      </c>
      <c r="E659" s="31" t="s">
        <v>165</v>
      </c>
      <c r="F659" s="31" t="s">
        <v>15</v>
      </c>
      <c r="G659" s="31" t="s">
        <v>94</v>
      </c>
      <c r="H659" s="32">
        <v>43993</v>
      </c>
      <c r="I659" s="31">
        <v>189635</v>
      </c>
      <c r="J659" s="33"/>
    </row>
    <row r="660" s="22" customFormat="1" spans="1:10">
      <c r="A660" s="26" t="s">
        <v>1253</v>
      </c>
      <c r="B660" s="27" t="s">
        <v>561</v>
      </c>
      <c r="C660" s="27" t="s">
        <v>19</v>
      </c>
      <c r="D660" s="27" t="s">
        <v>32</v>
      </c>
      <c r="E660" s="27" t="s">
        <v>130</v>
      </c>
      <c r="F660" s="27" t="s">
        <v>15</v>
      </c>
      <c r="G660" s="27" t="s">
        <v>94</v>
      </c>
      <c r="H660" s="28">
        <v>44426</v>
      </c>
      <c r="I660" s="27">
        <v>101750</v>
      </c>
      <c r="J660" s="29" t="s">
        <v>1036</v>
      </c>
    </row>
    <row r="661" s="22" customFormat="1" spans="1:10">
      <c r="A661" s="30" t="s">
        <v>1254</v>
      </c>
      <c r="B661" s="31" t="s">
        <v>1074</v>
      </c>
      <c r="C661" s="31" t="s">
        <v>19</v>
      </c>
      <c r="D661" s="31" t="s">
        <v>92</v>
      </c>
      <c r="E661" s="31" t="s">
        <v>391</v>
      </c>
      <c r="F661" s="31" t="s">
        <v>15</v>
      </c>
      <c r="G661" s="31" t="s">
        <v>28</v>
      </c>
      <c r="H661" s="32">
        <v>43901</v>
      </c>
      <c r="I661" s="31">
        <v>129219</v>
      </c>
      <c r="J661" s="33" t="s">
        <v>884</v>
      </c>
    </row>
    <row r="662" s="22" customFormat="1" spans="1:10">
      <c r="A662" s="26" t="s">
        <v>1255</v>
      </c>
      <c r="B662" s="27" t="s">
        <v>1256</v>
      </c>
      <c r="C662" s="27" t="s">
        <v>12</v>
      </c>
      <c r="D662" s="27" t="s">
        <v>13</v>
      </c>
      <c r="E662" s="27" t="s">
        <v>223</v>
      </c>
      <c r="F662" s="27" t="s">
        <v>15</v>
      </c>
      <c r="G662" s="27" t="s">
        <v>34</v>
      </c>
      <c r="H662" s="28">
        <v>43335</v>
      </c>
      <c r="I662" s="27">
        <v>223274</v>
      </c>
      <c r="J662" s="29" t="s">
        <v>127</v>
      </c>
    </row>
    <row r="663" s="22" customFormat="1" spans="1:10">
      <c r="A663" s="30" t="s">
        <v>1257</v>
      </c>
      <c r="B663" s="31" t="s">
        <v>1258</v>
      </c>
      <c r="C663" s="31" t="s">
        <v>19</v>
      </c>
      <c r="D663" s="31" t="s">
        <v>20</v>
      </c>
      <c r="E663" s="31" t="s">
        <v>21</v>
      </c>
      <c r="F663" s="31" t="s">
        <v>15</v>
      </c>
      <c r="G663" s="31" t="s">
        <v>94</v>
      </c>
      <c r="H663" s="32">
        <v>43951</v>
      </c>
      <c r="I663" s="31">
        <v>68587</v>
      </c>
      <c r="J663" s="33"/>
    </row>
    <row r="664" s="22" customFormat="1" spans="1:10">
      <c r="A664" s="26" t="s">
        <v>325</v>
      </c>
      <c r="B664" s="27" t="s">
        <v>771</v>
      </c>
      <c r="C664" s="27" t="s">
        <v>293</v>
      </c>
      <c r="D664" s="27" t="s">
        <v>32</v>
      </c>
      <c r="E664" s="27" t="s">
        <v>208</v>
      </c>
      <c r="F664" s="27" t="s">
        <v>15</v>
      </c>
      <c r="G664" s="27" t="s">
        <v>94</v>
      </c>
      <c r="H664" s="28">
        <v>42704</v>
      </c>
      <c r="I664" s="27">
        <v>140584</v>
      </c>
      <c r="J664" s="29" t="s">
        <v>1122</v>
      </c>
    </row>
    <row r="665" s="22" customFormat="1" spans="1:10">
      <c r="A665" s="30" t="s">
        <v>1259</v>
      </c>
      <c r="B665" s="31" t="s">
        <v>1260</v>
      </c>
      <c r="C665" s="31" t="s">
        <v>19</v>
      </c>
      <c r="D665" s="31" t="s">
        <v>87</v>
      </c>
      <c r="E665" s="31" t="s">
        <v>156</v>
      </c>
      <c r="F665" s="31" t="s">
        <v>15</v>
      </c>
      <c r="G665" s="31" t="s">
        <v>62</v>
      </c>
      <c r="H665" s="32">
        <v>43905</v>
      </c>
      <c r="I665" s="31">
        <v>219962</v>
      </c>
      <c r="J665" s="33"/>
    </row>
    <row r="666" s="22" customFormat="1" spans="1:10">
      <c r="A666" s="26" t="s">
        <v>105</v>
      </c>
      <c r="B666" s="27" t="s">
        <v>1261</v>
      </c>
      <c r="C666" s="27" t="s">
        <v>12</v>
      </c>
      <c r="D666" s="27" t="s">
        <v>38</v>
      </c>
      <c r="E666" s="27" t="s">
        <v>84</v>
      </c>
      <c r="F666" s="27" t="s">
        <v>15</v>
      </c>
      <c r="G666" s="27" t="s">
        <v>40</v>
      </c>
      <c r="H666" s="28">
        <v>43289</v>
      </c>
      <c r="I666" s="27">
        <v>115007</v>
      </c>
      <c r="J666" s="29"/>
    </row>
    <row r="667" s="22" customFormat="1" spans="1:10">
      <c r="A667" s="30" t="s">
        <v>1262</v>
      </c>
      <c r="B667" s="31" t="s">
        <v>1263</v>
      </c>
      <c r="C667" s="31" t="s">
        <v>12</v>
      </c>
      <c r="D667" s="31" t="s">
        <v>38</v>
      </c>
      <c r="E667" s="31" t="s">
        <v>39</v>
      </c>
      <c r="F667" s="31" t="s">
        <v>15</v>
      </c>
      <c r="G667" s="31" t="s">
        <v>40</v>
      </c>
      <c r="H667" s="32">
        <v>42485</v>
      </c>
      <c r="I667" s="31">
        <v>214063</v>
      </c>
      <c r="J667" s="33" t="s">
        <v>309</v>
      </c>
    </row>
    <row r="668" s="22" customFormat="1" spans="1:10">
      <c r="A668" s="26" t="s">
        <v>1264</v>
      </c>
      <c r="B668" s="27" t="s">
        <v>249</v>
      </c>
      <c r="C668" s="27" t="s">
        <v>12</v>
      </c>
      <c r="D668" s="27" t="s">
        <v>87</v>
      </c>
      <c r="E668" s="27" t="s">
        <v>88</v>
      </c>
      <c r="F668" s="27" t="s">
        <v>15</v>
      </c>
      <c r="G668" s="27" t="s">
        <v>28</v>
      </c>
      <c r="H668" s="28">
        <v>43675</v>
      </c>
      <c r="I668" s="27">
        <v>185866</v>
      </c>
      <c r="J668" s="29" t="s">
        <v>299</v>
      </c>
    </row>
    <row r="669" s="22" customFormat="1" spans="1:10">
      <c r="A669" s="30" t="s">
        <v>786</v>
      </c>
      <c r="B669" s="31" t="s">
        <v>422</v>
      </c>
      <c r="C669" s="31" t="s">
        <v>19</v>
      </c>
      <c r="D669" s="31" t="s">
        <v>38</v>
      </c>
      <c r="E669" s="31" t="s">
        <v>84</v>
      </c>
      <c r="F669" s="31" t="s">
        <v>15</v>
      </c>
      <c r="G669" s="31" t="s">
        <v>94</v>
      </c>
      <c r="H669" s="32">
        <v>42775</v>
      </c>
      <c r="I669" s="31">
        <v>152869</v>
      </c>
      <c r="J669" s="33" t="s">
        <v>558</v>
      </c>
    </row>
    <row r="670" s="22" customFormat="1" spans="1:10">
      <c r="A670" s="26" t="s">
        <v>1265</v>
      </c>
      <c r="B670" s="27" t="s">
        <v>1266</v>
      </c>
      <c r="C670" s="27" t="s">
        <v>19</v>
      </c>
      <c r="D670" s="27" t="s">
        <v>38</v>
      </c>
      <c r="E670" s="27" t="s">
        <v>77</v>
      </c>
      <c r="F670" s="27" t="s">
        <v>15</v>
      </c>
      <c r="G670" s="27" t="s">
        <v>28</v>
      </c>
      <c r="H670" s="28">
        <v>45807</v>
      </c>
      <c r="I670" s="27">
        <v>98911</v>
      </c>
      <c r="J670" s="29" t="s">
        <v>288</v>
      </c>
    </row>
    <row r="671" s="22" customFormat="1" spans="1:10">
      <c r="A671" s="30" t="s">
        <v>1018</v>
      </c>
      <c r="B671" s="31" t="s">
        <v>431</v>
      </c>
      <c r="C671" s="31" t="s">
        <v>19</v>
      </c>
      <c r="D671" s="31" t="s">
        <v>87</v>
      </c>
      <c r="E671" s="31" t="s">
        <v>111</v>
      </c>
      <c r="F671" s="31" t="s">
        <v>15</v>
      </c>
      <c r="G671" s="31" t="s">
        <v>62</v>
      </c>
      <c r="H671" s="32">
        <v>45297</v>
      </c>
      <c r="I671" s="31">
        <v>220530</v>
      </c>
      <c r="J671" s="33" t="s">
        <v>663</v>
      </c>
    </row>
    <row r="672" s="22" customFormat="1" spans="1:10">
      <c r="A672" s="26" t="s">
        <v>1267</v>
      </c>
      <c r="B672" s="27" t="s">
        <v>1196</v>
      </c>
      <c r="C672" s="27" t="s">
        <v>19</v>
      </c>
      <c r="D672" s="27" t="s">
        <v>38</v>
      </c>
      <c r="E672" s="27" t="s">
        <v>66</v>
      </c>
      <c r="F672" s="27" t="s">
        <v>48</v>
      </c>
      <c r="G672" s="27" t="s">
        <v>16</v>
      </c>
      <c r="H672" s="28">
        <v>45032</v>
      </c>
      <c r="I672" s="27">
        <v>173326</v>
      </c>
      <c r="J672" s="29" t="s">
        <v>1259</v>
      </c>
    </row>
    <row r="673" s="22" customFormat="1" spans="1:10">
      <c r="A673" s="30" t="s">
        <v>322</v>
      </c>
      <c r="B673" s="31" t="s">
        <v>623</v>
      </c>
      <c r="C673" s="31" t="s">
        <v>12</v>
      </c>
      <c r="D673" s="31" t="s">
        <v>52</v>
      </c>
      <c r="E673" s="31" t="s">
        <v>53</v>
      </c>
      <c r="F673" s="31" t="s">
        <v>48</v>
      </c>
      <c r="G673" s="31" t="s">
        <v>28</v>
      </c>
      <c r="H673" s="32">
        <v>43743</v>
      </c>
      <c r="I673" s="31">
        <v>202760</v>
      </c>
      <c r="J673" s="33" t="s">
        <v>386</v>
      </c>
    </row>
    <row r="674" s="22" customFormat="1" spans="1:10">
      <c r="A674" s="26" t="s">
        <v>1268</v>
      </c>
      <c r="B674" s="27" t="s">
        <v>1269</v>
      </c>
      <c r="C674" s="27" t="s">
        <v>293</v>
      </c>
      <c r="D674" s="27" t="s">
        <v>38</v>
      </c>
      <c r="E674" s="27" t="s">
        <v>39</v>
      </c>
      <c r="F674" s="27" t="s">
        <v>22</v>
      </c>
      <c r="G674" s="27" t="s">
        <v>62</v>
      </c>
      <c r="H674" s="28">
        <v>45611</v>
      </c>
      <c r="I674" s="27">
        <v>163043</v>
      </c>
      <c r="J674" s="29" t="s">
        <v>295</v>
      </c>
    </row>
    <row r="675" s="22" customFormat="1" spans="1:10">
      <c r="A675" s="30" t="s">
        <v>1270</v>
      </c>
      <c r="B675" s="31" t="s">
        <v>1271</v>
      </c>
      <c r="C675" s="31" t="s">
        <v>19</v>
      </c>
      <c r="D675" s="31" t="s">
        <v>92</v>
      </c>
      <c r="E675" s="31" t="s">
        <v>126</v>
      </c>
      <c r="F675" s="31" t="s">
        <v>15</v>
      </c>
      <c r="G675" s="31" t="s">
        <v>40</v>
      </c>
      <c r="H675" s="32">
        <v>42968</v>
      </c>
      <c r="I675" s="31">
        <v>111351</v>
      </c>
      <c r="J675" s="33" t="s">
        <v>71</v>
      </c>
    </row>
    <row r="676" s="22" customFormat="1" spans="1:10">
      <c r="A676" s="26" t="s">
        <v>1272</v>
      </c>
      <c r="B676" s="27" t="s">
        <v>1273</v>
      </c>
      <c r="C676" s="27" t="s">
        <v>12</v>
      </c>
      <c r="D676" s="27" t="s">
        <v>13</v>
      </c>
      <c r="E676" s="27" t="s">
        <v>223</v>
      </c>
      <c r="F676" s="27" t="s">
        <v>15</v>
      </c>
      <c r="G676" s="27" t="s">
        <v>16</v>
      </c>
      <c r="H676" s="28">
        <v>42933</v>
      </c>
      <c r="I676" s="27">
        <v>226302</v>
      </c>
      <c r="J676" s="29" t="s">
        <v>412</v>
      </c>
    </row>
    <row r="677" s="22" customFormat="1" spans="1:10">
      <c r="A677" s="30" t="s">
        <v>1274</v>
      </c>
      <c r="B677" s="31" t="s">
        <v>205</v>
      </c>
      <c r="C677" s="31" t="s">
        <v>12</v>
      </c>
      <c r="D677" s="31" t="s">
        <v>20</v>
      </c>
      <c r="E677" s="31" t="s">
        <v>147</v>
      </c>
      <c r="F677" s="31" t="s">
        <v>15</v>
      </c>
      <c r="G677" s="31" t="s">
        <v>28</v>
      </c>
      <c r="H677" s="32">
        <v>42526</v>
      </c>
      <c r="I677" s="31">
        <v>66924</v>
      </c>
      <c r="J677" s="33" t="s">
        <v>879</v>
      </c>
    </row>
    <row r="678" s="22" customFormat="1" spans="1:10">
      <c r="A678" s="26" t="s">
        <v>1275</v>
      </c>
      <c r="B678" s="27" t="s">
        <v>1276</v>
      </c>
      <c r="C678" s="27" t="s">
        <v>12</v>
      </c>
      <c r="D678" s="27" t="s">
        <v>38</v>
      </c>
      <c r="E678" s="27" t="s">
        <v>77</v>
      </c>
      <c r="F678" s="27" t="s">
        <v>15</v>
      </c>
      <c r="G678" s="27" t="s">
        <v>16</v>
      </c>
      <c r="H678" s="28">
        <v>43545</v>
      </c>
      <c r="I678" s="27">
        <v>105800</v>
      </c>
      <c r="J678" s="29" t="s">
        <v>1220</v>
      </c>
    </row>
    <row r="679" s="22" customFormat="1" spans="1:10">
      <c r="A679" s="30" t="s">
        <v>1277</v>
      </c>
      <c r="B679" s="31" t="s">
        <v>110</v>
      </c>
      <c r="C679" s="31" t="s">
        <v>12</v>
      </c>
      <c r="D679" s="31" t="s">
        <v>13</v>
      </c>
      <c r="E679" s="31" t="s">
        <v>165</v>
      </c>
      <c r="F679" s="31" t="s">
        <v>15</v>
      </c>
      <c r="G679" s="31" t="s">
        <v>16</v>
      </c>
      <c r="H679" s="32">
        <v>45768</v>
      </c>
      <c r="I679" s="31">
        <v>96400</v>
      </c>
      <c r="J679" s="33" t="s">
        <v>621</v>
      </c>
    </row>
    <row r="680" s="22" customFormat="1" spans="1:10">
      <c r="A680" s="26" t="s">
        <v>1278</v>
      </c>
      <c r="B680" s="27" t="s">
        <v>1015</v>
      </c>
      <c r="C680" s="27" t="s">
        <v>19</v>
      </c>
      <c r="D680" s="27" t="s">
        <v>20</v>
      </c>
      <c r="E680" s="27" t="s">
        <v>147</v>
      </c>
      <c r="F680" s="27" t="s">
        <v>15</v>
      </c>
      <c r="G680" s="27" t="s">
        <v>94</v>
      </c>
      <c r="H680" s="28">
        <v>44305</v>
      </c>
      <c r="I680" s="27">
        <v>108900</v>
      </c>
      <c r="J680" s="29" t="s">
        <v>74</v>
      </c>
    </row>
    <row r="681" s="22" customFormat="1" spans="1:10">
      <c r="A681" s="30" t="s">
        <v>1279</v>
      </c>
      <c r="B681" s="31" t="s">
        <v>1280</v>
      </c>
      <c r="C681" s="31" t="s">
        <v>19</v>
      </c>
      <c r="D681" s="31" t="s">
        <v>52</v>
      </c>
      <c r="E681" s="31" t="s">
        <v>120</v>
      </c>
      <c r="F681" s="31" t="s">
        <v>15</v>
      </c>
      <c r="G681" s="31" t="s">
        <v>94</v>
      </c>
      <c r="H681" s="32">
        <v>45221</v>
      </c>
      <c r="I681" s="31">
        <v>101913</v>
      </c>
      <c r="J681" s="33" t="s">
        <v>1281</v>
      </c>
    </row>
    <row r="682" s="22" customFormat="1" spans="1:10">
      <c r="A682" s="26" t="s">
        <v>1282</v>
      </c>
      <c r="B682" s="27" t="s">
        <v>1283</v>
      </c>
      <c r="C682" s="27" t="s">
        <v>12</v>
      </c>
      <c r="D682" s="27" t="s">
        <v>52</v>
      </c>
      <c r="E682" s="27" t="s">
        <v>246</v>
      </c>
      <c r="F682" s="27" t="s">
        <v>15</v>
      </c>
      <c r="G682" s="27" t="s">
        <v>16</v>
      </c>
      <c r="H682" s="28">
        <v>45774</v>
      </c>
      <c r="I682" s="27">
        <v>87577</v>
      </c>
      <c r="J682" s="29" t="s">
        <v>671</v>
      </c>
    </row>
    <row r="683" s="22" customFormat="1" spans="1:10">
      <c r="A683" s="30" t="s">
        <v>440</v>
      </c>
      <c r="B683" s="31" t="s">
        <v>1284</v>
      </c>
      <c r="C683" s="31" t="s">
        <v>19</v>
      </c>
      <c r="D683" s="31" t="s">
        <v>87</v>
      </c>
      <c r="E683" s="31" t="s">
        <v>111</v>
      </c>
      <c r="F683" s="31" t="s">
        <v>15</v>
      </c>
      <c r="G683" s="31" t="s">
        <v>16</v>
      </c>
      <c r="H683" s="32">
        <v>42938</v>
      </c>
      <c r="I683" s="31">
        <v>211968</v>
      </c>
      <c r="J683" s="33" t="s">
        <v>131</v>
      </c>
    </row>
    <row r="684" s="22" customFormat="1" spans="1:10">
      <c r="A684" s="26" t="s">
        <v>1285</v>
      </c>
      <c r="B684" s="27" t="s">
        <v>1230</v>
      </c>
      <c r="C684" s="27" t="s">
        <v>19</v>
      </c>
      <c r="D684" s="27" t="s">
        <v>38</v>
      </c>
      <c r="E684" s="27" t="s">
        <v>44</v>
      </c>
      <c r="F684" s="27" t="s">
        <v>15</v>
      </c>
      <c r="G684" s="27" t="s">
        <v>94</v>
      </c>
      <c r="H684" s="28">
        <v>45478</v>
      </c>
      <c r="I684" s="27">
        <v>201850</v>
      </c>
      <c r="J684" s="29" t="s">
        <v>476</v>
      </c>
    </row>
    <row r="685" s="22" customFormat="1" spans="1:10">
      <c r="A685" s="30" t="s">
        <v>316</v>
      </c>
      <c r="B685" s="31" t="s">
        <v>346</v>
      </c>
      <c r="C685" s="31" t="s">
        <v>19</v>
      </c>
      <c r="D685" s="31" t="s">
        <v>32</v>
      </c>
      <c r="E685" s="31" t="s">
        <v>208</v>
      </c>
      <c r="F685" s="31" t="s">
        <v>15</v>
      </c>
      <c r="G685" s="31" t="s">
        <v>28</v>
      </c>
      <c r="H685" s="32">
        <v>45259</v>
      </c>
      <c r="I685" s="31">
        <v>114025</v>
      </c>
      <c r="J685" s="33" t="s">
        <v>758</v>
      </c>
    </row>
    <row r="686" s="22" customFormat="1" spans="1:10">
      <c r="A686" s="26" t="s">
        <v>1286</v>
      </c>
      <c r="B686" s="27" t="s">
        <v>1094</v>
      </c>
      <c r="C686" s="27" t="s">
        <v>19</v>
      </c>
      <c r="D686" s="27" t="s">
        <v>20</v>
      </c>
      <c r="E686" s="27" t="s">
        <v>147</v>
      </c>
      <c r="F686" s="27" t="s">
        <v>15</v>
      </c>
      <c r="G686" s="27" t="s">
        <v>62</v>
      </c>
      <c r="H686" s="28">
        <v>44291</v>
      </c>
      <c r="I686" s="27">
        <v>121728</v>
      </c>
      <c r="J686" s="29" t="s">
        <v>456</v>
      </c>
    </row>
    <row r="687" s="22" customFormat="1" spans="1:10">
      <c r="A687" s="30" t="s">
        <v>490</v>
      </c>
      <c r="B687" s="31" t="s">
        <v>603</v>
      </c>
      <c r="C687" s="31" t="s">
        <v>19</v>
      </c>
      <c r="D687" s="31" t="s">
        <v>92</v>
      </c>
      <c r="E687" s="31" t="s">
        <v>193</v>
      </c>
      <c r="F687" s="31" t="s">
        <v>15</v>
      </c>
      <c r="G687" s="31" t="s">
        <v>34</v>
      </c>
      <c r="H687" s="32">
        <v>44207</v>
      </c>
      <c r="I687" s="31">
        <v>230250</v>
      </c>
      <c r="J687" s="33" t="s">
        <v>957</v>
      </c>
    </row>
    <row r="688" s="22" customFormat="1" spans="1:10">
      <c r="A688" s="26" t="s">
        <v>1281</v>
      </c>
      <c r="B688" s="27" t="s">
        <v>1287</v>
      </c>
      <c r="C688" s="27" t="s">
        <v>12</v>
      </c>
      <c r="D688" s="27" t="s">
        <v>92</v>
      </c>
      <c r="E688" s="27" t="s">
        <v>193</v>
      </c>
      <c r="F688" s="27" t="s">
        <v>15</v>
      </c>
      <c r="G688" s="27" t="s">
        <v>34</v>
      </c>
      <c r="H688" s="28">
        <v>44890</v>
      </c>
      <c r="I688" s="27">
        <v>145443</v>
      </c>
      <c r="J688" s="29" t="s">
        <v>58</v>
      </c>
    </row>
    <row r="689" s="22" customFormat="1" spans="1:10">
      <c r="A689" s="30" t="s">
        <v>663</v>
      </c>
      <c r="B689" s="31" t="s">
        <v>881</v>
      </c>
      <c r="C689" s="31" t="s">
        <v>19</v>
      </c>
      <c r="D689" s="31" t="s">
        <v>87</v>
      </c>
      <c r="E689" s="31" t="s">
        <v>156</v>
      </c>
      <c r="F689" s="31" t="s">
        <v>15</v>
      </c>
      <c r="G689" s="31" t="s">
        <v>40</v>
      </c>
      <c r="H689" s="32">
        <v>42391</v>
      </c>
      <c r="I689" s="31">
        <v>344942</v>
      </c>
      <c r="J689" s="33" t="s">
        <v>499</v>
      </c>
    </row>
    <row r="690" s="22" customFormat="1" spans="1:10">
      <c r="A690" s="26" t="s">
        <v>1288</v>
      </c>
      <c r="B690" s="27" t="s">
        <v>754</v>
      </c>
      <c r="C690" s="27" t="s">
        <v>19</v>
      </c>
      <c r="D690" s="27" t="s">
        <v>26</v>
      </c>
      <c r="E690" s="27" t="s">
        <v>294</v>
      </c>
      <c r="F690" s="27" t="s">
        <v>15</v>
      </c>
      <c r="G690" s="27" t="s">
        <v>16</v>
      </c>
      <c r="H690" s="28">
        <v>42694</v>
      </c>
      <c r="I690" s="27">
        <v>230193</v>
      </c>
      <c r="J690" s="29" t="s">
        <v>836</v>
      </c>
    </row>
    <row r="691" s="22" customFormat="1" spans="1:10">
      <c r="A691" s="30" t="s">
        <v>1289</v>
      </c>
      <c r="B691" s="31" t="s">
        <v>1290</v>
      </c>
      <c r="C691" s="31" t="s">
        <v>12</v>
      </c>
      <c r="D691" s="31" t="s">
        <v>38</v>
      </c>
      <c r="E691" s="31" t="s">
        <v>44</v>
      </c>
      <c r="F691" s="31" t="s">
        <v>15</v>
      </c>
      <c r="G691" s="31" t="s">
        <v>94</v>
      </c>
      <c r="H691" s="32">
        <v>42447</v>
      </c>
      <c r="I691" s="31">
        <v>104109</v>
      </c>
      <c r="J691" s="33" t="s">
        <v>29</v>
      </c>
    </row>
    <row r="692" s="22" customFormat="1" spans="1:10">
      <c r="A692" s="26" t="s">
        <v>1291</v>
      </c>
      <c r="B692" s="27" t="s">
        <v>1292</v>
      </c>
      <c r="C692" s="27" t="s">
        <v>12</v>
      </c>
      <c r="D692" s="27" t="s">
        <v>13</v>
      </c>
      <c r="E692" s="27" t="s">
        <v>14</v>
      </c>
      <c r="F692" s="27" t="s">
        <v>15</v>
      </c>
      <c r="G692" s="27" t="s">
        <v>62</v>
      </c>
      <c r="H692" s="28">
        <v>43418</v>
      </c>
      <c r="I692" s="27">
        <v>123664</v>
      </c>
      <c r="J692" s="29" t="s">
        <v>821</v>
      </c>
    </row>
    <row r="693" s="22" customFormat="1" spans="1:10">
      <c r="A693" s="30" t="s">
        <v>1293</v>
      </c>
      <c r="B693" s="31" t="s">
        <v>1294</v>
      </c>
      <c r="C693" s="31" t="s">
        <v>19</v>
      </c>
      <c r="D693" s="31" t="s">
        <v>13</v>
      </c>
      <c r="E693" s="31" t="s">
        <v>165</v>
      </c>
      <c r="F693" s="31" t="s">
        <v>48</v>
      </c>
      <c r="G693" s="31" t="s">
        <v>16</v>
      </c>
      <c r="H693" s="32">
        <v>43253</v>
      </c>
      <c r="I693" s="31">
        <v>79430</v>
      </c>
      <c r="J693" s="33" t="s">
        <v>226</v>
      </c>
    </row>
    <row r="694" s="22" customFormat="1" spans="1:10">
      <c r="A694" s="26" t="s">
        <v>1295</v>
      </c>
      <c r="B694" s="27" t="s">
        <v>1296</v>
      </c>
      <c r="C694" s="27" t="s">
        <v>12</v>
      </c>
      <c r="D694" s="27" t="s">
        <v>92</v>
      </c>
      <c r="E694" s="27" t="s">
        <v>391</v>
      </c>
      <c r="F694" s="27" t="s">
        <v>15</v>
      </c>
      <c r="G694" s="27" t="s">
        <v>62</v>
      </c>
      <c r="H694" s="28">
        <v>45790</v>
      </c>
      <c r="I694" s="27">
        <v>156229</v>
      </c>
      <c r="J694" s="29" t="s">
        <v>24</v>
      </c>
    </row>
    <row r="695" s="22" customFormat="1" spans="1:10">
      <c r="A695" s="30" t="s">
        <v>1297</v>
      </c>
      <c r="B695" s="31" t="s">
        <v>1298</v>
      </c>
      <c r="C695" s="31" t="s">
        <v>12</v>
      </c>
      <c r="D695" s="31" t="s">
        <v>87</v>
      </c>
      <c r="E695" s="31" t="s">
        <v>88</v>
      </c>
      <c r="F695" s="31" t="s">
        <v>15</v>
      </c>
      <c r="G695" s="31" t="s">
        <v>94</v>
      </c>
      <c r="H695" s="32">
        <v>42982</v>
      </c>
      <c r="I695" s="31">
        <v>121916</v>
      </c>
      <c r="J695" s="33" t="s">
        <v>493</v>
      </c>
    </row>
    <row r="696" s="22" customFormat="1" spans="1:10">
      <c r="A696" s="26" t="s">
        <v>1299</v>
      </c>
      <c r="B696" s="27" t="s">
        <v>1300</v>
      </c>
      <c r="C696" s="27" t="s">
        <v>12</v>
      </c>
      <c r="D696" s="27" t="s">
        <v>38</v>
      </c>
      <c r="E696" s="27" t="s">
        <v>66</v>
      </c>
      <c r="F696" s="27" t="s">
        <v>15</v>
      </c>
      <c r="G696" s="27" t="s">
        <v>16</v>
      </c>
      <c r="H696" s="28">
        <v>44617</v>
      </c>
      <c r="I696" s="27">
        <v>208355</v>
      </c>
      <c r="J696" s="29" t="s">
        <v>589</v>
      </c>
    </row>
    <row r="697" s="22" customFormat="1" spans="1:10">
      <c r="A697" s="30" t="s">
        <v>1301</v>
      </c>
      <c r="B697" s="31" t="s">
        <v>1302</v>
      </c>
      <c r="C697" s="31" t="s">
        <v>12</v>
      </c>
      <c r="D697" s="31" t="s">
        <v>32</v>
      </c>
      <c r="E697" s="31" t="s">
        <v>57</v>
      </c>
      <c r="F697" s="31" t="s">
        <v>15</v>
      </c>
      <c r="G697" s="31" t="s">
        <v>28</v>
      </c>
      <c r="H697" s="32">
        <v>45348</v>
      </c>
      <c r="I697" s="31">
        <v>97862</v>
      </c>
      <c r="J697" s="33" t="s">
        <v>435</v>
      </c>
    </row>
    <row r="698" s="22" customFormat="1" spans="1:10">
      <c r="A698" s="26" t="s">
        <v>1303</v>
      </c>
      <c r="B698" s="27" t="s">
        <v>1137</v>
      </c>
      <c r="C698" s="27" t="s">
        <v>12</v>
      </c>
      <c r="D698" s="27" t="s">
        <v>87</v>
      </c>
      <c r="E698" s="27" t="s">
        <v>88</v>
      </c>
      <c r="F698" s="27" t="s">
        <v>15</v>
      </c>
      <c r="G698" s="27" t="s">
        <v>16</v>
      </c>
      <c r="H698" s="28">
        <v>44863</v>
      </c>
      <c r="I698" s="27">
        <v>130480</v>
      </c>
      <c r="J698" s="29" t="s">
        <v>667</v>
      </c>
    </row>
    <row r="699" s="22" customFormat="1" spans="1:10">
      <c r="A699" s="30" t="s">
        <v>1304</v>
      </c>
      <c r="B699" s="31" t="s">
        <v>896</v>
      </c>
      <c r="C699" s="31" t="s">
        <v>12</v>
      </c>
      <c r="D699" s="31" t="s">
        <v>92</v>
      </c>
      <c r="E699" s="31" t="s">
        <v>189</v>
      </c>
      <c r="F699" s="31" t="s">
        <v>15</v>
      </c>
      <c r="G699" s="31" t="s">
        <v>94</v>
      </c>
      <c r="H699" s="32">
        <v>44531</v>
      </c>
      <c r="I699" s="31">
        <v>59947</v>
      </c>
      <c r="J699" s="33" t="s">
        <v>303</v>
      </c>
    </row>
    <row r="700" s="22" customFormat="1" spans="1:10">
      <c r="A700" s="26" t="s">
        <v>137</v>
      </c>
      <c r="B700" s="27" t="s">
        <v>1280</v>
      </c>
      <c r="C700" s="27" t="s">
        <v>19</v>
      </c>
      <c r="D700" s="27" t="s">
        <v>38</v>
      </c>
      <c r="E700" s="27" t="s">
        <v>84</v>
      </c>
      <c r="F700" s="27" t="s">
        <v>48</v>
      </c>
      <c r="G700" s="27" t="s">
        <v>28</v>
      </c>
      <c r="H700" s="28">
        <v>44103</v>
      </c>
      <c r="I700" s="27">
        <v>296169</v>
      </c>
      <c r="J700" s="29" t="s">
        <v>96</v>
      </c>
    </row>
    <row r="701" s="22" customFormat="1" spans="1:10">
      <c r="A701" s="30" t="s">
        <v>1305</v>
      </c>
      <c r="B701" s="31" t="s">
        <v>348</v>
      </c>
      <c r="C701" s="31" t="s">
        <v>19</v>
      </c>
      <c r="D701" s="31" t="s">
        <v>92</v>
      </c>
      <c r="E701" s="31" t="s">
        <v>93</v>
      </c>
      <c r="F701" s="31" t="s">
        <v>22</v>
      </c>
      <c r="G701" s="31" t="s">
        <v>28</v>
      </c>
      <c r="H701" s="32">
        <v>42825</v>
      </c>
      <c r="I701" s="31">
        <v>110392</v>
      </c>
      <c r="J701" s="33" t="s">
        <v>175</v>
      </c>
    </row>
    <row r="702" s="22" customFormat="1" spans="1:10">
      <c r="A702" s="26" t="s">
        <v>159</v>
      </c>
      <c r="B702" s="27" t="s">
        <v>1306</v>
      </c>
      <c r="C702" s="27" t="s">
        <v>12</v>
      </c>
      <c r="D702" s="27" t="s">
        <v>92</v>
      </c>
      <c r="E702" s="27" t="s">
        <v>193</v>
      </c>
      <c r="F702" s="27" t="s">
        <v>15</v>
      </c>
      <c r="G702" s="27" t="s">
        <v>28</v>
      </c>
      <c r="H702" s="28">
        <v>45549</v>
      </c>
      <c r="I702" s="27">
        <v>234854</v>
      </c>
      <c r="J702" s="29" t="s">
        <v>114</v>
      </c>
    </row>
    <row r="703" s="22" customFormat="1" spans="1:10">
      <c r="A703" s="30" t="s">
        <v>1307</v>
      </c>
      <c r="B703" s="31" t="s">
        <v>1035</v>
      </c>
      <c r="C703" s="31" t="s">
        <v>12</v>
      </c>
      <c r="D703" s="31" t="s">
        <v>38</v>
      </c>
      <c r="E703" s="31" t="s">
        <v>66</v>
      </c>
      <c r="F703" s="31" t="s">
        <v>15</v>
      </c>
      <c r="G703" s="31" t="s">
        <v>62</v>
      </c>
      <c r="H703" s="32">
        <v>43550</v>
      </c>
      <c r="I703" s="31">
        <v>86771</v>
      </c>
      <c r="J703" s="33" t="s">
        <v>386</v>
      </c>
    </row>
    <row r="704" s="22" customFormat="1" spans="1:10">
      <c r="A704" s="26" t="s">
        <v>1308</v>
      </c>
      <c r="B704" s="27" t="s">
        <v>618</v>
      </c>
      <c r="C704" s="27" t="s">
        <v>12</v>
      </c>
      <c r="D704" s="27" t="s">
        <v>13</v>
      </c>
      <c r="E704" s="27" t="s">
        <v>165</v>
      </c>
      <c r="F704" s="27" t="s">
        <v>48</v>
      </c>
      <c r="G704" s="27" t="s">
        <v>40</v>
      </c>
      <c r="H704" s="28">
        <v>43343</v>
      </c>
      <c r="I704" s="27">
        <v>152242</v>
      </c>
      <c r="J704" s="29" t="s">
        <v>280</v>
      </c>
    </row>
    <row r="705" s="22" customFormat="1" spans="1:10">
      <c r="A705" s="30" t="s">
        <v>1309</v>
      </c>
      <c r="B705" s="31" t="s">
        <v>1310</v>
      </c>
      <c r="C705" s="31" t="s">
        <v>19</v>
      </c>
      <c r="D705" s="31" t="s">
        <v>38</v>
      </c>
      <c r="E705" s="31" t="s">
        <v>140</v>
      </c>
      <c r="F705" s="31" t="s">
        <v>15</v>
      </c>
      <c r="G705" s="31" t="s">
        <v>40</v>
      </c>
      <c r="H705" s="32">
        <v>43603</v>
      </c>
      <c r="I705" s="31">
        <v>246659</v>
      </c>
      <c r="J705" s="33" t="s">
        <v>154</v>
      </c>
    </row>
    <row r="706" s="22" customFormat="1" spans="1:10">
      <c r="A706" s="26" t="s">
        <v>1311</v>
      </c>
      <c r="B706" s="27" t="s">
        <v>1312</v>
      </c>
      <c r="C706" s="27" t="s">
        <v>19</v>
      </c>
      <c r="D706" s="27" t="s">
        <v>38</v>
      </c>
      <c r="E706" s="27" t="s">
        <v>66</v>
      </c>
      <c r="F706" s="27" t="s">
        <v>15</v>
      </c>
      <c r="G706" s="27" t="s">
        <v>62</v>
      </c>
      <c r="H706" s="28">
        <v>42869</v>
      </c>
      <c r="I706" s="27">
        <v>176602</v>
      </c>
      <c r="J706" s="29" t="s">
        <v>419</v>
      </c>
    </row>
    <row r="707" s="22" customFormat="1" spans="1:10">
      <c r="A707" s="30" t="s">
        <v>1313</v>
      </c>
      <c r="B707" s="31" t="s">
        <v>1026</v>
      </c>
      <c r="C707" s="31" t="s">
        <v>19</v>
      </c>
      <c r="D707" s="31" t="s">
        <v>20</v>
      </c>
      <c r="E707" s="31" t="s">
        <v>147</v>
      </c>
      <c r="F707" s="31" t="s">
        <v>22</v>
      </c>
      <c r="G707" s="31" t="s">
        <v>16</v>
      </c>
      <c r="H707" s="32">
        <v>42565</v>
      </c>
      <c r="I707" s="31">
        <v>91420</v>
      </c>
      <c r="J707" s="33" t="s">
        <v>591</v>
      </c>
    </row>
    <row r="708" s="22" customFormat="1" spans="1:10">
      <c r="A708" s="26" t="s">
        <v>1314</v>
      </c>
      <c r="B708" s="27" t="s">
        <v>311</v>
      </c>
      <c r="C708" s="27" t="s">
        <v>12</v>
      </c>
      <c r="D708" s="27" t="s">
        <v>13</v>
      </c>
      <c r="E708" s="27" t="s">
        <v>223</v>
      </c>
      <c r="F708" s="27" t="s">
        <v>22</v>
      </c>
      <c r="G708" s="27" t="s">
        <v>16</v>
      </c>
      <c r="H708" s="28">
        <v>43346</v>
      </c>
      <c r="I708" s="27">
        <v>117598</v>
      </c>
      <c r="J708" s="29" t="s">
        <v>583</v>
      </c>
    </row>
    <row r="709" s="22" customFormat="1" spans="1:10">
      <c r="A709" s="30" t="s">
        <v>1315</v>
      </c>
      <c r="B709" s="31" t="s">
        <v>710</v>
      </c>
      <c r="C709" s="31" t="s">
        <v>12</v>
      </c>
      <c r="D709" s="31" t="s">
        <v>52</v>
      </c>
      <c r="E709" s="31" t="s">
        <v>246</v>
      </c>
      <c r="F709" s="31" t="s">
        <v>15</v>
      </c>
      <c r="G709" s="31" t="s">
        <v>62</v>
      </c>
      <c r="H709" s="32">
        <v>44089</v>
      </c>
      <c r="I709" s="31">
        <v>124911</v>
      </c>
      <c r="J709" s="33" t="s">
        <v>501</v>
      </c>
    </row>
    <row r="710" s="22" customFormat="1" spans="1:10">
      <c r="A710" s="26" t="s">
        <v>141</v>
      </c>
      <c r="B710" s="27" t="s">
        <v>759</v>
      </c>
      <c r="C710" s="27" t="s">
        <v>19</v>
      </c>
      <c r="D710" s="27" t="s">
        <v>87</v>
      </c>
      <c r="E710" s="27" t="s">
        <v>349</v>
      </c>
      <c r="F710" s="27" t="s">
        <v>15</v>
      </c>
      <c r="G710" s="27" t="s">
        <v>16</v>
      </c>
      <c r="H710" s="28">
        <v>44987</v>
      </c>
      <c r="I710" s="27">
        <v>171022</v>
      </c>
      <c r="J710" s="29" t="s">
        <v>280</v>
      </c>
    </row>
    <row r="711" s="22" customFormat="1" spans="1:10">
      <c r="A711" s="30" t="s">
        <v>1316</v>
      </c>
      <c r="B711" s="31" t="s">
        <v>1140</v>
      </c>
      <c r="C711" s="31" t="s">
        <v>19</v>
      </c>
      <c r="D711" s="31" t="s">
        <v>26</v>
      </c>
      <c r="E711" s="31" t="s">
        <v>294</v>
      </c>
      <c r="F711" s="31" t="s">
        <v>15</v>
      </c>
      <c r="G711" s="31" t="s">
        <v>34</v>
      </c>
      <c r="H711" s="32">
        <v>45621</v>
      </c>
      <c r="I711" s="31">
        <v>219044</v>
      </c>
      <c r="J711" s="33" t="s">
        <v>229</v>
      </c>
    </row>
    <row r="712" s="22" customFormat="1" spans="1:10">
      <c r="A712" s="26" t="s">
        <v>1317</v>
      </c>
      <c r="B712" s="27" t="s">
        <v>466</v>
      </c>
      <c r="C712" s="27" t="s">
        <v>12</v>
      </c>
      <c r="D712" s="27" t="s">
        <v>26</v>
      </c>
      <c r="E712" s="27" t="s">
        <v>162</v>
      </c>
      <c r="F712" s="27" t="s">
        <v>15</v>
      </c>
      <c r="G712" s="27" t="s">
        <v>40</v>
      </c>
      <c r="H712" s="28">
        <v>44921</v>
      </c>
      <c r="I712" s="27">
        <v>112993</v>
      </c>
      <c r="J712" s="29" t="s">
        <v>235</v>
      </c>
    </row>
    <row r="713" s="22" customFormat="1" spans="1:10">
      <c r="A713" s="30" t="s">
        <v>1318</v>
      </c>
      <c r="B713" s="31" t="s">
        <v>1319</v>
      </c>
      <c r="C713" s="31" t="s">
        <v>12</v>
      </c>
      <c r="D713" s="31" t="s">
        <v>32</v>
      </c>
      <c r="E713" s="31" t="s">
        <v>57</v>
      </c>
      <c r="F713" s="31" t="s">
        <v>15</v>
      </c>
      <c r="G713" s="31" t="s">
        <v>34</v>
      </c>
      <c r="H713" s="32">
        <v>44242</v>
      </c>
      <c r="I713" s="31">
        <v>90401</v>
      </c>
      <c r="J713" s="33" t="s">
        <v>621</v>
      </c>
    </row>
    <row r="714" s="22" customFormat="1" spans="1:10">
      <c r="A714" s="26" t="s">
        <v>1320</v>
      </c>
      <c r="B714" s="27" t="s">
        <v>874</v>
      </c>
      <c r="C714" s="27" t="s">
        <v>12</v>
      </c>
      <c r="D714" s="27" t="s">
        <v>92</v>
      </c>
      <c r="E714" s="27" t="s">
        <v>126</v>
      </c>
      <c r="F714" s="27" t="s">
        <v>15</v>
      </c>
      <c r="G714" s="27" t="s">
        <v>16</v>
      </c>
      <c r="H714" s="28">
        <v>42627</v>
      </c>
      <c r="I714" s="27">
        <v>74498</v>
      </c>
      <c r="J714" s="29" t="s">
        <v>347</v>
      </c>
    </row>
    <row r="715" s="22" customFormat="1" spans="1:10">
      <c r="A715" s="30" t="s">
        <v>1321</v>
      </c>
      <c r="B715" s="31" t="s">
        <v>1256</v>
      </c>
      <c r="C715" s="31" t="s">
        <v>19</v>
      </c>
      <c r="D715" s="31" t="s">
        <v>13</v>
      </c>
      <c r="E715" s="31" t="s">
        <v>165</v>
      </c>
      <c r="F715" s="31" t="s">
        <v>15</v>
      </c>
      <c r="G715" s="31" t="s">
        <v>62</v>
      </c>
      <c r="H715" s="32">
        <v>42824</v>
      </c>
      <c r="I715" s="31">
        <v>189759</v>
      </c>
      <c r="J715" s="33" t="s">
        <v>175</v>
      </c>
    </row>
    <row r="716" s="22" customFormat="1" spans="1:10">
      <c r="A716" s="26" t="s">
        <v>1322</v>
      </c>
      <c r="B716" s="27" t="s">
        <v>1323</v>
      </c>
      <c r="C716" s="27" t="s">
        <v>19</v>
      </c>
      <c r="D716" s="27" t="s">
        <v>13</v>
      </c>
      <c r="E716" s="27" t="s">
        <v>14</v>
      </c>
      <c r="F716" s="27" t="s">
        <v>15</v>
      </c>
      <c r="G716" s="27" t="s">
        <v>16</v>
      </c>
      <c r="H716" s="28">
        <v>45797</v>
      </c>
      <c r="I716" s="27">
        <v>93826</v>
      </c>
      <c r="J716" s="29" t="s">
        <v>838</v>
      </c>
    </row>
    <row r="717" s="22" customFormat="1" spans="1:10">
      <c r="A717" s="30" t="s">
        <v>711</v>
      </c>
      <c r="B717" s="31" t="s">
        <v>1324</v>
      </c>
      <c r="C717" s="31" t="s">
        <v>19</v>
      </c>
      <c r="D717" s="31" t="s">
        <v>20</v>
      </c>
      <c r="E717" s="31" t="s">
        <v>70</v>
      </c>
      <c r="F717" s="31" t="s">
        <v>15</v>
      </c>
      <c r="G717" s="31" t="s">
        <v>62</v>
      </c>
      <c r="H717" s="32">
        <v>44417</v>
      </c>
      <c r="I717" s="31">
        <v>171523</v>
      </c>
      <c r="J717" s="33" t="s">
        <v>1077</v>
      </c>
    </row>
    <row r="718" s="22" customFormat="1" spans="1:10">
      <c r="A718" s="26" t="s">
        <v>1325</v>
      </c>
      <c r="B718" s="27" t="s">
        <v>1326</v>
      </c>
      <c r="C718" s="27" t="s">
        <v>19</v>
      </c>
      <c r="D718" s="27" t="s">
        <v>52</v>
      </c>
      <c r="E718" s="27" t="s">
        <v>246</v>
      </c>
      <c r="F718" s="27" t="s">
        <v>15</v>
      </c>
      <c r="G718" s="27" t="s">
        <v>62</v>
      </c>
      <c r="H718" s="28">
        <v>44814</v>
      </c>
      <c r="I718" s="27">
        <v>89249</v>
      </c>
      <c r="J718" s="29" t="s">
        <v>154</v>
      </c>
    </row>
    <row r="719" s="22" customFormat="1" spans="1:10">
      <c r="A719" s="30" t="s">
        <v>1327</v>
      </c>
      <c r="B719" s="31" t="s">
        <v>894</v>
      </c>
      <c r="C719" s="31" t="s">
        <v>19</v>
      </c>
      <c r="D719" s="31" t="s">
        <v>20</v>
      </c>
      <c r="E719" s="31" t="s">
        <v>21</v>
      </c>
      <c r="F719" s="31" t="s">
        <v>15</v>
      </c>
      <c r="G719" s="31" t="s">
        <v>62</v>
      </c>
      <c r="H719" s="32">
        <v>44565</v>
      </c>
      <c r="I719" s="31">
        <v>48538</v>
      </c>
      <c r="J719" s="33" t="s">
        <v>727</v>
      </c>
    </row>
    <row r="720" s="22" customFormat="1" spans="1:10">
      <c r="A720" s="26" t="s">
        <v>512</v>
      </c>
      <c r="B720" s="27" t="s">
        <v>1092</v>
      </c>
      <c r="C720" s="27" t="s">
        <v>19</v>
      </c>
      <c r="D720" s="27" t="s">
        <v>38</v>
      </c>
      <c r="E720" s="27" t="s">
        <v>84</v>
      </c>
      <c r="F720" s="27" t="s">
        <v>15</v>
      </c>
      <c r="G720" s="27" t="s">
        <v>28</v>
      </c>
      <c r="H720" s="28">
        <v>42437</v>
      </c>
      <c r="I720" s="27">
        <v>122096</v>
      </c>
      <c r="J720" s="29" t="s">
        <v>773</v>
      </c>
    </row>
    <row r="721" s="22" customFormat="1" spans="1:10">
      <c r="A721" s="30" t="s">
        <v>1328</v>
      </c>
      <c r="B721" s="31" t="s">
        <v>541</v>
      </c>
      <c r="C721" s="31" t="s">
        <v>19</v>
      </c>
      <c r="D721" s="31" t="s">
        <v>26</v>
      </c>
      <c r="E721" s="31" t="s">
        <v>162</v>
      </c>
      <c r="F721" s="31" t="s">
        <v>15</v>
      </c>
      <c r="G721" s="31" t="s">
        <v>34</v>
      </c>
      <c r="H721" s="32">
        <v>44958</v>
      </c>
      <c r="I721" s="31">
        <v>78350</v>
      </c>
      <c r="J721" s="33"/>
    </row>
    <row r="722" s="22" customFormat="1" spans="1:10">
      <c r="A722" s="26" t="s">
        <v>1329</v>
      </c>
      <c r="B722" s="27" t="s">
        <v>1165</v>
      </c>
      <c r="C722" s="27" t="s">
        <v>19</v>
      </c>
      <c r="D722" s="27" t="s">
        <v>20</v>
      </c>
      <c r="E722" s="27" t="s">
        <v>147</v>
      </c>
      <c r="F722" s="27" t="s">
        <v>15</v>
      </c>
      <c r="G722" s="27" t="s">
        <v>28</v>
      </c>
      <c r="H722" s="28">
        <v>44480</v>
      </c>
      <c r="I722" s="27">
        <v>109085</v>
      </c>
      <c r="J722" s="29" t="s">
        <v>806</v>
      </c>
    </row>
    <row r="723" s="22" customFormat="1" spans="1:10">
      <c r="A723" s="30" t="s">
        <v>1330</v>
      </c>
      <c r="B723" s="31" t="s">
        <v>1331</v>
      </c>
      <c r="C723" s="31" t="s">
        <v>12</v>
      </c>
      <c r="D723" s="31" t="s">
        <v>38</v>
      </c>
      <c r="E723" s="31" t="s">
        <v>77</v>
      </c>
      <c r="F723" s="31" t="s">
        <v>48</v>
      </c>
      <c r="G723" s="31" t="s">
        <v>94</v>
      </c>
      <c r="H723" s="32">
        <v>44725</v>
      </c>
      <c r="I723" s="31">
        <v>112504</v>
      </c>
      <c r="J723" s="33" t="s">
        <v>963</v>
      </c>
    </row>
    <row r="724" s="22" customFormat="1" spans="1:10">
      <c r="A724" s="26" t="s">
        <v>1332</v>
      </c>
      <c r="B724" s="27" t="s">
        <v>682</v>
      </c>
      <c r="C724" s="27" t="s">
        <v>12</v>
      </c>
      <c r="D724" s="27" t="s">
        <v>38</v>
      </c>
      <c r="E724" s="27" t="s">
        <v>66</v>
      </c>
      <c r="F724" s="27" t="s">
        <v>15</v>
      </c>
      <c r="G724" s="27" t="s">
        <v>28</v>
      </c>
      <c r="H724" s="28">
        <v>43360</v>
      </c>
      <c r="I724" s="27">
        <v>140797</v>
      </c>
      <c r="J724" s="29" t="s">
        <v>186</v>
      </c>
    </row>
    <row r="725" s="22" customFormat="1" spans="1:10">
      <c r="A725" s="30" t="s">
        <v>1333</v>
      </c>
      <c r="B725" s="31" t="s">
        <v>1334</v>
      </c>
      <c r="C725" s="31" t="s">
        <v>12</v>
      </c>
      <c r="D725" s="31" t="s">
        <v>26</v>
      </c>
      <c r="E725" s="31" t="s">
        <v>162</v>
      </c>
      <c r="F725" s="31" t="s">
        <v>15</v>
      </c>
      <c r="G725" s="31" t="s">
        <v>40</v>
      </c>
      <c r="H725" s="32">
        <v>45313</v>
      </c>
      <c r="I725" s="31">
        <v>131619</v>
      </c>
      <c r="J725" s="33" t="s">
        <v>341</v>
      </c>
    </row>
    <row r="726" s="22" customFormat="1" spans="1:10">
      <c r="A726" s="26" t="s">
        <v>1335</v>
      </c>
      <c r="B726" s="27" t="s">
        <v>938</v>
      </c>
      <c r="C726" s="27" t="s">
        <v>12</v>
      </c>
      <c r="D726" s="27" t="s">
        <v>92</v>
      </c>
      <c r="E726" s="27" t="s">
        <v>126</v>
      </c>
      <c r="F726" s="27" t="s">
        <v>15</v>
      </c>
      <c r="G726" s="27" t="s">
        <v>28</v>
      </c>
      <c r="H726" s="28">
        <v>42958</v>
      </c>
      <c r="I726" s="27">
        <v>173103</v>
      </c>
      <c r="J726" s="29" t="s">
        <v>490</v>
      </c>
    </row>
    <row r="727" s="22" customFormat="1" spans="1:10">
      <c r="A727" s="30" t="s">
        <v>1336</v>
      </c>
      <c r="B727" s="31" t="s">
        <v>1337</v>
      </c>
      <c r="C727" s="31" t="s">
        <v>293</v>
      </c>
      <c r="D727" s="31" t="s">
        <v>52</v>
      </c>
      <c r="E727" s="31" t="s">
        <v>246</v>
      </c>
      <c r="F727" s="31" t="s">
        <v>15</v>
      </c>
      <c r="G727" s="31" t="s">
        <v>94</v>
      </c>
      <c r="H727" s="32">
        <v>43563</v>
      </c>
      <c r="I727" s="31">
        <v>92825</v>
      </c>
      <c r="J727" s="33" t="s">
        <v>29</v>
      </c>
    </row>
    <row r="728" s="22" customFormat="1" spans="1:10">
      <c r="A728" s="26" t="s">
        <v>1338</v>
      </c>
      <c r="B728" s="27" t="s">
        <v>1107</v>
      </c>
      <c r="C728" s="27" t="s">
        <v>12</v>
      </c>
      <c r="D728" s="27" t="s">
        <v>38</v>
      </c>
      <c r="E728" s="27" t="s">
        <v>140</v>
      </c>
      <c r="F728" s="27" t="s">
        <v>15</v>
      </c>
      <c r="G728" s="27" t="s">
        <v>28</v>
      </c>
      <c r="H728" s="28">
        <v>44128</v>
      </c>
      <c r="I728" s="27">
        <v>290782</v>
      </c>
      <c r="J728" s="29"/>
    </row>
    <row r="729" s="22" customFormat="1" spans="1:10">
      <c r="A729" s="30" t="s">
        <v>212</v>
      </c>
      <c r="B729" s="31" t="s">
        <v>736</v>
      </c>
      <c r="C729" s="31" t="s">
        <v>19</v>
      </c>
      <c r="D729" s="31" t="s">
        <v>52</v>
      </c>
      <c r="E729" s="31" t="s">
        <v>53</v>
      </c>
      <c r="F729" s="31" t="s">
        <v>15</v>
      </c>
      <c r="G729" s="31" t="s">
        <v>34</v>
      </c>
      <c r="H729" s="32">
        <v>42376</v>
      </c>
      <c r="I729" s="31">
        <v>120139</v>
      </c>
      <c r="J729" s="33" t="s">
        <v>721</v>
      </c>
    </row>
    <row r="730" s="22" customFormat="1" spans="1:10">
      <c r="A730" s="26" t="s">
        <v>1339</v>
      </c>
      <c r="B730" s="27" t="s">
        <v>561</v>
      </c>
      <c r="C730" s="27" t="s">
        <v>19</v>
      </c>
      <c r="D730" s="27" t="s">
        <v>38</v>
      </c>
      <c r="E730" s="27" t="s">
        <v>39</v>
      </c>
      <c r="F730" s="27" t="s">
        <v>15</v>
      </c>
      <c r="G730" s="27" t="s">
        <v>62</v>
      </c>
      <c r="H730" s="28">
        <v>44888</v>
      </c>
      <c r="I730" s="27">
        <v>144862</v>
      </c>
      <c r="J730" s="29"/>
    </row>
    <row r="731" s="22" customFormat="1" spans="1:10">
      <c r="A731" s="30" t="s">
        <v>1340</v>
      </c>
      <c r="B731" s="31" t="s">
        <v>1135</v>
      </c>
      <c r="C731" s="31" t="s">
        <v>12</v>
      </c>
      <c r="D731" s="31" t="s">
        <v>38</v>
      </c>
      <c r="E731" s="31" t="s">
        <v>140</v>
      </c>
      <c r="F731" s="31" t="s">
        <v>15</v>
      </c>
      <c r="G731" s="31" t="s">
        <v>40</v>
      </c>
      <c r="H731" s="32">
        <v>43815</v>
      </c>
      <c r="I731" s="31">
        <v>201682</v>
      </c>
      <c r="J731" s="33" t="s">
        <v>285</v>
      </c>
    </row>
    <row r="732" s="22" customFormat="1" spans="1:10">
      <c r="A732" s="26" t="s">
        <v>1341</v>
      </c>
      <c r="B732" s="27" t="s">
        <v>812</v>
      </c>
      <c r="C732" s="27" t="s">
        <v>19</v>
      </c>
      <c r="D732" s="27" t="s">
        <v>38</v>
      </c>
      <c r="E732" s="27" t="s">
        <v>66</v>
      </c>
      <c r="F732" s="27" t="s">
        <v>15</v>
      </c>
      <c r="G732" s="27" t="s">
        <v>28</v>
      </c>
      <c r="H732" s="28">
        <v>43355</v>
      </c>
      <c r="I732" s="27">
        <v>197277</v>
      </c>
      <c r="J732" s="29" t="s">
        <v>416</v>
      </c>
    </row>
    <row r="733" s="22" customFormat="1" spans="1:10">
      <c r="A733" s="30" t="s">
        <v>1342</v>
      </c>
      <c r="B733" s="31" t="s">
        <v>1343</v>
      </c>
      <c r="C733" s="31" t="s">
        <v>12</v>
      </c>
      <c r="D733" s="31" t="s">
        <v>52</v>
      </c>
      <c r="E733" s="31" t="s">
        <v>120</v>
      </c>
      <c r="F733" s="31" t="s">
        <v>15</v>
      </c>
      <c r="G733" s="31" t="s">
        <v>40</v>
      </c>
      <c r="H733" s="32">
        <v>44707</v>
      </c>
      <c r="I733" s="31">
        <v>135986</v>
      </c>
      <c r="J733" s="33" t="s">
        <v>201</v>
      </c>
    </row>
    <row r="734" s="22" customFormat="1" spans="1:10">
      <c r="A734" s="26" t="s">
        <v>1344</v>
      </c>
      <c r="B734" s="27" t="s">
        <v>1345</v>
      </c>
      <c r="C734" s="27" t="s">
        <v>12</v>
      </c>
      <c r="D734" s="27" t="s">
        <v>32</v>
      </c>
      <c r="E734" s="27" t="s">
        <v>130</v>
      </c>
      <c r="F734" s="27" t="s">
        <v>15</v>
      </c>
      <c r="G734" s="27" t="s">
        <v>62</v>
      </c>
      <c r="H734" s="28">
        <v>44076</v>
      </c>
      <c r="I734" s="27">
        <v>56897</v>
      </c>
      <c r="J734" s="29" t="s">
        <v>197</v>
      </c>
    </row>
    <row r="735" s="22" customFormat="1" spans="1:10">
      <c r="A735" s="30" t="s">
        <v>1346</v>
      </c>
      <c r="B735" s="31" t="s">
        <v>1331</v>
      </c>
      <c r="C735" s="31" t="s">
        <v>19</v>
      </c>
      <c r="D735" s="31" t="s">
        <v>92</v>
      </c>
      <c r="E735" s="31" t="s">
        <v>391</v>
      </c>
      <c r="F735" s="31" t="s">
        <v>15</v>
      </c>
      <c r="G735" s="31" t="s">
        <v>34</v>
      </c>
      <c r="H735" s="32">
        <v>43137</v>
      </c>
      <c r="I735" s="31">
        <v>155461</v>
      </c>
      <c r="J735" s="33" t="s">
        <v>863</v>
      </c>
    </row>
    <row r="736" s="22" customFormat="1" spans="1:10">
      <c r="A736" s="26" t="s">
        <v>1347</v>
      </c>
      <c r="B736" s="27" t="s">
        <v>1155</v>
      </c>
      <c r="C736" s="27" t="s">
        <v>12</v>
      </c>
      <c r="D736" s="27" t="s">
        <v>13</v>
      </c>
      <c r="E736" s="27" t="s">
        <v>14</v>
      </c>
      <c r="F736" s="27" t="s">
        <v>15</v>
      </c>
      <c r="G736" s="27" t="s">
        <v>94</v>
      </c>
      <c r="H736" s="28">
        <v>45091</v>
      </c>
      <c r="I736" s="27">
        <v>67760</v>
      </c>
      <c r="J736" s="29" t="s">
        <v>1348</v>
      </c>
    </row>
    <row r="737" s="22" customFormat="1" spans="1:10">
      <c r="A737" s="30" t="s">
        <v>175</v>
      </c>
      <c r="B737" s="31" t="s">
        <v>1349</v>
      </c>
      <c r="C737" s="31" t="s">
        <v>12</v>
      </c>
      <c r="D737" s="31" t="s">
        <v>52</v>
      </c>
      <c r="E737" s="31" t="s">
        <v>53</v>
      </c>
      <c r="F737" s="31" t="s">
        <v>15</v>
      </c>
      <c r="G737" s="31" t="s">
        <v>28</v>
      </c>
      <c r="H737" s="32">
        <v>45107</v>
      </c>
      <c r="I737" s="31">
        <v>180002</v>
      </c>
      <c r="J737" s="33" t="s">
        <v>1081</v>
      </c>
    </row>
    <row r="738" s="22" customFormat="1" spans="1:10">
      <c r="A738" s="26" t="s">
        <v>1350</v>
      </c>
      <c r="B738" s="27" t="s">
        <v>904</v>
      </c>
      <c r="C738" s="27" t="s">
        <v>19</v>
      </c>
      <c r="D738" s="27" t="s">
        <v>13</v>
      </c>
      <c r="E738" s="27" t="s">
        <v>165</v>
      </c>
      <c r="F738" s="27" t="s">
        <v>15</v>
      </c>
      <c r="G738" s="27" t="s">
        <v>34</v>
      </c>
      <c r="H738" s="28">
        <v>42720</v>
      </c>
      <c r="I738" s="27">
        <v>134875</v>
      </c>
      <c r="J738" s="29"/>
    </row>
    <row r="739" s="22" customFormat="1" spans="1:10">
      <c r="A739" s="30" t="s">
        <v>1351</v>
      </c>
      <c r="B739" s="31" t="s">
        <v>1352</v>
      </c>
      <c r="C739" s="31" t="s">
        <v>19</v>
      </c>
      <c r="D739" s="31" t="s">
        <v>52</v>
      </c>
      <c r="E739" s="31" t="s">
        <v>246</v>
      </c>
      <c r="F739" s="31" t="s">
        <v>22</v>
      </c>
      <c r="G739" s="31" t="s">
        <v>62</v>
      </c>
      <c r="H739" s="32">
        <v>44514</v>
      </c>
      <c r="I739" s="31">
        <v>68992</v>
      </c>
      <c r="J739" s="33" t="s">
        <v>166</v>
      </c>
    </row>
    <row r="740" s="22" customFormat="1" spans="1:10">
      <c r="A740" s="26" t="s">
        <v>1353</v>
      </c>
      <c r="B740" s="27" t="s">
        <v>656</v>
      </c>
      <c r="C740" s="27" t="s">
        <v>19</v>
      </c>
      <c r="D740" s="27" t="s">
        <v>13</v>
      </c>
      <c r="E740" s="27" t="s">
        <v>165</v>
      </c>
      <c r="F740" s="27" t="s">
        <v>15</v>
      </c>
      <c r="G740" s="27" t="s">
        <v>16</v>
      </c>
      <c r="H740" s="28">
        <v>43847</v>
      </c>
      <c r="I740" s="27">
        <v>154293</v>
      </c>
      <c r="J740" s="29" t="s">
        <v>374</v>
      </c>
    </row>
    <row r="741" s="22" customFormat="1" spans="1:10">
      <c r="A741" s="30" t="s">
        <v>1354</v>
      </c>
      <c r="B741" s="31" t="s">
        <v>759</v>
      </c>
      <c r="C741" s="31" t="s">
        <v>19</v>
      </c>
      <c r="D741" s="31" t="s">
        <v>13</v>
      </c>
      <c r="E741" s="31" t="s">
        <v>165</v>
      </c>
      <c r="F741" s="31" t="s">
        <v>15</v>
      </c>
      <c r="G741" s="31" t="s">
        <v>16</v>
      </c>
      <c r="H741" s="32">
        <v>42647</v>
      </c>
      <c r="I741" s="31">
        <v>91470</v>
      </c>
      <c r="J741" s="33" t="s">
        <v>889</v>
      </c>
    </row>
    <row r="742" s="22" customFormat="1" spans="1:10">
      <c r="A742" s="26" t="s">
        <v>41</v>
      </c>
      <c r="B742" s="27" t="s">
        <v>1355</v>
      </c>
      <c r="C742" s="27" t="s">
        <v>12</v>
      </c>
      <c r="D742" s="27" t="s">
        <v>13</v>
      </c>
      <c r="E742" s="27" t="s">
        <v>98</v>
      </c>
      <c r="F742" s="27" t="s">
        <v>15</v>
      </c>
      <c r="G742" s="27" t="s">
        <v>34</v>
      </c>
      <c r="H742" s="28">
        <v>44524</v>
      </c>
      <c r="I742" s="27">
        <v>179692</v>
      </c>
      <c r="J742" s="29" t="s">
        <v>197</v>
      </c>
    </row>
    <row r="743" s="22" customFormat="1" spans="1:10">
      <c r="A743" s="30" t="s">
        <v>201</v>
      </c>
      <c r="B743" s="31" t="s">
        <v>276</v>
      </c>
      <c r="C743" s="31" t="s">
        <v>12</v>
      </c>
      <c r="D743" s="31" t="s">
        <v>87</v>
      </c>
      <c r="E743" s="31" t="s">
        <v>349</v>
      </c>
      <c r="F743" s="31" t="s">
        <v>48</v>
      </c>
      <c r="G743" s="31" t="s">
        <v>94</v>
      </c>
      <c r="H743" s="32">
        <v>44598</v>
      </c>
      <c r="I743" s="31">
        <v>182793</v>
      </c>
      <c r="J743" s="33" t="s">
        <v>259</v>
      </c>
    </row>
    <row r="744" s="22" customFormat="1" spans="1:10">
      <c r="A744" s="26" t="s">
        <v>1356</v>
      </c>
      <c r="B744" s="27" t="s">
        <v>340</v>
      </c>
      <c r="C744" s="27" t="s">
        <v>19</v>
      </c>
      <c r="D744" s="27" t="s">
        <v>26</v>
      </c>
      <c r="E744" s="27" t="s">
        <v>294</v>
      </c>
      <c r="F744" s="27" t="s">
        <v>15</v>
      </c>
      <c r="G744" s="27" t="s">
        <v>62</v>
      </c>
      <c r="H744" s="28">
        <v>44448</v>
      </c>
      <c r="I744" s="27">
        <v>125899</v>
      </c>
      <c r="J744" s="29"/>
    </row>
    <row r="745" s="22" customFormat="1" spans="1:10">
      <c r="A745" s="30" t="s">
        <v>1357</v>
      </c>
      <c r="B745" s="31" t="s">
        <v>384</v>
      </c>
      <c r="C745" s="31" t="s">
        <v>12</v>
      </c>
      <c r="D745" s="31" t="s">
        <v>92</v>
      </c>
      <c r="E745" s="31" t="s">
        <v>189</v>
      </c>
      <c r="F745" s="31" t="s">
        <v>15</v>
      </c>
      <c r="G745" s="31" t="s">
        <v>94</v>
      </c>
      <c r="H745" s="32">
        <v>45591</v>
      </c>
      <c r="I745" s="31">
        <v>73942</v>
      </c>
      <c r="J745" s="33" t="s">
        <v>240</v>
      </c>
    </row>
    <row r="746" s="22" customFormat="1" spans="1:10">
      <c r="A746" s="26" t="s">
        <v>879</v>
      </c>
      <c r="B746" s="27" t="s">
        <v>578</v>
      </c>
      <c r="C746" s="27" t="s">
        <v>19</v>
      </c>
      <c r="D746" s="27" t="s">
        <v>87</v>
      </c>
      <c r="E746" s="27" t="s">
        <v>156</v>
      </c>
      <c r="F746" s="27" t="s">
        <v>15</v>
      </c>
      <c r="G746" s="27" t="s">
        <v>40</v>
      </c>
      <c r="H746" s="28">
        <v>44449</v>
      </c>
      <c r="I746" s="27">
        <v>264211</v>
      </c>
      <c r="J746" s="29" t="s">
        <v>71</v>
      </c>
    </row>
    <row r="747" s="22" customFormat="1" spans="1:10">
      <c r="A747" s="30" t="s">
        <v>1358</v>
      </c>
      <c r="B747" s="31" t="s">
        <v>119</v>
      </c>
      <c r="C747" s="31" t="s">
        <v>12</v>
      </c>
      <c r="D747" s="31" t="s">
        <v>52</v>
      </c>
      <c r="E747" s="31" t="s">
        <v>120</v>
      </c>
      <c r="F747" s="31" t="s">
        <v>15</v>
      </c>
      <c r="G747" s="31" t="s">
        <v>62</v>
      </c>
      <c r="H747" s="32">
        <v>44639</v>
      </c>
      <c r="I747" s="31">
        <v>98638</v>
      </c>
      <c r="J747" s="33" t="s">
        <v>190</v>
      </c>
    </row>
    <row r="748" s="22" customFormat="1" spans="1:10">
      <c r="A748" s="26" t="s">
        <v>1359</v>
      </c>
      <c r="B748" s="27" t="s">
        <v>691</v>
      </c>
      <c r="C748" s="27" t="s">
        <v>12</v>
      </c>
      <c r="D748" s="27" t="s">
        <v>13</v>
      </c>
      <c r="E748" s="27" t="s">
        <v>14</v>
      </c>
      <c r="F748" s="27" t="s">
        <v>48</v>
      </c>
      <c r="G748" s="27" t="s">
        <v>16</v>
      </c>
      <c r="H748" s="28">
        <v>42453</v>
      </c>
      <c r="I748" s="27">
        <v>154415</v>
      </c>
      <c r="J748" s="29" t="s">
        <v>549</v>
      </c>
    </row>
    <row r="749" s="22" customFormat="1" spans="1:10">
      <c r="A749" s="30" t="s">
        <v>1360</v>
      </c>
      <c r="B749" s="31" t="s">
        <v>635</v>
      </c>
      <c r="C749" s="31" t="s">
        <v>12</v>
      </c>
      <c r="D749" s="31" t="s">
        <v>92</v>
      </c>
      <c r="E749" s="31" t="s">
        <v>391</v>
      </c>
      <c r="F749" s="31" t="s">
        <v>15</v>
      </c>
      <c r="G749" s="31" t="s">
        <v>62</v>
      </c>
      <c r="H749" s="32">
        <v>43969</v>
      </c>
      <c r="I749" s="31">
        <v>74270</v>
      </c>
      <c r="J749" s="33" t="s">
        <v>467</v>
      </c>
    </row>
    <row r="750" s="22" customFormat="1" spans="1:10">
      <c r="A750" s="26" t="s">
        <v>782</v>
      </c>
      <c r="B750" s="27" t="s">
        <v>313</v>
      </c>
      <c r="C750" s="27" t="s">
        <v>19</v>
      </c>
      <c r="D750" s="27" t="s">
        <v>20</v>
      </c>
      <c r="E750" s="27" t="s">
        <v>70</v>
      </c>
      <c r="F750" s="27" t="s">
        <v>15</v>
      </c>
      <c r="G750" s="27" t="s">
        <v>16</v>
      </c>
      <c r="H750" s="28">
        <v>44295</v>
      </c>
      <c r="I750" s="27">
        <v>64708</v>
      </c>
      <c r="J750" s="29" t="s">
        <v>372</v>
      </c>
    </row>
    <row r="751" s="22" customFormat="1" spans="1:10">
      <c r="A751" s="30" t="s">
        <v>1361</v>
      </c>
      <c r="B751" s="31" t="s">
        <v>1362</v>
      </c>
      <c r="C751" s="31" t="s">
        <v>19</v>
      </c>
      <c r="D751" s="31" t="s">
        <v>32</v>
      </c>
      <c r="E751" s="31" t="s">
        <v>57</v>
      </c>
      <c r="F751" s="31" t="s">
        <v>15</v>
      </c>
      <c r="G751" s="31" t="s">
        <v>34</v>
      </c>
      <c r="H751" s="32">
        <v>42548</v>
      </c>
      <c r="I751" s="31">
        <v>50950</v>
      </c>
      <c r="J751" s="33" t="s">
        <v>581</v>
      </c>
    </row>
    <row r="752" s="22" customFormat="1" spans="1:10">
      <c r="A752" s="26" t="s">
        <v>1363</v>
      </c>
      <c r="B752" s="27" t="s">
        <v>279</v>
      </c>
      <c r="C752" s="27" t="s">
        <v>19</v>
      </c>
      <c r="D752" s="27" t="s">
        <v>38</v>
      </c>
      <c r="E752" s="27" t="s">
        <v>140</v>
      </c>
      <c r="F752" s="27" t="s">
        <v>15</v>
      </c>
      <c r="G752" s="27" t="s">
        <v>16</v>
      </c>
      <c r="H752" s="28">
        <v>44973</v>
      </c>
      <c r="I752" s="27">
        <v>251186</v>
      </c>
      <c r="J752" s="29"/>
    </row>
    <row r="753" s="22" customFormat="1" spans="1:10">
      <c r="A753" s="30" t="s">
        <v>1364</v>
      </c>
      <c r="B753" s="31" t="s">
        <v>313</v>
      </c>
      <c r="C753" s="31" t="s">
        <v>146</v>
      </c>
      <c r="D753" s="31" t="s">
        <v>20</v>
      </c>
      <c r="E753" s="31" t="s">
        <v>147</v>
      </c>
      <c r="F753" s="31" t="s">
        <v>15</v>
      </c>
      <c r="G753" s="31" t="s">
        <v>40</v>
      </c>
      <c r="H753" s="32">
        <v>43954</v>
      </c>
      <c r="I753" s="31">
        <v>50074</v>
      </c>
      <c r="J753" s="33" t="s">
        <v>58</v>
      </c>
    </row>
    <row r="754" s="22" customFormat="1" spans="1:10">
      <c r="A754" s="26" t="s">
        <v>1365</v>
      </c>
      <c r="B754" s="27" t="s">
        <v>446</v>
      </c>
      <c r="C754" s="27" t="s">
        <v>19</v>
      </c>
      <c r="D754" s="27" t="s">
        <v>32</v>
      </c>
      <c r="E754" s="27" t="s">
        <v>57</v>
      </c>
      <c r="F754" s="27" t="s">
        <v>15</v>
      </c>
      <c r="G754" s="27" t="s">
        <v>94</v>
      </c>
      <c r="H754" s="28">
        <v>43899</v>
      </c>
      <c r="I754" s="27">
        <v>98914</v>
      </c>
      <c r="J754" s="29" t="s">
        <v>727</v>
      </c>
    </row>
    <row r="755" s="22" customFormat="1" spans="1:10">
      <c r="A755" s="30" t="s">
        <v>1366</v>
      </c>
      <c r="B755" s="31" t="s">
        <v>724</v>
      </c>
      <c r="C755" s="31" t="s">
        <v>19</v>
      </c>
      <c r="D755" s="31" t="s">
        <v>13</v>
      </c>
      <c r="E755" s="31" t="s">
        <v>14</v>
      </c>
      <c r="F755" s="31" t="s">
        <v>15</v>
      </c>
      <c r="G755" s="31" t="s">
        <v>94</v>
      </c>
      <c r="H755" s="32">
        <v>43408</v>
      </c>
      <c r="I755" s="31">
        <v>151850</v>
      </c>
      <c r="J755" s="33"/>
    </row>
    <row r="756" s="22" customFormat="1" spans="1:10">
      <c r="A756" s="26" t="s">
        <v>127</v>
      </c>
      <c r="B756" s="27" t="s">
        <v>362</v>
      </c>
      <c r="C756" s="27" t="s">
        <v>146</v>
      </c>
      <c r="D756" s="27" t="s">
        <v>38</v>
      </c>
      <c r="E756" s="27" t="s">
        <v>84</v>
      </c>
      <c r="F756" s="27" t="s">
        <v>15</v>
      </c>
      <c r="G756" s="27" t="s">
        <v>34</v>
      </c>
      <c r="H756" s="28">
        <v>45431</v>
      </c>
      <c r="I756" s="27">
        <v>150316</v>
      </c>
      <c r="J756" s="29" t="s">
        <v>931</v>
      </c>
    </row>
    <row r="757" s="22" customFormat="1" spans="1:10">
      <c r="A757" s="30" t="s">
        <v>117</v>
      </c>
      <c r="B757" s="31" t="s">
        <v>484</v>
      </c>
      <c r="C757" s="31" t="s">
        <v>12</v>
      </c>
      <c r="D757" s="31" t="s">
        <v>52</v>
      </c>
      <c r="E757" s="31" t="s">
        <v>53</v>
      </c>
      <c r="F757" s="31" t="s">
        <v>22</v>
      </c>
      <c r="G757" s="31" t="s">
        <v>28</v>
      </c>
      <c r="H757" s="32">
        <v>42436</v>
      </c>
      <c r="I757" s="31">
        <v>117567</v>
      </c>
      <c r="J757" s="33" t="s">
        <v>288</v>
      </c>
    </row>
    <row r="758" s="22" customFormat="1" spans="1:10">
      <c r="A758" s="26" t="s">
        <v>1367</v>
      </c>
      <c r="B758" s="27" t="s">
        <v>1131</v>
      </c>
      <c r="C758" s="27" t="s">
        <v>19</v>
      </c>
      <c r="D758" s="27" t="s">
        <v>32</v>
      </c>
      <c r="E758" s="27" t="s">
        <v>208</v>
      </c>
      <c r="F758" s="27" t="s">
        <v>15</v>
      </c>
      <c r="G758" s="27" t="s">
        <v>34</v>
      </c>
      <c r="H758" s="28">
        <v>43832</v>
      </c>
      <c r="I758" s="27">
        <v>101630</v>
      </c>
      <c r="J758" s="29" t="s">
        <v>1077</v>
      </c>
    </row>
    <row r="759" s="22" customFormat="1" spans="1:10">
      <c r="A759" s="30" t="s">
        <v>1368</v>
      </c>
      <c r="B759" s="31" t="s">
        <v>417</v>
      </c>
      <c r="C759" s="31" t="s">
        <v>19</v>
      </c>
      <c r="D759" s="31" t="s">
        <v>92</v>
      </c>
      <c r="E759" s="31" t="s">
        <v>391</v>
      </c>
      <c r="F759" s="31" t="s">
        <v>15</v>
      </c>
      <c r="G759" s="31" t="s">
        <v>40</v>
      </c>
      <c r="H759" s="32">
        <v>45599</v>
      </c>
      <c r="I759" s="31">
        <v>124782</v>
      </c>
      <c r="J759" s="33" t="s">
        <v>341</v>
      </c>
    </row>
    <row r="760" s="22" customFormat="1" spans="1:10">
      <c r="A760" s="26" t="s">
        <v>1369</v>
      </c>
      <c r="B760" s="27" t="s">
        <v>1370</v>
      </c>
      <c r="C760" s="27" t="s">
        <v>19</v>
      </c>
      <c r="D760" s="27" t="s">
        <v>52</v>
      </c>
      <c r="E760" s="27" t="s">
        <v>246</v>
      </c>
      <c r="F760" s="27" t="s">
        <v>15</v>
      </c>
      <c r="G760" s="27" t="s">
        <v>62</v>
      </c>
      <c r="H760" s="28">
        <v>42646</v>
      </c>
      <c r="I760" s="27">
        <v>62160</v>
      </c>
      <c r="J760" s="29" t="s">
        <v>806</v>
      </c>
    </row>
    <row r="761" s="22" customFormat="1" spans="1:10">
      <c r="A761" s="30" t="s">
        <v>1371</v>
      </c>
      <c r="B761" s="31" t="s">
        <v>1372</v>
      </c>
      <c r="C761" s="31" t="s">
        <v>19</v>
      </c>
      <c r="D761" s="31" t="s">
        <v>52</v>
      </c>
      <c r="E761" s="31" t="s">
        <v>120</v>
      </c>
      <c r="F761" s="31" t="s">
        <v>22</v>
      </c>
      <c r="G761" s="31" t="s">
        <v>34</v>
      </c>
      <c r="H761" s="32">
        <v>43782</v>
      </c>
      <c r="I761" s="31">
        <v>128604</v>
      </c>
      <c r="J761" s="33" t="s">
        <v>344</v>
      </c>
    </row>
    <row r="762" s="22" customFormat="1" spans="1:10">
      <c r="A762" s="26" t="s">
        <v>1373</v>
      </c>
      <c r="B762" s="27" t="s">
        <v>1374</v>
      </c>
      <c r="C762" s="27" t="s">
        <v>12</v>
      </c>
      <c r="D762" s="27" t="s">
        <v>38</v>
      </c>
      <c r="E762" s="27" t="s">
        <v>140</v>
      </c>
      <c r="F762" s="27" t="s">
        <v>15</v>
      </c>
      <c r="G762" s="27" t="s">
        <v>40</v>
      </c>
      <c r="H762" s="28">
        <v>43357</v>
      </c>
      <c r="I762" s="27">
        <v>138156</v>
      </c>
      <c r="J762" s="29" t="s">
        <v>172</v>
      </c>
    </row>
    <row r="763" s="22" customFormat="1" spans="1:10">
      <c r="A763" s="30" t="s">
        <v>640</v>
      </c>
      <c r="B763" s="31" t="s">
        <v>1375</v>
      </c>
      <c r="C763" s="31" t="s">
        <v>12</v>
      </c>
      <c r="D763" s="31" t="s">
        <v>87</v>
      </c>
      <c r="E763" s="31" t="s">
        <v>111</v>
      </c>
      <c r="F763" s="31" t="s">
        <v>15</v>
      </c>
      <c r="G763" s="31" t="s">
        <v>62</v>
      </c>
      <c r="H763" s="32">
        <v>45372</v>
      </c>
      <c r="I763" s="31">
        <v>131666</v>
      </c>
      <c r="J763" s="33" t="s">
        <v>29</v>
      </c>
    </row>
    <row r="764" s="22" customFormat="1" spans="1:10">
      <c r="A764" s="26" t="s">
        <v>1376</v>
      </c>
      <c r="B764" s="27" t="s">
        <v>720</v>
      </c>
      <c r="C764" s="27" t="s">
        <v>12</v>
      </c>
      <c r="D764" s="27" t="s">
        <v>87</v>
      </c>
      <c r="E764" s="27" t="s">
        <v>88</v>
      </c>
      <c r="F764" s="27" t="s">
        <v>15</v>
      </c>
      <c r="G764" s="27" t="s">
        <v>16</v>
      </c>
      <c r="H764" s="28">
        <v>45061</v>
      </c>
      <c r="I764" s="27">
        <v>181764</v>
      </c>
      <c r="J764" s="29" t="s">
        <v>220</v>
      </c>
    </row>
    <row r="765" s="22" customFormat="1" spans="1:10">
      <c r="A765" s="30" t="s">
        <v>1377</v>
      </c>
      <c r="B765" s="31" t="s">
        <v>384</v>
      </c>
      <c r="C765" s="31" t="s">
        <v>19</v>
      </c>
      <c r="D765" s="31" t="s">
        <v>26</v>
      </c>
      <c r="E765" s="31" t="s">
        <v>61</v>
      </c>
      <c r="F765" s="31" t="s">
        <v>15</v>
      </c>
      <c r="G765" s="31" t="s">
        <v>62</v>
      </c>
      <c r="H765" s="32">
        <v>44943</v>
      </c>
      <c r="I765" s="31">
        <v>156370</v>
      </c>
      <c r="J765" s="33" t="s">
        <v>419</v>
      </c>
    </row>
    <row r="766" s="22" customFormat="1" spans="1:10">
      <c r="A766" s="26" t="s">
        <v>1378</v>
      </c>
      <c r="B766" s="27" t="s">
        <v>1379</v>
      </c>
      <c r="C766" s="27" t="s">
        <v>19</v>
      </c>
      <c r="D766" s="27" t="s">
        <v>38</v>
      </c>
      <c r="E766" s="27" t="s">
        <v>77</v>
      </c>
      <c r="F766" s="27" t="s">
        <v>15</v>
      </c>
      <c r="G766" s="27" t="s">
        <v>16</v>
      </c>
      <c r="H766" s="28">
        <v>42794</v>
      </c>
      <c r="I766" s="27">
        <v>154905</v>
      </c>
      <c r="J766" s="29" t="s">
        <v>471</v>
      </c>
    </row>
    <row r="767" s="22" customFormat="1" spans="1:10">
      <c r="A767" s="30" t="s">
        <v>1380</v>
      </c>
      <c r="B767" s="31" t="s">
        <v>1381</v>
      </c>
      <c r="C767" s="31" t="s">
        <v>12</v>
      </c>
      <c r="D767" s="31" t="s">
        <v>92</v>
      </c>
      <c r="E767" s="31" t="s">
        <v>391</v>
      </c>
      <c r="F767" s="31" t="s">
        <v>15</v>
      </c>
      <c r="G767" s="31" t="s">
        <v>94</v>
      </c>
      <c r="H767" s="32">
        <v>45530</v>
      </c>
      <c r="I767" s="31">
        <v>64730</v>
      </c>
      <c r="J767" s="33"/>
    </row>
    <row r="768" s="22" customFormat="1" spans="1:10">
      <c r="A768" s="26" t="s">
        <v>1382</v>
      </c>
      <c r="B768" s="27" t="s">
        <v>255</v>
      </c>
      <c r="C768" s="27" t="s">
        <v>19</v>
      </c>
      <c r="D768" s="27" t="s">
        <v>26</v>
      </c>
      <c r="E768" s="27" t="s">
        <v>294</v>
      </c>
      <c r="F768" s="27" t="s">
        <v>15</v>
      </c>
      <c r="G768" s="27" t="s">
        <v>62</v>
      </c>
      <c r="H768" s="28">
        <v>44753</v>
      </c>
      <c r="I768" s="27">
        <v>198501</v>
      </c>
      <c r="J768" s="29" t="s">
        <v>581</v>
      </c>
    </row>
    <row r="769" s="22" customFormat="1" spans="1:10">
      <c r="A769" s="30" t="s">
        <v>1383</v>
      </c>
      <c r="B769" s="31" t="s">
        <v>97</v>
      </c>
      <c r="C769" s="31" t="s">
        <v>12</v>
      </c>
      <c r="D769" s="31" t="s">
        <v>52</v>
      </c>
      <c r="E769" s="31" t="s">
        <v>120</v>
      </c>
      <c r="F769" s="31" t="s">
        <v>15</v>
      </c>
      <c r="G769" s="31" t="s">
        <v>16</v>
      </c>
      <c r="H769" s="32">
        <v>45381</v>
      </c>
      <c r="I769" s="31">
        <v>82662</v>
      </c>
      <c r="J769" s="33" t="s">
        <v>29</v>
      </c>
    </row>
    <row r="770" s="22" customFormat="1" spans="1:10">
      <c r="A770" s="26" t="s">
        <v>1384</v>
      </c>
      <c r="B770" s="27" t="s">
        <v>1385</v>
      </c>
      <c r="C770" s="27" t="s">
        <v>19</v>
      </c>
      <c r="D770" s="27" t="s">
        <v>13</v>
      </c>
      <c r="E770" s="27" t="s">
        <v>165</v>
      </c>
      <c r="F770" s="27" t="s">
        <v>15</v>
      </c>
      <c r="G770" s="27" t="s">
        <v>34</v>
      </c>
      <c r="H770" s="28">
        <v>45469</v>
      </c>
      <c r="I770" s="27">
        <v>148154</v>
      </c>
      <c r="J770" s="29" t="s">
        <v>613</v>
      </c>
    </row>
    <row r="771" s="22" customFormat="1" spans="1:10">
      <c r="A771" s="30" t="s">
        <v>1386</v>
      </c>
      <c r="B771" s="31" t="s">
        <v>1387</v>
      </c>
      <c r="C771" s="31" t="s">
        <v>146</v>
      </c>
      <c r="D771" s="31" t="s">
        <v>52</v>
      </c>
      <c r="E771" s="31" t="s">
        <v>120</v>
      </c>
      <c r="F771" s="31" t="s">
        <v>15</v>
      </c>
      <c r="G771" s="31" t="s">
        <v>40</v>
      </c>
      <c r="H771" s="32">
        <v>43731</v>
      </c>
      <c r="I771" s="31">
        <v>139764</v>
      </c>
      <c r="J771" s="33" t="s">
        <v>72</v>
      </c>
    </row>
    <row r="772" s="22" customFormat="1" spans="1:10">
      <c r="A772" s="26" t="s">
        <v>1388</v>
      </c>
      <c r="B772" s="27" t="s">
        <v>110</v>
      </c>
      <c r="C772" s="27" t="s">
        <v>12</v>
      </c>
      <c r="D772" s="27" t="s">
        <v>38</v>
      </c>
      <c r="E772" s="27" t="s">
        <v>140</v>
      </c>
      <c r="F772" s="27" t="s">
        <v>15</v>
      </c>
      <c r="G772" s="27" t="s">
        <v>34</v>
      </c>
      <c r="H772" s="28">
        <v>42916</v>
      </c>
      <c r="I772" s="27">
        <v>280370</v>
      </c>
      <c r="J772" s="29" t="s">
        <v>344</v>
      </c>
    </row>
    <row r="773" s="22" customFormat="1" spans="1:10">
      <c r="A773" s="30" t="s">
        <v>799</v>
      </c>
      <c r="B773" s="31" t="s">
        <v>1067</v>
      </c>
      <c r="C773" s="31" t="s">
        <v>19</v>
      </c>
      <c r="D773" s="31" t="s">
        <v>52</v>
      </c>
      <c r="E773" s="31" t="s">
        <v>53</v>
      </c>
      <c r="F773" s="31" t="s">
        <v>15</v>
      </c>
      <c r="G773" s="31" t="s">
        <v>94</v>
      </c>
      <c r="H773" s="32">
        <v>42551</v>
      </c>
      <c r="I773" s="31">
        <v>85715</v>
      </c>
      <c r="J773" s="33" t="s">
        <v>183</v>
      </c>
    </row>
    <row r="774" s="22" customFormat="1" spans="1:10">
      <c r="A774" s="26" t="s">
        <v>1389</v>
      </c>
      <c r="B774" s="27" t="s">
        <v>484</v>
      </c>
      <c r="C774" s="27" t="s">
        <v>19</v>
      </c>
      <c r="D774" s="27" t="s">
        <v>38</v>
      </c>
      <c r="E774" s="27" t="s">
        <v>39</v>
      </c>
      <c r="F774" s="27" t="s">
        <v>15</v>
      </c>
      <c r="G774" s="27" t="s">
        <v>62</v>
      </c>
      <c r="H774" s="28">
        <v>43813</v>
      </c>
      <c r="I774" s="27">
        <v>149792</v>
      </c>
      <c r="J774" s="29" t="s">
        <v>761</v>
      </c>
    </row>
    <row r="775" s="22" customFormat="1" spans="1:10">
      <c r="A775" s="30" t="s">
        <v>336</v>
      </c>
      <c r="B775" s="31" t="s">
        <v>775</v>
      </c>
      <c r="C775" s="31" t="s">
        <v>12</v>
      </c>
      <c r="D775" s="31" t="s">
        <v>13</v>
      </c>
      <c r="E775" s="31" t="s">
        <v>98</v>
      </c>
      <c r="F775" s="31" t="s">
        <v>15</v>
      </c>
      <c r="G775" s="31" t="s">
        <v>16</v>
      </c>
      <c r="H775" s="32">
        <v>44606</v>
      </c>
      <c r="I775" s="31">
        <v>90066</v>
      </c>
      <c r="J775" s="33" t="s">
        <v>1083</v>
      </c>
    </row>
    <row r="776" s="22" customFormat="1" spans="1:10">
      <c r="A776" s="26" t="s">
        <v>45</v>
      </c>
      <c r="B776" s="27" t="s">
        <v>932</v>
      </c>
      <c r="C776" s="27" t="s">
        <v>12</v>
      </c>
      <c r="D776" s="27" t="s">
        <v>52</v>
      </c>
      <c r="E776" s="27" t="s">
        <v>53</v>
      </c>
      <c r="F776" s="27" t="s">
        <v>15</v>
      </c>
      <c r="G776" s="27" t="s">
        <v>62</v>
      </c>
      <c r="H776" s="28">
        <v>43756</v>
      </c>
      <c r="I776" s="27">
        <v>209353</v>
      </c>
      <c r="J776" s="29" t="s">
        <v>543</v>
      </c>
    </row>
    <row r="777" s="22" customFormat="1" spans="1:10">
      <c r="A777" s="30" t="s">
        <v>1390</v>
      </c>
      <c r="B777" s="31" t="s">
        <v>153</v>
      </c>
      <c r="C777" s="31" t="s">
        <v>19</v>
      </c>
      <c r="D777" s="31" t="s">
        <v>38</v>
      </c>
      <c r="E777" s="31" t="s">
        <v>66</v>
      </c>
      <c r="F777" s="31" t="s">
        <v>15</v>
      </c>
      <c r="G777" s="31" t="s">
        <v>62</v>
      </c>
      <c r="H777" s="32">
        <v>45702</v>
      </c>
      <c r="I777" s="31">
        <v>93583</v>
      </c>
      <c r="J777" s="33" t="s">
        <v>607</v>
      </c>
    </row>
    <row r="778" s="22" customFormat="1" spans="1:10">
      <c r="A778" s="26" t="s">
        <v>102</v>
      </c>
      <c r="B778" s="27" t="s">
        <v>1246</v>
      </c>
      <c r="C778" s="27" t="s">
        <v>293</v>
      </c>
      <c r="D778" s="27" t="s">
        <v>87</v>
      </c>
      <c r="E778" s="27" t="s">
        <v>349</v>
      </c>
      <c r="F778" s="27" t="s">
        <v>22</v>
      </c>
      <c r="G778" s="27" t="s">
        <v>16</v>
      </c>
      <c r="H778" s="28">
        <v>45002</v>
      </c>
      <c r="I778" s="27">
        <v>273469</v>
      </c>
      <c r="J778" s="29" t="s">
        <v>325</v>
      </c>
    </row>
    <row r="779" s="22" customFormat="1" spans="1:10">
      <c r="A779" s="30" t="s">
        <v>1391</v>
      </c>
      <c r="B779" s="31" t="s">
        <v>852</v>
      </c>
      <c r="C779" s="31" t="s">
        <v>12</v>
      </c>
      <c r="D779" s="31" t="s">
        <v>26</v>
      </c>
      <c r="E779" s="31" t="s">
        <v>61</v>
      </c>
      <c r="F779" s="31" t="s">
        <v>15</v>
      </c>
      <c r="G779" s="31" t="s">
        <v>94</v>
      </c>
      <c r="H779" s="32">
        <v>43087</v>
      </c>
      <c r="I779" s="31">
        <v>92989</v>
      </c>
      <c r="J779" s="33" t="s">
        <v>395</v>
      </c>
    </row>
    <row r="780" s="22" customFormat="1" spans="1:10">
      <c r="A780" s="26" t="s">
        <v>1392</v>
      </c>
      <c r="B780" s="27" t="s">
        <v>705</v>
      </c>
      <c r="C780" s="27" t="s">
        <v>19</v>
      </c>
      <c r="D780" s="27" t="s">
        <v>26</v>
      </c>
      <c r="E780" s="27" t="s">
        <v>162</v>
      </c>
      <c r="F780" s="27" t="s">
        <v>48</v>
      </c>
      <c r="G780" s="27" t="s">
        <v>34</v>
      </c>
      <c r="H780" s="28">
        <v>45771</v>
      </c>
      <c r="I780" s="27">
        <v>191081</v>
      </c>
      <c r="J780" s="29" t="s">
        <v>159</v>
      </c>
    </row>
    <row r="781" s="22" customFormat="1" spans="1:10">
      <c r="A781" s="30" t="s">
        <v>372</v>
      </c>
      <c r="B781" s="31" t="s">
        <v>1393</v>
      </c>
      <c r="C781" s="31" t="s">
        <v>19</v>
      </c>
      <c r="D781" s="31" t="s">
        <v>32</v>
      </c>
      <c r="E781" s="31" t="s">
        <v>208</v>
      </c>
      <c r="F781" s="31" t="s">
        <v>15</v>
      </c>
      <c r="G781" s="31" t="s">
        <v>28</v>
      </c>
      <c r="H781" s="32">
        <v>45561</v>
      </c>
      <c r="I781" s="31">
        <v>146560</v>
      </c>
      <c r="J781" s="33"/>
    </row>
    <row r="782" s="22" customFormat="1" spans="1:10">
      <c r="A782" s="26" t="s">
        <v>1394</v>
      </c>
      <c r="B782" s="27" t="s">
        <v>1395</v>
      </c>
      <c r="C782" s="27" t="s">
        <v>12</v>
      </c>
      <c r="D782" s="27" t="s">
        <v>26</v>
      </c>
      <c r="E782" s="27" t="s">
        <v>162</v>
      </c>
      <c r="F782" s="27" t="s">
        <v>15</v>
      </c>
      <c r="G782" s="27" t="s">
        <v>28</v>
      </c>
      <c r="H782" s="28">
        <v>45174</v>
      </c>
      <c r="I782" s="27">
        <v>151301</v>
      </c>
      <c r="J782" s="29" t="s">
        <v>663</v>
      </c>
    </row>
    <row r="783" s="22" customFormat="1" spans="1:10">
      <c r="A783" s="30" t="s">
        <v>237</v>
      </c>
      <c r="B783" s="31" t="s">
        <v>1396</v>
      </c>
      <c r="C783" s="31" t="s">
        <v>19</v>
      </c>
      <c r="D783" s="31" t="s">
        <v>92</v>
      </c>
      <c r="E783" s="31" t="s">
        <v>193</v>
      </c>
      <c r="F783" s="31" t="s">
        <v>15</v>
      </c>
      <c r="G783" s="31" t="s">
        <v>34</v>
      </c>
      <c r="H783" s="32">
        <v>44273</v>
      </c>
      <c r="I783" s="31">
        <v>217008</v>
      </c>
      <c r="J783" s="33" t="s">
        <v>594</v>
      </c>
    </row>
    <row r="784" s="22" customFormat="1" spans="1:10">
      <c r="A784" s="26" t="s">
        <v>89</v>
      </c>
      <c r="B784" s="27" t="s">
        <v>1397</v>
      </c>
      <c r="C784" s="27" t="s">
        <v>12</v>
      </c>
      <c r="D784" s="27" t="s">
        <v>87</v>
      </c>
      <c r="E784" s="27" t="s">
        <v>156</v>
      </c>
      <c r="F784" s="27" t="s">
        <v>15</v>
      </c>
      <c r="G784" s="27" t="s">
        <v>28</v>
      </c>
      <c r="H784" s="28">
        <v>45218</v>
      </c>
      <c r="I784" s="27">
        <v>134842</v>
      </c>
      <c r="J784" s="29" t="s">
        <v>493</v>
      </c>
    </row>
    <row r="785" s="22" customFormat="1" spans="1:10">
      <c r="A785" s="30" t="s">
        <v>1398</v>
      </c>
      <c r="B785" s="31" t="s">
        <v>143</v>
      </c>
      <c r="C785" s="31" t="s">
        <v>19</v>
      </c>
      <c r="D785" s="31" t="s">
        <v>13</v>
      </c>
      <c r="E785" s="31" t="s">
        <v>223</v>
      </c>
      <c r="F785" s="31" t="s">
        <v>15</v>
      </c>
      <c r="G785" s="31" t="s">
        <v>34</v>
      </c>
      <c r="H785" s="32">
        <v>44330</v>
      </c>
      <c r="I785" s="31">
        <v>173458</v>
      </c>
      <c r="J785" s="33" t="s">
        <v>201</v>
      </c>
    </row>
    <row r="786" s="22" customFormat="1" spans="1:10">
      <c r="A786" s="26" t="s">
        <v>1399</v>
      </c>
      <c r="B786" s="27" t="s">
        <v>380</v>
      </c>
      <c r="C786" s="27" t="s">
        <v>19</v>
      </c>
      <c r="D786" s="27" t="s">
        <v>38</v>
      </c>
      <c r="E786" s="27" t="s">
        <v>44</v>
      </c>
      <c r="F786" s="27" t="s">
        <v>15</v>
      </c>
      <c r="G786" s="27" t="s">
        <v>62</v>
      </c>
      <c r="H786" s="28">
        <v>44957</v>
      </c>
      <c r="I786" s="27">
        <v>163741</v>
      </c>
      <c r="J786" s="29" t="s">
        <v>202</v>
      </c>
    </row>
    <row r="787" s="22" customFormat="1" spans="1:10">
      <c r="A787" s="30" t="s">
        <v>1348</v>
      </c>
      <c r="B787" s="31" t="s">
        <v>25</v>
      </c>
      <c r="C787" s="31" t="s">
        <v>12</v>
      </c>
      <c r="D787" s="31" t="s">
        <v>20</v>
      </c>
      <c r="E787" s="31" t="s">
        <v>70</v>
      </c>
      <c r="F787" s="31" t="s">
        <v>15</v>
      </c>
      <c r="G787" s="31" t="s">
        <v>28</v>
      </c>
      <c r="H787" s="32">
        <v>43116</v>
      </c>
      <c r="I787" s="31">
        <v>93910</v>
      </c>
      <c r="J787" s="33" t="s">
        <v>68</v>
      </c>
    </row>
    <row r="788" s="22" customFormat="1" spans="1:10">
      <c r="A788" s="26" t="s">
        <v>1400</v>
      </c>
      <c r="B788" s="27" t="s">
        <v>1401</v>
      </c>
      <c r="C788" s="27" t="s">
        <v>146</v>
      </c>
      <c r="D788" s="27" t="s">
        <v>92</v>
      </c>
      <c r="E788" s="27" t="s">
        <v>93</v>
      </c>
      <c r="F788" s="27" t="s">
        <v>15</v>
      </c>
      <c r="G788" s="27" t="s">
        <v>28</v>
      </c>
      <c r="H788" s="28">
        <v>45693</v>
      </c>
      <c r="I788" s="27">
        <v>129991</v>
      </c>
      <c r="J788" s="29"/>
    </row>
    <row r="789" s="22" customFormat="1" spans="1:10">
      <c r="A789" s="30" t="s">
        <v>1402</v>
      </c>
      <c r="B789" s="31" t="s">
        <v>1242</v>
      </c>
      <c r="C789" s="31" t="s">
        <v>19</v>
      </c>
      <c r="D789" s="31" t="s">
        <v>13</v>
      </c>
      <c r="E789" s="31" t="s">
        <v>223</v>
      </c>
      <c r="F789" s="31" t="s">
        <v>15</v>
      </c>
      <c r="G789" s="31" t="s">
        <v>34</v>
      </c>
      <c r="H789" s="32">
        <v>42922</v>
      </c>
      <c r="I789" s="31">
        <v>144722</v>
      </c>
      <c r="J789" s="33" t="s">
        <v>663</v>
      </c>
    </row>
    <row r="790" s="22" customFormat="1" spans="1:10">
      <c r="A790" s="26" t="s">
        <v>1403</v>
      </c>
      <c r="B790" s="27" t="s">
        <v>1014</v>
      </c>
      <c r="C790" s="27" t="s">
        <v>12</v>
      </c>
      <c r="D790" s="27" t="s">
        <v>13</v>
      </c>
      <c r="E790" s="27" t="s">
        <v>14</v>
      </c>
      <c r="F790" s="27" t="s">
        <v>15</v>
      </c>
      <c r="G790" s="27" t="s">
        <v>62</v>
      </c>
      <c r="H790" s="28">
        <v>42628</v>
      </c>
      <c r="I790" s="27">
        <v>112327</v>
      </c>
      <c r="J790" s="29" t="s">
        <v>1281</v>
      </c>
    </row>
    <row r="791" s="22" customFormat="1" spans="1:10">
      <c r="A791" s="30" t="s">
        <v>1404</v>
      </c>
      <c r="B791" s="31" t="s">
        <v>1405</v>
      </c>
      <c r="C791" s="31" t="s">
        <v>19</v>
      </c>
      <c r="D791" s="31" t="s">
        <v>20</v>
      </c>
      <c r="E791" s="31" t="s">
        <v>21</v>
      </c>
      <c r="F791" s="31" t="s">
        <v>15</v>
      </c>
      <c r="G791" s="31" t="s">
        <v>16</v>
      </c>
      <c r="H791" s="32">
        <v>45302</v>
      </c>
      <c r="I791" s="31">
        <v>68406</v>
      </c>
      <c r="J791" s="33" t="s">
        <v>332</v>
      </c>
    </row>
    <row r="792" s="22" customFormat="1" spans="1:10">
      <c r="A792" s="26" t="s">
        <v>1406</v>
      </c>
      <c r="B792" s="27" t="s">
        <v>1407</v>
      </c>
      <c r="C792" s="27" t="s">
        <v>12</v>
      </c>
      <c r="D792" s="27" t="s">
        <v>38</v>
      </c>
      <c r="E792" s="27" t="s">
        <v>77</v>
      </c>
      <c r="F792" s="27" t="s">
        <v>15</v>
      </c>
      <c r="G792" s="27" t="s">
        <v>40</v>
      </c>
      <c r="H792" s="28">
        <v>45549</v>
      </c>
      <c r="I792" s="27">
        <v>187804</v>
      </c>
      <c r="J792" s="29"/>
    </row>
    <row r="793" s="22" customFormat="1" spans="1:10">
      <c r="A793" s="30" t="s">
        <v>1408</v>
      </c>
      <c r="B793" s="31" t="s">
        <v>1409</v>
      </c>
      <c r="C793" s="31" t="s">
        <v>19</v>
      </c>
      <c r="D793" s="31" t="s">
        <v>92</v>
      </c>
      <c r="E793" s="31" t="s">
        <v>126</v>
      </c>
      <c r="F793" s="31" t="s">
        <v>48</v>
      </c>
      <c r="G793" s="31" t="s">
        <v>16</v>
      </c>
      <c r="H793" s="32">
        <v>44244</v>
      </c>
      <c r="I793" s="31">
        <v>175256</v>
      </c>
      <c r="J793" s="33" t="s">
        <v>316</v>
      </c>
    </row>
    <row r="794" s="22" customFormat="1" spans="1:10">
      <c r="A794" s="26" t="s">
        <v>1410</v>
      </c>
      <c r="B794" s="27" t="s">
        <v>205</v>
      </c>
      <c r="C794" s="27" t="s">
        <v>12</v>
      </c>
      <c r="D794" s="27" t="s">
        <v>92</v>
      </c>
      <c r="E794" s="27" t="s">
        <v>93</v>
      </c>
      <c r="F794" s="27" t="s">
        <v>15</v>
      </c>
      <c r="G794" s="27" t="s">
        <v>94</v>
      </c>
      <c r="H794" s="28">
        <v>42521</v>
      </c>
      <c r="I794" s="27">
        <v>149101</v>
      </c>
      <c r="J794" s="29" t="s">
        <v>721</v>
      </c>
    </row>
    <row r="795" s="22" customFormat="1" spans="1:10">
      <c r="A795" s="30" t="s">
        <v>1411</v>
      </c>
      <c r="B795" s="31" t="s">
        <v>479</v>
      </c>
      <c r="C795" s="31" t="s">
        <v>12</v>
      </c>
      <c r="D795" s="31" t="s">
        <v>32</v>
      </c>
      <c r="E795" s="31" t="s">
        <v>33</v>
      </c>
      <c r="F795" s="31" t="s">
        <v>15</v>
      </c>
      <c r="G795" s="31" t="s">
        <v>62</v>
      </c>
      <c r="H795" s="32">
        <v>43571</v>
      </c>
      <c r="I795" s="31">
        <v>64223</v>
      </c>
      <c r="J795" s="33" t="s">
        <v>127</v>
      </c>
    </row>
    <row r="796" s="22" customFormat="1" spans="1:10">
      <c r="A796" s="26" t="s">
        <v>1412</v>
      </c>
      <c r="B796" s="27" t="s">
        <v>1287</v>
      </c>
      <c r="C796" s="27" t="s">
        <v>19</v>
      </c>
      <c r="D796" s="27" t="s">
        <v>38</v>
      </c>
      <c r="E796" s="27" t="s">
        <v>77</v>
      </c>
      <c r="F796" s="27" t="s">
        <v>15</v>
      </c>
      <c r="G796" s="27" t="s">
        <v>34</v>
      </c>
      <c r="H796" s="28">
        <v>43195</v>
      </c>
      <c r="I796" s="27">
        <v>103668</v>
      </c>
      <c r="J796" s="29"/>
    </row>
    <row r="797" s="22" customFormat="1" spans="1:10">
      <c r="A797" s="30" t="s">
        <v>1413</v>
      </c>
      <c r="B797" s="31" t="s">
        <v>1414</v>
      </c>
      <c r="C797" s="31" t="s">
        <v>12</v>
      </c>
      <c r="D797" s="31" t="s">
        <v>52</v>
      </c>
      <c r="E797" s="31" t="s">
        <v>246</v>
      </c>
      <c r="F797" s="31" t="s">
        <v>22</v>
      </c>
      <c r="G797" s="31" t="s">
        <v>94</v>
      </c>
      <c r="H797" s="32">
        <v>42549</v>
      </c>
      <c r="I797" s="31">
        <v>98984</v>
      </c>
      <c r="J797" s="33" t="s">
        <v>99</v>
      </c>
    </row>
    <row r="798" s="22" customFormat="1" spans="1:10">
      <c r="A798" s="26" t="s">
        <v>234</v>
      </c>
      <c r="B798" s="27" t="s">
        <v>486</v>
      </c>
      <c r="C798" s="27" t="s">
        <v>19</v>
      </c>
      <c r="D798" s="27" t="s">
        <v>20</v>
      </c>
      <c r="E798" s="27" t="s">
        <v>70</v>
      </c>
      <c r="F798" s="27" t="s">
        <v>15</v>
      </c>
      <c r="G798" s="27" t="s">
        <v>40</v>
      </c>
      <c r="H798" s="28">
        <v>45610</v>
      </c>
      <c r="I798" s="27">
        <v>96703</v>
      </c>
      <c r="J798" s="29" t="s">
        <v>275</v>
      </c>
    </row>
    <row r="799" s="22" customFormat="1" spans="1:10">
      <c r="A799" s="30" t="s">
        <v>1415</v>
      </c>
      <c r="B799" s="31" t="s">
        <v>1416</v>
      </c>
      <c r="C799" s="31" t="s">
        <v>12</v>
      </c>
      <c r="D799" s="31" t="s">
        <v>92</v>
      </c>
      <c r="E799" s="31" t="s">
        <v>189</v>
      </c>
      <c r="F799" s="31" t="s">
        <v>15</v>
      </c>
      <c r="G799" s="31" t="s">
        <v>28</v>
      </c>
      <c r="H799" s="32">
        <v>43187</v>
      </c>
      <c r="I799" s="31">
        <v>56576</v>
      </c>
      <c r="J799" s="33" t="s">
        <v>562</v>
      </c>
    </row>
    <row r="800" s="22" customFormat="1" spans="1:10">
      <c r="A800" s="26" t="s">
        <v>1417</v>
      </c>
      <c r="B800" s="27" t="s">
        <v>1418</v>
      </c>
      <c r="C800" s="27" t="s">
        <v>19</v>
      </c>
      <c r="D800" s="27" t="s">
        <v>26</v>
      </c>
      <c r="E800" s="27" t="s">
        <v>162</v>
      </c>
      <c r="F800" s="27" t="s">
        <v>15</v>
      </c>
      <c r="G800" s="27" t="s">
        <v>62</v>
      </c>
      <c r="H800" s="28">
        <v>42541</v>
      </c>
      <c r="I800" s="27">
        <v>160461</v>
      </c>
      <c r="J800" s="29" t="s">
        <v>190</v>
      </c>
    </row>
    <row r="801" s="22" customFormat="1" spans="1:10">
      <c r="A801" s="30" t="s">
        <v>1419</v>
      </c>
      <c r="B801" s="31" t="s">
        <v>1420</v>
      </c>
      <c r="C801" s="31" t="s">
        <v>12</v>
      </c>
      <c r="D801" s="31" t="s">
        <v>20</v>
      </c>
      <c r="E801" s="31" t="s">
        <v>147</v>
      </c>
      <c r="F801" s="31" t="s">
        <v>15</v>
      </c>
      <c r="G801" s="31" t="s">
        <v>94</v>
      </c>
      <c r="H801" s="32">
        <v>43662</v>
      </c>
      <c r="I801" s="31">
        <v>86429</v>
      </c>
      <c r="J801" s="33" t="s">
        <v>96</v>
      </c>
    </row>
    <row r="802" s="22" customFormat="1" spans="1:10">
      <c r="A802" s="26" t="s">
        <v>725</v>
      </c>
      <c r="B802" s="27" t="s">
        <v>825</v>
      </c>
      <c r="C802" s="27" t="s">
        <v>19</v>
      </c>
      <c r="D802" s="27" t="s">
        <v>26</v>
      </c>
      <c r="E802" s="27" t="s">
        <v>27</v>
      </c>
      <c r="F802" s="27" t="s">
        <v>48</v>
      </c>
      <c r="G802" s="27" t="s">
        <v>40</v>
      </c>
      <c r="H802" s="28">
        <v>43640</v>
      </c>
      <c r="I802" s="27">
        <v>121309</v>
      </c>
      <c r="J802" s="29"/>
    </row>
    <row r="803" s="22" customFormat="1" spans="1:10">
      <c r="A803" s="30" t="s">
        <v>1421</v>
      </c>
      <c r="B803" s="31" t="s">
        <v>1422</v>
      </c>
      <c r="C803" s="31" t="s">
        <v>19</v>
      </c>
      <c r="D803" s="31" t="s">
        <v>38</v>
      </c>
      <c r="E803" s="31" t="s">
        <v>44</v>
      </c>
      <c r="F803" s="31" t="s">
        <v>15</v>
      </c>
      <c r="G803" s="31" t="s">
        <v>28</v>
      </c>
      <c r="H803" s="32">
        <v>44481</v>
      </c>
      <c r="I803" s="31">
        <v>128635</v>
      </c>
      <c r="J803" s="33" t="s">
        <v>277</v>
      </c>
    </row>
    <row r="804" s="22" customFormat="1" spans="1:10">
      <c r="A804" s="26" t="s">
        <v>1423</v>
      </c>
      <c r="B804" s="27" t="s">
        <v>1424</v>
      </c>
      <c r="C804" s="27" t="s">
        <v>12</v>
      </c>
      <c r="D804" s="27" t="s">
        <v>92</v>
      </c>
      <c r="E804" s="27" t="s">
        <v>391</v>
      </c>
      <c r="F804" s="27" t="s">
        <v>15</v>
      </c>
      <c r="G804" s="27" t="s">
        <v>94</v>
      </c>
      <c r="H804" s="28">
        <v>44001</v>
      </c>
      <c r="I804" s="27">
        <v>135705</v>
      </c>
      <c r="J804" s="29" t="s">
        <v>863</v>
      </c>
    </row>
    <row r="805" s="22" customFormat="1" spans="1:10">
      <c r="A805" s="30" t="s">
        <v>1425</v>
      </c>
      <c r="B805" s="31" t="s">
        <v>1426</v>
      </c>
      <c r="C805" s="31" t="s">
        <v>293</v>
      </c>
      <c r="D805" s="31" t="s">
        <v>32</v>
      </c>
      <c r="E805" s="31" t="s">
        <v>130</v>
      </c>
      <c r="F805" s="31" t="s">
        <v>15</v>
      </c>
      <c r="G805" s="31" t="s">
        <v>94</v>
      </c>
      <c r="H805" s="32">
        <v>45709</v>
      </c>
      <c r="I805" s="31">
        <v>80489</v>
      </c>
      <c r="J805" s="33" t="s">
        <v>82</v>
      </c>
    </row>
    <row r="806" s="22" customFormat="1" spans="1:10">
      <c r="A806" s="26" t="s">
        <v>1427</v>
      </c>
      <c r="B806" s="27" t="s">
        <v>1428</v>
      </c>
      <c r="C806" s="27" t="s">
        <v>19</v>
      </c>
      <c r="D806" s="27" t="s">
        <v>13</v>
      </c>
      <c r="E806" s="27" t="s">
        <v>165</v>
      </c>
      <c r="F806" s="27" t="s">
        <v>15</v>
      </c>
      <c r="G806" s="27" t="s">
        <v>40</v>
      </c>
      <c r="H806" s="28">
        <v>44594</v>
      </c>
      <c r="I806" s="27">
        <v>101359</v>
      </c>
      <c r="J806" s="29" t="s">
        <v>131</v>
      </c>
    </row>
    <row r="807" s="22" customFormat="1" spans="1:10">
      <c r="A807" s="30" t="s">
        <v>1429</v>
      </c>
      <c r="B807" s="31" t="s">
        <v>820</v>
      </c>
      <c r="C807" s="31" t="s">
        <v>19</v>
      </c>
      <c r="D807" s="31" t="s">
        <v>26</v>
      </c>
      <c r="E807" s="31" t="s">
        <v>294</v>
      </c>
      <c r="F807" s="31" t="s">
        <v>15</v>
      </c>
      <c r="G807" s="31" t="s">
        <v>16</v>
      </c>
      <c r="H807" s="32">
        <v>44309</v>
      </c>
      <c r="I807" s="31">
        <v>196965</v>
      </c>
      <c r="J807" s="33" t="s">
        <v>668</v>
      </c>
    </row>
    <row r="808" s="22" customFormat="1" spans="1:10">
      <c r="A808" s="26" t="s">
        <v>1430</v>
      </c>
      <c r="B808" s="27" t="s">
        <v>559</v>
      </c>
      <c r="C808" s="27" t="s">
        <v>19</v>
      </c>
      <c r="D808" s="27" t="s">
        <v>20</v>
      </c>
      <c r="E808" s="27" t="s">
        <v>21</v>
      </c>
      <c r="F808" s="27" t="s">
        <v>15</v>
      </c>
      <c r="G808" s="27" t="s">
        <v>34</v>
      </c>
      <c r="H808" s="28">
        <v>43407</v>
      </c>
      <c r="I808" s="27">
        <v>87246</v>
      </c>
      <c r="J808" s="29" t="s">
        <v>562</v>
      </c>
    </row>
    <row r="809" s="22" customFormat="1" spans="1:10">
      <c r="A809" s="30" t="s">
        <v>1431</v>
      </c>
      <c r="B809" s="31" t="s">
        <v>948</v>
      </c>
      <c r="C809" s="31" t="s">
        <v>19</v>
      </c>
      <c r="D809" s="31" t="s">
        <v>20</v>
      </c>
      <c r="E809" s="31" t="s">
        <v>147</v>
      </c>
      <c r="F809" s="31" t="s">
        <v>15</v>
      </c>
      <c r="G809" s="31" t="s">
        <v>34</v>
      </c>
      <c r="H809" s="32">
        <v>42519</v>
      </c>
      <c r="I809" s="31">
        <v>57975</v>
      </c>
      <c r="J809" s="33" t="s">
        <v>206</v>
      </c>
    </row>
    <row r="810" s="22" customFormat="1" spans="1:10">
      <c r="A810" s="26" t="s">
        <v>1432</v>
      </c>
      <c r="B810" s="27" t="s">
        <v>1000</v>
      </c>
      <c r="C810" s="27" t="s">
        <v>12</v>
      </c>
      <c r="D810" s="27" t="s">
        <v>13</v>
      </c>
      <c r="E810" s="27" t="s">
        <v>14</v>
      </c>
      <c r="F810" s="27" t="s">
        <v>15</v>
      </c>
      <c r="G810" s="27" t="s">
        <v>94</v>
      </c>
      <c r="H810" s="28">
        <v>45455</v>
      </c>
      <c r="I810" s="27">
        <v>148174</v>
      </c>
      <c r="J810" s="29" t="s">
        <v>148</v>
      </c>
    </row>
    <row r="811" s="22" customFormat="1" spans="1:10">
      <c r="A811" s="30" t="s">
        <v>1433</v>
      </c>
      <c r="B811" s="31" t="s">
        <v>431</v>
      </c>
      <c r="C811" s="31" t="s">
        <v>19</v>
      </c>
      <c r="D811" s="31" t="s">
        <v>38</v>
      </c>
      <c r="E811" s="31" t="s">
        <v>77</v>
      </c>
      <c r="F811" s="31" t="s">
        <v>15</v>
      </c>
      <c r="G811" s="31" t="s">
        <v>34</v>
      </c>
      <c r="H811" s="32">
        <v>45019</v>
      </c>
      <c r="I811" s="31">
        <v>102328</v>
      </c>
      <c r="J811" s="33" t="s">
        <v>855</v>
      </c>
    </row>
    <row r="812" s="22" customFormat="1" spans="1:10">
      <c r="A812" s="26" t="s">
        <v>1434</v>
      </c>
      <c r="B812" s="27" t="s">
        <v>1435</v>
      </c>
      <c r="C812" s="27" t="s">
        <v>19</v>
      </c>
      <c r="D812" s="27" t="s">
        <v>20</v>
      </c>
      <c r="E812" s="27" t="s">
        <v>21</v>
      </c>
      <c r="F812" s="27" t="s">
        <v>15</v>
      </c>
      <c r="G812" s="27" t="s">
        <v>40</v>
      </c>
      <c r="H812" s="28">
        <v>43152</v>
      </c>
      <c r="I812" s="27">
        <v>76816</v>
      </c>
      <c r="J812" s="29" t="s">
        <v>386</v>
      </c>
    </row>
    <row r="813" s="22" customFormat="1" spans="1:10">
      <c r="A813" s="30" t="s">
        <v>911</v>
      </c>
      <c r="B813" s="31" t="s">
        <v>1436</v>
      </c>
      <c r="C813" s="31" t="s">
        <v>19</v>
      </c>
      <c r="D813" s="31" t="s">
        <v>52</v>
      </c>
      <c r="E813" s="31" t="s">
        <v>53</v>
      </c>
      <c r="F813" s="31" t="s">
        <v>15</v>
      </c>
      <c r="G813" s="31" t="s">
        <v>16</v>
      </c>
      <c r="H813" s="32">
        <v>43541</v>
      </c>
      <c r="I813" s="31">
        <v>153074</v>
      </c>
      <c r="J813" s="33" t="s">
        <v>525</v>
      </c>
    </row>
    <row r="814" s="22" customFormat="1" spans="1:10">
      <c r="A814" s="26" t="s">
        <v>1437</v>
      </c>
      <c r="B814" s="27" t="s">
        <v>680</v>
      </c>
      <c r="C814" s="27" t="s">
        <v>19</v>
      </c>
      <c r="D814" s="27" t="s">
        <v>38</v>
      </c>
      <c r="E814" s="27" t="s">
        <v>66</v>
      </c>
      <c r="F814" s="27" t="s">
        <v>15</v>
      </c>
      <c r="G814" s="27" t="s">
        <v>94</v>
      </c>
      <c r="H814" s="28">
        <v>43832</v>
      </c>
      <c r="I814" s="27">
        <v>120062</v>
      </c>
      <c r="J814" s="29" t="s">
        <v>708</v>
      </c>
    </row>
    <row r="815" s="22" customFormat="1" spans="1:10">
      <c r="A815" s="30" t="s">
        <v>1438</v>
      </c>
      <c r="B815" s="31" t="s">
        <v>506</v>
      </c>
      <c r="C815" s="31" t="s">
        <v>12</v>
      </c>
      <c r="D815" s="31" t="s">
        <v>20</v>
      </c>
      <c r="E815" s="31" t="s">
        <v>147</v>
      </c>
      <c r="F815" s="31" t="s">
        <v>15</v>
      </c>
      <c r="G815" s="31" t="s">
        <v>62</v>
      </c>
      <c r="H815" s="32">
        <v>45901</v>
      </c>
      <c r="I815" s="31">
        <v>98793</v>
      </c>
      <c r="J815" s="33" t="s">
        <v>379</v>
      </c>
    </row>
    <row r="816" s="22" customFormat="1" spans="1:10">
      <c r="A816" s="26" t="s">
        <v>1439</v>
      </c>
      <c r="B816" s="27" t="s">
        <v>1440</v>
      </c>
      <c r="C816" s="27" t="s">
        <v>12</v>
      </c>
      <c r="D816" s="27" t="s">
        <v>52</v>
      </c>
      <c r="E816" s="27" t="s">
        <v>246</v>
      </c>
      <c r="F816" s="27" t="s">
        <v>15</v>
      </c>
      <c r="G816" s="27" t="s">
        <v>94</v>
      </c>
      <c r="H816" s="28">
        <v>45568</v>
      </c>
      <c r="I816" s="27">
        <v>62931</v>
      </c>
      <c r="J816" s="29"/>
    </row>
    <row r="817" s="22" customFormat="1" spans="1:10">
      <c r="A817" s="30" t="s">
        <v>71</v>
      </c>
      <c r="B817" s="31" t="s">
        <v>1273</v>
      </c>
      <c r="C817" s="31" t="s">
        <v>19</v>
      </c>
      <c r="D817" s="31" t="s">
        <v>92</v>
      </c>
      <c r="E817" s="31" t="s">
        <v>193</v>
      </c>
      <c r="F817" s="31" t="s">
        <v>15</v>
      </c>
      <c r="G817" s="31" t="s">
        <v>94</v>
      </c>
      <c r="H817" s="32">
        <v>42565</v>
      </c>
      <c r="I817" s="31">
        <v>138080</v>
      </c>
      <c r="J817" s="33" t="s">
        <v>711</v>
      </c>
    </row>
    <row r="818" s="22" customFormat="1" spans="1:10">
      <c r="A818" s="26" t="s">
        <v>1441</v>
      </c>
      <c r="B818" s="27" t="s">
        <v>1442</v>
      </c>
      <c r="C818" s="27" t="s">
        <v>12</v>
      </c>
      <c r="D818" s="27" t="s">
        <v>32</v>
      </c>
      <c r="E818" s="27" t="s">
        <v>130</v>
      </c>
      <c r="F818" s="27" t="s">
        <v>15</v>
      </c>
      <c r="G818" s="27" t="s">
        <v>62</v>
      </c>
      <c r="H818" s="28">
        <v>45055</v>
      </c>
      <c r="I818" s="27">
        <v>113462</v>
      </c>
      <c r="J818" s="29" t="s">
        <v>1259</v>
      </c>
    </row>
    <row r="819" s="22" customFormat="1" spans="1:10">
      <c r="A819" s="30" t="s">
        <v>1443</v>
      </c>
      <c r="B819" s="31" t="s">
        <v>1444</v>
      </c>
      <c r="C819" s="31" t="s">
        <v>19</v>
      </c>
      <c r="D819" s="31" t="s">
        <v>13</v>
      </c>
      <c r="E819" s="31" t="s">
        <v>223</v>
      </c>
      <c r="F819" s="31" t="s">
        <v>48</v>
      </c>
      <c r="G819" s="31" t="s">
        <v>94</v>
      </c>
      <c r="H819" s="32">
        <v>43729</v>
      </c>
      <c r="I819" s="31">
        <v>197390</v>
      </c>
      <c r="J819" s="33" t="s">
        <v>295</v>
      </c>
    </row>
    <row r="820" s="22" customFormat="1" spans="1:10">
      <c r="A820" s="26" t="s">
        <v>1445</v>
      </c>
      <c r="B820" s="27" t="s">
        <v>660</v>
      </c>
      <c r="C820" s="27" t="s">
        <v>12</v>
      </c>
      <c r="D820" s="27" t="s">
        <v>38</v>
      </c>
      <c r="E820" s="27" t="s">
        <v>44</v>
      </c>
      <c r="F820" s="27" t="s">
        <v>15</v>
      </c>
      <c r="G820" s="27" t="s">
        <v>40</v>
      </c>
      <c r="H820" s="28">
        <v>43489</v>
      </c>
      <c r="I820" s="27">
        <v>152107</v>
      </c>
      <c r="J820" s="29" t="s">
        <v>419</v>
      </c>
    </row>
    <row r="821" s="22" customFormat="1" spans="1:10">
      <c r="A821" s="30" t="s">
        <v>1446</v>
      </c>
      <c r="B821" s="31" t="s">
        <v>593</v>
      </c>
      <c r="C821" s="31" t="s">
        <v>12</v>
      </c>
      <c r="D821" s="31" t="s">
        <v>13</v>
      </c>
      <c r="E821" s="31" t="s">
        <v>165</v>
      </c>
      <c r="F821" s="31" t="s">
        <v>15</v>
      </c>
      <c r="G821" s="31" t="s">
        <v>16</v>
      </c>
      <c r="H821" s="32">
        <v>42879</v>
      </c>
      <c r="I821" s="31">
        <v>97743</v>
      </c>
      <c r="J821" s="33" t="s">
        <v>722</v>
      </c>
    </row>
    <row r="822" s="22" customFormat="1" spans="1:10">
      <c r="A822" s="26" t="s">
        <v>1447</v>
      </c>
      <c r="B822" s="27" t="s">
        <v>682</v>
      </c>
      <c r="C822" s="27" t="s">
        <v>12</v>
      </c>
      <c r="D822" s="27" t="s">
        <v>52</v>
      </c>
      <c r="E822" s="27" t="s">
        <v>246</v>
      </c>
      <c r="F822" s="27" t="s">
        <v>15</v>
      </c>
      <c r="G822" s="27" t="s">
        <v>40</v>
      </c>
      <c r="H822" s="28">
        <v>45644</v>
      </c>
      <c r="I822" s="27">
        <v>134335</v>
      </c>
      <c r="J822" s="29" t="s">
        <v>761</v>
      </c>
    </row>
    <row r="823" s="22" customFormat="1" spans="1:10">
      <c r="A823" s="30" t="s">
        <v>1448</v>
      </c>
      <c r="B823" s="31" t="s">
        <v>1280</v>
      </c>
      <c r="C823" s="31" t="s">
        <v>19</v>
      </c>
      <c r="D823" s="31" t="s">
        <v>38</v>
      </c>
      <c r="E823" s="31" t="s">
        <v>77</v>
      </c>
      <c r="F823" s="31" t="s">
        <v>15</v>
      </c>
      <c r="G823" s="31" t="s">
        <v>16</v>
      </c>
      <c r="H823" s="32">
        <v>43877</v>
      </c>
      <c r="I823" s="31">
        <v>169541</v>
      </c>
      <c r="J823" s="33" t="s">
        <v>374</v>
      </c>
    </row>
    <row r="824" s="22" customFormat="1" spans="1:10">
      <c r="A824" s="26" t="s">
        <v>1449</v>
      </c>
      <c r="B824" s="27" t="s">
        <v>847</v>
      </c>
      <c r="C824" s="27" t="s">
        <v>12</v>
      </c>
      <c r="D824" s="27" t="s">
        <v>13</v>
      </c>
      <c r="E824" s="27" t="s">
        <v>223</v>
      </c>
      <c r="F824" s="27" t="s">
        <v>48</v>
      </c>
      <c r="G824" s="27" t="s">
        <v>40</v>
      </c>
      <c r="H824" s="28">
        <v>44159</v>
      </c>
      <c r="I824" s="27">
        <v>138411</v>
      </c>
      <c r="J824" s="29" t="s">
        <v>379</v>
      </c>
    </row>
    <row r="825" s="22" customFormat="1" spans="1:10">
      <c r="A825" s="30" t="s">
        <v>1450</v>
      </c>
      <c r="B825" s="31" t="s">
        <v>1451</v>
      </c>
      <c r="C825" s="31" t="s">
        <v>12</v>
      </c>
      <c r="D825" s="31" t="s">
        <v>13</v>
      </c>
      <c r="E825" s="31" t="s">
        <v>223</v>
      </c>
      <c r="F825" s="31" t="s">
        <v>15</v>
      </c>
      <c r="G825" s="31" t="s">
        <v>40</v>
      </c>
      <c r="H825" s="32">
        <v>44008</v>
      </c>
      <c r="I825" s="31">
        <v>233575</v>
      </c>
      <c r="J825" s="33" t="s">
        <v>212</v>
      </c>
    </row>
    <row r="826" s="22" customFormat="1" spans="1:10">
      <c r="A826" s="26" t="s">
        <v>1452</v>
      </c>
      <c r="B826" s="27" t="s">
        <v>466</v>
      </c>
      <c r="C826" s="27" t="s">
        <v>146</v>
      </c>
      <c r="D826" s="27" t="s">
        <v>92</v>
      </c>
      <c r="E826" s="27" t="s">
        <v>93</v>
      </c>
      <c r="F826" s="27" t="s">
        <v>15</v>
      </c>
      <c r="G826" s="27" t="s">
        <v>40</v>
      </c>
      <c r="H826" s="28">
        <v>45414</v>
      </c>
      <c r="I826" s="27">
        <v>77744</v>
      </c>
      <c r="J826" s="29" t="s">
        <v>970</v>
      </c>
    </row>
    <row r="827" s="22" customFormat="1" spans="1:10">
      <c r="A827" s="30" t="s">
        <v>1453</v>
      </c>
      <c r="B827" s="31" t="s">
        <v>913</v>
      </c>
      <c r="C827" s="31" t="s">
        <v>19</v>
      </c>
      <c r="D827" s="31" t="s">
        <v>20</v>
      </c>
      <c r="E827" s="31" t="s">
        <v>21</v>
      </c>
      <c r="F827" s="31" t="s">
        <v>15</v>
      </c>
      <c r="G827" s="31" t="s">
        <v>62</v>
      </c>
      <c r="H827" s="32">
        <v>44171</v>
      </c>
      <c r="I827" s="31">
        <v>66009</v>
      </c>
      <c r="J827" s="33" t="s">
        <v>175</v>
      </c>
    </row>
    <row r="828" s="22" customFormat="1" spans="1:10">
      <c r="A828" s="26" t="s">
        <v>1454</v>
      </c>
      <c r="B828" s="27" t="s">
        <v>736</v>
      </c>
      <c r="C828" s="27" t="s">
        <v>19</v>
      </c>
      <c r="D828" s="27" t="s">
        <v>13</v>
      </c>
      <c r="E828" s="27" t="s">
        <v>14</v>
      </c>
      <c r="F828" s="27" t="s">
        <v>15</v>
      </c>
      <c r="G828" s="27" t="s">
        <v>62</v>
      </c>
      <c r="H828" s="28">
        <v>43953</v>
      </c>
      <c r="I828" s="27">
        <v>163219</v>
      </c>
      <c r="J828" s="29" t="s">
        <v>929</v>
      </c>
    </row>
    <row r="829" s="22" customFormat="1" spans="1:10">
      <c r="A829" s="30" t="s">
        <v>341</v>
      </c>
      <c r="B829" s="31" t="s">
        <v>1455</v>
      </c>
      <c r="C829" s="31" t="s">
        <v>19</v>
      </c>
      <c r="D829" s="31" t="s">
        <v>13</v>
      </c>
      <c r="E829" s="31" t="s">
        <v>98</v>
      </c>
      <c r="F829" s="31" t="s">
        <v>15</v>
      </c>
      <c r="G829" s="31" t="s">
        <v>62</v>
      </c>
      <c r="H829" s="32">
        <v>43758</v>
      </c>
      <c r="I829" s="31">
        <v>222625</v>
      </c>
      <c r="J829" s="33" t="s">
        <v>957</v>
      </c>
    </row>
    <row r="830" s="22" customFormat="1" spans="1:10">
      <c r="A830" s="26" t="s">
        <v>1456</v>
      </c>
      <c r="B830" s="27" t="s">
        <v>340</v>
      </c>
      <c r="C830" s="27" t="s">
        <v>12</v>
      </c>
      <c r="D830" s="27" t="s">
        <v>26</v>
      </c>
      <c r="E830" s="27" t="s">
        <v>294</v>
      </c>
      <c r="F830" s="27" t="s">
        <v>15</v>
      </c>
      <c r="G830" s="27" t="s">
        <v>94</v>
      </c>
      <c r="H830" s="28">
        <v>43135</v>
      </c>
      <c r="I830" s="27">
        <v>286329</v>
      </c>
      <c r="J830" s="29" t="s">
        <v>341</v>
      </c>
    </row>
    <row r="831" s="22" customFormat="1" spans="1:10">
      <c r="A831" s="30" t="s">
        <v>1457</v>
      </c>
      <c r="B831" s="31" t="s">
        <v>717</v>
      </c>
      <c r="C831" s="31" t="s">
        <v>12</v>
      </c>
      <c r="D831" s="31" t="s">
        <v>13</v>
      </c>
      <c r="E831" s="31" t="s">
        <v>165</v>
      </c>
      <c r="F831" s="31" t="s">
        <v>48</v>
      </c>
      <c r="G831" s="31" t="s">
        <v>62</v>
      </c>
      <c r="H831" s="32">
        <v>44402</v>
      </c>
      <c r="I831" s="31">
        <v>73250</v>
      </c>
      <c r="J831" s="33" t="s">
        <v>813</v>
      </c>
    </row>
    <row r="832" s="22" customFormat="1" spans="1:10">
      <c r="A832" s="26" t="s">
        <v>240</v>
      </c>
      <c r="B832" s="27" t="s">
        <v>913</v>
      </c>
      <c r="C832" s="27" t="s">
        <v>12</v>
      </c>
      <c r="D832" s="27" t="s">
        <v>87</v>
      </c>
      <c r="E832" s="27" t="s">
        <v>111</v>
      </c>
      <c r="F832" s="27" t="s">
        <v>15</v>
      </c>
      <c r="G832" s="27" t="s">
        <v>16</v>
      </c>
      <c r="H832" s="28">
        <v>45204</v>
      </c>
      <c r="I832" s="27">
        <v>261849</v>
      </c>
      <c r="J832" s="29" t="s">
        <v>376</v>
      </c>
    </row>
    <row r="833" s="22" customFormat="1" spans="1:10">
      <c r="A833" s="30" t="s">
        <v>1458</v>
      </c>
      <c r="B833" s="31" t="s">
        <v>1459</v>
      </c>
      <c r="C833" s="31" t="s">
        <v>19</v>
      </c>
      <c r="D833" s="31" t="s">
        <v>13</v>
      </c>
      <c r="E833" s="31" t="s">
        <v>223</v>
      </c>
      <c r="F833" s="31" t="s">
        <v>15</v>
      </c>
      <c r="G833" s="31" t="s">
        <v>62</v>
      </c>
      <c r="H833" s="32">
        <v>44407</v>
      </c>
      <c r="I833" s="31">
        <v>199928</v>
      </c>
      <c r="J833" s="33" t="s">
        <v>386</v>
      </c>
    </row>
    <row r="834" s="22" customFormat="1" spans="1:10">
      <c r="A834" s="26" t="s">
        <v>1460</v>
      </c>
      <c r="B834" s="27" t="s">
        <v>1173</v>
      </c>
      <c r="C834" s="27" t="s">
        <v>19</v>
      </c>
      <c r="D834" s="27" t="s">
        <v>38</v>
      </c>
      <c r="E834" s="27" t="s">
        <v>140</v>
      </c>
      <c r="F834" s="27" t="s">
        <v>15</v>
      </c>
      <c r="G834" s="27" t="s">
        <v>40</v>
      </c>
      <c r="H834" s="28">
        <v>43874</v>
      </c>
      <c r="I834" s="27">
        <v>292571</v>
      </c>
      <c r="J834" s="29" t="s">
        <v>640</v>
      </c>
    </row>
    <row r="835" s="22" customFormat="1" spans="1:10">
      <c r="A835" s="30" t="s">
        <v>1461</v>
      </c>
      <c r="B835" s="31" t="s">
        <v>1462</v>
      </c>
      <c r="C835" s="31" t="s">
        <v>19</v>
      </c>
      <c r="D835" s="31" t="s">
        <v>38</v>
      </c>
      <c r="E835" s="31" t="s">
        <v>44</v>
      </c>
      <c r="F835" s="31" t="s">
        <v>15</v>
      </c>
      <c r="G835" s="31" t="s">
        <v>34</v>
      </c>
      <c r="H835" s="32">
        <v>45635</v>
      </c>
      <c r="I835" s="31">
        <v>118097</v>
      </c>
      <c r="J835" s="33" t="s">
        <v>285</v>
      </c>
    </row>
    <row r="836" s="22" customFormat="1" spans="1:10">
      <c r="A836" s="26" t="s">
        <v>1463</v>
      </c>
      <c r="B836" s="27" t="s">
        <v>1464</v>
      </c>
      <c r="C836" s="27" t="s">
        <v>12</v>
      </c>
      <c r="D836" s="27" t="s">
        <v>92</v>
      </c>
      <c r="E836" s="27" t="s">
        <v>126</v>
      </c>
      <c r="F836" s="27" t="s">
        <v>15</v>
      </c>
      <c r="G836" s="27" t="s">
        <v>62</v>
      </c>
      <c r="H836" s="28">
        <v>44496</v>
      </c>
      <c r="I836" s="27">
        <v>162297</v>
      </c>
      <c r="J836" s="29" t="s">
        <v>172</v>
      </c>
    </row>
    <row r="837" s="22" customFormat="1" spans="1:10">
      <c r="A837" s="30" t="s">
        <v>1465</v>
      </c>
      <c r="B837" s="31" t="s">
        <v>47</v>
      </c>
      <c r="C837" s="31" t="s">
        <v>19</v>
      </c>
      <c r="D837" s="31" t="s">
        <v>13</v>
      </c>
      <c r="E837" s="31" t="s">
        <v>223</v>
      </c>
      <c r="F837" s="31" t="s">
        <v>15</v>
      </c>
      <c r="G837" s="31" t="s">
        <v>28</v>
      </c>
      <c r="H837" s="32">
        <v>43462</v>
      </c>
      <c r="I837" s="31">
        <v>139606</v>
      </c>
      <c r="J837" s="33" t="s">
        <v>911</v>
      </c>
    </row>
    <row r="838" s="22" customFormat="1" spans="1:10">
      <c r="A838" s="26" t="s">
        <v>1466</v>
      </c>
      <c r="B838" s="27" t="s">
        <v>962</v>
      </c>
      <c r="C838" s="27" t="s">
        <v>12</v>
      </c>
      <c r="D838" s="27" t="s">
        <v>20</v>
      </c>
      <c r="E838" s="27" t="s">
        <v>147</v>
      </c>
      <c r="F838" s="27" t="s">
        <v>15</v>
      </c>
      <c r="G838" s="27" t="s">
        <v>62</v>
      </c>
      <c r="H838" s="28">
        <v>45651</v>
      </c>
      <c r="I838" s="27">
        <v>112331</v>
      </c>
      <c r="J838" s="29" t="s">
        <v>456</v>
      </c>
    </row>
    <row r="839" s="22" customFormat="1" spans="1:10">
      <c r="A839" s="30" t="s">
        <v>1467</v>
      </c>
      <c r="B839" s="31" t="s">
        <v>600</v>
      </c>
      <c r="C839" s="31" t="s">
        <v>19</v>
      </c>
      <c r="D839" s="31" t="s">
        <v>13</v>
      </c>
      <c r="E839" s="31" t="s">
        <v>165</v>
      </c>
      <c r="F839" s="31" t="s">
        <v>15</v>
      </c>
      <c r="G839" s="31" t="s">
        <v>40</v>
      </c>
      <c r="H839" s="32">
        <v>42708</v>
      </c>
      <c r="I839" s="31">
        <v>124819</v>
      </c>
      <c r="J839" s="33" t="s">
        <v>668</v>
      </c>
    </row>
    <row r="840" s="22" customFormat="1" spans="1:10">
      <c r="A840" s="26" t="s">
        <v>224</v>
      </c>
      <c r="B840" s="27" t="s">
        <v>1468</v>
      </c>
      <c r="C840" s="27" t="s">
        <v>19</v>
      </c>
      <c r="D840" s="27" t="s">
        <v>92</v>
      </c>
      <c r="E840" s="27" t="s">
        <v>193</v>
      </c>
      <c r="F840" s="27" t="s">
        <v>15</v>
      </c>
      <c r="G840" s="27" t="s">
        <v>16</v>
      </c>
      <c r="H840" s="28">
        <v>45348</v>
      </c>
      <c r="I840" s="27">
        <v>164021</v>
      </c>
      <c r="J840" s="29" t="s">
        <v>1036</v>
      </c>
    </row>
    <row r="841" s="22" customFormat="1" spans="1:10">
      <c r="A841" s="30" t="s">
        <v>1469</v>
      </c>
      <c r="B841" s="31" t="s">
        <v>324</v>
      </c>
      <c r="C841" s="31" t="s">
        <v>12</v>
      </c>
      <c r="D841" s="31" t="s">
        <v>32</v>
      </c>
      <c r="E841" s="31" t="s">
        <v>57</v>
      </c>
      <c r="F841" s="31" t="s">
        <v>15</v>
      </c>
      <c r="G841" s="31" t="s">
        <v>28</v>
      </c>
      <c r="H841" s="32">
        <v>44108</v>
      </c>
      <c r="I841" s="31">
        <v>87187</v>
      </c>
      <c r="J841" s="33" t="s">
        <v>1018</v>
      </c>
    </row>
    <row r="842" s="22" customFormat="1" spans="1:10">
      <c r="A842" s="26" t="s">
        <v>1470</v>
      </c>
      <c r="B842" s="27" t="s">
        <v>801</v>
      </c>
      <c r="C842" s="27" t="s">
        <v>19</v>
      </c>
      <c r="D842" s="27" t="s">
        <v>38</v>
      </c>
      <c r="E842" s="27" t="s">
        <v>66</v>
      </c>
      <c r="F842" s="27" t="s">
        <v>15</v>
      </c>
      <c r="G842" s="27" t="s">
        <v>28</v>
      </c>
      <c r="H842" s="28">
        <v>42693</v>
      </c>
      <c r="I842" s="27">
        <v>176530</v>
      </c>
      <c r="J842" s="29" t="s">
        <v>604</v>
      </c>
    </row>
    <row r="843" s="22" customFormat="1" spans="1:10">
      <c r="A843" s="30" t="s">
        <v>1471</v>
      </c>
      <c r="B843" s="31" t="s">
        <v>414</v>
      </c>
      <c r="C843" s="31" t="s">
        <v>12</v>
      </c>
      <c r="D843" s="31" t="s">
        <v>32</v>
      </c>
      <c r="E843" s="31" t="s">
        <v>130</v>
      </c>
      <c r="F843" s="31" t="s">
        <v>15</v>
      </c>
      <c r="G843" s="31" t="s">
        <v>16</v>
      </c>
      <c r="H843" s="32">
        <v>44133</v>
      </c>
      <c r="I843" s="31">
        <v>68510</v>
      </c>
      <c r="J843" s="33" t="s">
        <v>288</v>
      </c>
    </row>
    <row r="844" s="22" customFormat="1" spans="1:10">
      <c r="A844" s="26" t="s">
        <v>1472</v>
      </c>
      <c r="B844" s="27" t="s">
        <v>1473</v>
      </c>
      <c r="C844" s="27" t="s">
        <v>12</v>
      </c>
      <c r="D844" s="27" t="s">
        <v>38</v>
      </c>
      <c r="E844" s="27" t="s">
        <v>66</v>
      </c>
      <c r="F844" s="27" t="s">
        <v>15</v>
      </c>
      <c r="G844" s="27" t="s">
        <v>40</v>
      </c>
      <c r="H844" s="28">
        <v>44837</v>
      </c>
      <c r="I844" s="27">
        <v>221794</v>
      </c>
      <c r="J844" s="29" t="s">
        <v>468</v>
      </c>
    </row>
    <row r="845" s="22" customFormat="1" spans="1:10">
      <c r="A845" s="30" t="s">
        <v>1474</v>
      </c>
      <c r="B845" s="31" t="s">
        <v>1475</v>
      </c>
      <c r="C845" s="31" t="s">
        <v>12</v>
      </c>
      <c r="D845" s="31" t="s">
        <v>20</v>
      </c>
      <c r="E845" s="31" t="s">
        <v>21</v>
      </c>
      <c r="F845" s="31" t="s">
        <v>15</v>
      </c>
      <c r="G845" s="31" t="s">
        <v>40</v>
      </c>
      <c r="H845" s="32">
        <v>45738</v>
      </c>
      <c r="I845" s="31">
        <v>50021</v>
      </c>
      <c r="J845" s="33"/>
    </row>
    <row r="846" s="22" customFormat="1" spans="1:10">
      <c r="A846" s="26" t="s">
        <v>773</v>
      </c>
      <c r="B846" s="27" t="s">
        <v>101</v>
      </c>
      <c r="C846" s="27" t="s">
        <v>12</v>
      </c>
      <c r="D846" s="27" t="s">
        <v>38</v>
      </c>
      <c r="E846" s="27" t="s">
        <v>84</v>
      </c>
      <c r="F846" s="27" t="s">
        <v>15</v>
      </c>
      <c r="G846" s="27" t="s">
        <v>94</v>
      </c>
      <c r="H846" s="28">
        <v>43109</v>
      </c>
      <c r="I846" s="27">
        <v>192891</v>
      </c>
      <c r="J846" s="29" t="s">
        <v>464</v>
      </c>
    </row>
    <row r="847" s="22" customFormat="1" spans="1:10">
      <c r="A847" s="30" t="s">
        <v>1476</v>
      </c>
      <c r="B847" s="31" t="s">
        <v>1477</v>
      </c>
      <c r="C847" s="31" t="s">
        <v>12</v>
      </c>
      <c r="D847" s="31" t="s">
        <v>13</v>
      </c>
      <c r="E847" s="31" t="s">
        <v>14</v>
      </c>
      <c r="F847" s="31" t="s">
        <v>15</v>
      </c>
      <c r="G847" s="31" t="s">
        <v>16</v>
      </c>
      <c r="H847" s="32">
        <v>44604</v>
      </c>
      <c r="I847" s="31">
        <v>91390</v>
      </c>
      <c r="J847" s="33" t="s">
        <v>574</v>
      </c>
    </row>
    <row r="848" s="22" customFormat="1" spans="1:10">
      <c r="A848" s="26" t="s">
        <v>1478</v>
      </c>
      <c r="B848" s="27" t="s">
        <v>893</v>
      </c>
      <c r="C848" s="27" t="s">
        <v>19</v>
      </c>
      <c r="D848" s="27" t="s">
        <v>38</v>
      </c>
      <c r="E848" s="27" t="s">
        <v>77</v>
      </c>
      <c r="F848" s="27" t="s">
        <v>15</v>
      </c>
      <c r="G848" s="27" t="s">
        <v>40</v>
      </c>
      <c r="H848" s="28">
        <v>43573</v>
      </c>
      <c r="I848" s="27">
        <v>171843</v>
      </c>
      <c r="J848" s="29" t="s">
        <v>1077</v>
      </c>
    </row>
    <row r="849" s="22" customFormat="1" spans="1:10">
      <c r="A849" s="30" t="s">
        <v>1479</v>
      </c>
      <c r="B849" s="31" t="s">
        <v>801</v>
      </c>
      <c r="C849" s="31" t="s">
        <v>19</v>
      </c>
      <c r="D849" s="31" t="s">
        <v>20</v>
      </c>
      <c r="E849" s="31" t="s">
        <v>147</v>
      </c>
      <c r="F849" s="31" t="s">
        <v>15</v>
      </c>
      <c r="G849" s="31" t="s">
        <v>62</v>
      </c>
      <c r="H849" s="32">
        <v>43685</v>
      </c>
      <c r="I849" s="31">
        <v>109974</v>
      </c>
      <c r="J849" s="33" t="s">
        <v>212</v>
      </c>
    </row>
    <row r="850" s="22" customFormat="1" spans="1:10">
      <c r="A850" s="26" t="s">
        <v>166</v>
      </c>
      <c r="B850" s="27" t="s">
        <v>1480</v>
      </c>
      <c r="C850" s="27" t="s">
        <v>12</v>
      </c>
      <c r="D850" s="27" t="s">
        <v>92</v>
      </c>
      <c r="E850" s="27" t="s">
        <v>193</v>
      </c>
      <c r="F850" s="27" t="s">
        <v>15</v>
      </c>
      <c r="G850" s="27" t="s">
        <v>62</v>
      </c>
      <c r="H850" s="28">
        <v>42790</v>
      </c>
      <c r="I850" s="27">
        <v>115083</v>
      </c>
      <c r="J850" s="29"/>
    </row>
    <row r="851" s="22" customFormat="1" spans="1:10">
      <c r="A851" s="30" t="s">
        <v>1481</v>
      </c>
      <c r="B851" s="31" t="s">
        <v>958</v>
      </c>
      <c r="C851" s="31" t="s">
        <v>12</v>
      </c>
      <c r="D851" s="31" t="s">
        <v>32</v>
      </c>
      <c r="E851" s="31" t="s">
        <v>33</v>
      </c>
      <c r="F851" s="31" t="s">
        <v>22</v>
      </c>
      <c r="G851" s="31" t="s">
        <v>28</v>
      </c>
      <c r="H851" s="32">
        <v>42697</v>
      </c>
      <c r="I851" s="31">
        <v>57385</v>
      </c>
      <c r="J851" s="33"/>
    </row>
    <row r="852" s="22" customFormat="1" spans="1:10">
      <c r="A852" s="26" t="s">
        <v>1482</v>
      </c>
      <c r="B852" s="27" t="s">
        <v>1483</v>
      </c>
      <c r="C852" s="27" t="s">
        <v>12</v>
      </c>
      <c r="D852" s="27" t="s">
        <v>38</v>
      </c>
      <c r="E852" s="27" t="s">
        <v>66</v>
      </c>
      <c r="F852" s="27" t="s">
        <v>15</v>
      </c>
      <c r="G852" s="27" t="s">
        <v>62</v>
      </c>
      <c r="H852" s="28">
        <v>43713</v>
      </c>
      <c r="I852" s="27">
        <v>206117</v>
      </c>
      <c r="J852" s="29" t="s">
        <v>81</v>
      </c>
    </row>
    <row r="853" s="22" customFormat="1" spans="1:10">
      <c r="A853" s="30" t="s">
        <v>621</v>
      </c>
      <c r="B853" s="31" t="s">
        <v>401</v>
      </c>
      <c r="C853" s="31" t="s">
        <v>19</v>
      </c>
      <c r="D853" s="31" t="s">
        <v>26</v>
      </c>
      <c r="E853" s="31" t="s">
        <v>27</v>
      </c>
      <c r="F853" s="31" t="s">
        <v>15</v>
      </c>
      <c r="G853" s="31" t="s">
        <v>34</v>
      </c>
      <c r="H853" s="32">
        <v>45077</v>
      </c>
      <c r="I853" s="31">
        <v>237253</v>
      </c>
      <c r="J853" s="33" t="s">
        <v>54</v>
      </c>
    </row>
    <row r="854" s="22" customFormat="1" spans="1:10">
      <c r="A854" s="26" t="s">
        <v>1484</v>
      </c>
      <c r="B854" s="27" t="s">
        <v>1171</v>
      </c>
      <c r="C854" s="27" t="s">
        <v>19</v>
      </c>
      <c r="D854" s="27" t="s">
        <v>38</v>
      </c>
      <c r="E854" s="27" t="s">
        <v>39</v>
      </c>
      <c r="F854" s="27" t="s">
        <v>15</v>
      </c>
      <c r="G854" s="27" t="s">
        <v>40</v>
      </c>
      <c r="H854" s="28">
        <v>43580</v>
      </c>
      <c r="I854" s="27">
        <v>154315</v>
      </c>
      <c r="J854" s="29" t="s">
        <v>316</v>
      </c>
    </row>
    <row r="855" s="22" customFormat="1" spans="1:10">
      <c r="A855" s="30" t="s">
        <v>1485</v>
      </c>
      <c r="B855" s="31" t="s">
        <v>1486</v>
      </c>
      <c r="C855" s="31" t="s">
        <v>12</v>
      </c>
      <c r="D855" s="31" t="s">
        <v>52</v>
      </c>
      <c r="E855" s="31" t="s">
        <v>53</v>
      </c>
      <c r="F855" s="31" t="s">
        <v>15</v>
      </c>
      <c r="G855" s="31" t="s">
        <v>62</v>
      </c>
      <c r="H855" s="32">
        <v>43625</v>
      </c>
      <c r="I855" s="31">
        <v>198624</v>
      </c>
      <c r="J855" s="33" t="s">
        <v>554</v>
      </c>
    </row>
    <row r="856" s="22" customFormat="1" spans="1:10">
      <c r="A856" s="26" t="s">
        <v>331</v>
      </c>
      <c r="B856" s="27" t="s">
        <v>1487</v>
      </c>
      <c r="C856" s="27" t="s">
        <v>12</v>
      </c>
      <c r="D856" s="27" t="s">
        <v>38</v>
      </c>
      <c r="E856" s="27" t="s">
        <v>84</v>
      </c>
      <c r="F856" s="27" t="s">
        <v>15</v>
      </c>
      <c r="G856" s="27" t="s">
        <v>40</v>
      </c>
      <c r="H856" s="28">
        <v>44196</v>
      </c>
      <c r="I856" s="27">
        <v>183621</v>
      </c>
      <c r="J856" s="29" t="s">
        <v>889</v>
      </c>
    </row>
    <row r="857" s="22" customFormat="1" spans="1:10">
      <c r="A857" s="30" t="s">
        <v>1488</v>
      </c>
      <c r="B857" s="31" t="s">
        <v>1489</v>
      </c>
      <c r="C857" s="31" t="s">
        <v>293</v>
      </c>
      <c r="D857" s="31" t="s">
        <v>38</v>
      </c>
      <c r="E857" s="31" t="s">
        <v>66</v>
      </c>
      <c r="F857" s="31" t="s">
        <v>15</v>
      </c>
      <c r="G857" s="31" t="s">
        <v>62</v>
      </c>
      <c r="H857" s="32">
        <v>44838</v>
      </c>
      <c r="I857" s="31">
        <v>119454</v>
      </c>
      <c r="J857" s="33" t="s">
        <v>243</v>
      </c>
    </row>
    <row r="858" s="22" customFormat="1" spans="1:10">
      <c r="A858" s="26" t="s">
        <v>1490</v>
      </c>
      <c r="B858" s="27" t="s">
        <v>986</v>
      </c>
      <c r="C858" s="27" t="s">
        <v>12</v>
      </c>
      <c r="D858" s="27" t="s">
        <v>38</v>
      </c>
      <c r="E858" s="27" t="s">
        <v>44</v>
      </c>
      <c r="F858" s="27" t="s">
        <v>15</v>
      </c>
      <c r="G858" s="27" t="s">
        <v>16</v>
      </c>
      <c r="H858" s="28">
        <v>45309</v>
      </c>
      <c r="I858" s="27">
        <v>220349</v>
      </c>
      <c r="J858" s="29" t="s">
        <v>397</v>
      </c>
    </row>
    <row r="859" s="22" customFormat="1" spans="1:10">
      <c r="A859" s="30" t="s">
        <v>1491</v>
      </c>
      <c r="B859" s="31" t="s">
        <v>203</v>
      </c>
      <c r="C859" s="31" t="s">
        <v>19</v>
      </c>
      <c r="D859" s="31" t="s">
        <v>92</v>
      </c>
      <c r="E859" s="31" t="s">
        <v>391</v>
      </c>
      <c r="F859" s="31" t="s">
        <v>15</v>
      </c>
      <c r="G859" s="31" t="s">
        <v>62</v>
      </c>
      <c r="H859" s="32">
        <v>44115</v>
      </c>
      <c r="I859" s="31">
        <v>106040</v>
      </c>
      <c r="J859" s="33" t="s">
        <v>72</v>
      </c>
    </row>
    <row r="860" s="22" customFormat="1" spans="1:10">
      <c r="A860" s="26" t="s">
        <v>1492</v>
      </c>
      <c r="B860" s="27" t="s">
        <v>1493</v>
      </c>
      <c r="C860" s="27" t="s">
        <v>19</v>
      </c>
      <c r="D860" s="27" t="s">
        <v>92</v>
      </c>
      <c r="E860" s="27" t="s">
        <v>126</v>
      </c>
      <c r="F860" s="27" t="s">
        <v>15</v>
      </c>
      <c r="G860" s="27" t="s">
        <v>16</v>
      </c>
      <c r="H860" s="28">
        <v>43052</v>
      </c>
      <c r="I860" s="27">
        <v>131677</v>
      </c>
      <c r="J860" s="29" t="s">
        <v>456</v>
      </c>
    </row>
    <row r="861" s="22" customFormat="1" spans="1:10">
      <c r="A861" s="30" t="s">
        <v>1494</v>
      </c>
      <c r="B861" s="31" t="s">
        <v>1146</v>
      </c>
      <c r="C861" s="31" t="s">
        <v>12</v>
      </c>
      <c r="D861" s="31" t="s">
        <v>38</v>
      </c>
      <c r="E861" s="31" t="s">
        <v>44</v>
      </c>
      <c r="F861" s="31" t="s">
        <v>15</v>
      </c>
      <c r="G861" s="31" t="s">
        <v>40</v>
      </c>
      <c r="H861" s="32">
        <v>45195</v>
      </c>
      <c r="I861" s="31">
        <v>190765</v>
      </c>
      <c r="J861" s="33" t="s">
        <v>159</v>
      </c>
    </row>
    <row r="862" s="22" customFormat="1" spans="1:10">
      <c r="A862" s="26" t="s">
        <v>344</v>
      </c>
      <c r="B862" s="27" t="s">
        <v>1495</v>
      </c>
      <c r="C862" s="27" t="s">
        <v>12</v>
      </c>
      <c r="D862" s="27" t="s">
        <v>52</v>
      </c>
      <c r="E862" s="27" t="s">
        <v>53</v>
      </c>
      <c r="F862" s="27" t="s">
        <v>22</v>
      </c>
      <c r="G862" s="27" t="s">
        <v>16</v>
      </c>
      <c r="H862" s="28">
        <v>44188</v>
      </c>
      <c r="I862" s="27">
        <v>104645</v>
      </c>
      <c r="J862" s="29" t="s">
        <v>234</v>
      </c>
    </row>
    <row r="863" s="22" customFormat="1" spans="1:10">
      <c r="A863" s="30" t="s">
        <v>1496</v>
      </c>
      <c r="B863" s="31" t="s">
        <v>956</v>
      </c>
      <c r="C863" s="31" t="s">
        <v>19</v>
      </c>
      <c r="D863" s="31" t="s">
        <v>13</v>
      </c>
      <c r="E863" s="31" t="s">
        <v>223</v>
      </c>
      <c r="F863" s="31" t="s">
        <v>15</v>
      </c>
      <c r="G863" s="31" t="s">
        <v>40</v>
      </c>
      <c r="H863" s="32">
        <v>43809</v>
      </c>
      <c r="I863" s="31">
        <v>224247</v>
      </c>
      <c r="J863" s="33" t="s">
        <v>121</v>
      </c>
    </row>
    <row r="864" s="22" customFormat="1" spans="1:10">
      <c r="A864" s="26" t="s">
        <v>1497</v>
      </c>
      <c r="B864" s="27" t="s">
        <v>1498</v>
      </c>
      <c r="C864" s="27" t="s">
        <v>12</v>
      </c>
      <c r="D864" s="27" t="s">
        <v>92</v>
      </c>
      <c r="E864" s="27" t="s">
        <v>189</v>
      </c>
      <c r="F864" s="27" t="s">
        <v>15</v>
      </c>
      <c r="G864" s="27" t="s">
        <v>28</v>
      </c>
      <c r="H864" s="28">
        <v>44201</v>
      </c>
      <c r="I864" s="27">
        <v>107673</v>
      </c>
      <c r="J864" s="29" t="s">
        <v>627</v>
      </c>
    </row>
    <row r="865" s="22" customFormat="1" spans="1:10">
      <c r="A865" s="30" t="s">
        <v>1499</v>
      </c>
      <c r="B865" s="31" t="s">
        <v>1500</v>
      </c>
      <c r="C865" s="31" t="s">
        <v>12</v>
      </c>
      <c r="D865" s="31" t="s">
        <v>13</v>
      </c>
      <c r="E865" s="31" t="s">
        <v>165</v>
      </c>
      <c r="F865" s="31" t="s">
        <v>15</v>
      </c>
      <c r="G865" s="31" t="s">
        <v>94</v>
      </c>
      <c r="H865" s="32">
        <v>42543</v>
      </c>
      <c r="I865" s="31">
        <v>164002</v>
      </c>
      <c r="J865" s="33" t="s">
        <v>582</v>
      </c>
    </row>
    <row r="866" s="22" customFormat="1" spans="1:10">
      <c r="A866" s="26" t="s">
        <v>151</v>
      </c>
      <c r="B866" s="27" t="s">
        <v>1121</v>
      </c>
      <c r="C866" s="27" t="s">
        <v>19</v>
      </c>
      <c r="D866" s="27" t="s">
        <v>13</v>
      </c>
      <c r="E866" s="27" t="s">
        <v>98</v>
      </c>
      <c r="F866" s="27" t="s">
        <v>15</v>
      </c>
      <c r="G866" s="27" t="s">
        <v>62</v>
      </c>
      <c r="H866" s="28">
        <v>45347</v>
      </c>
      <c r="I866" s="27">
        <v>89730</v>
      </c>
      <c r="J866" s="29" t="s">
        <v>186</v>
      </c>
    </row>
    <row r="867" s="22" customFormat="1" spans="1:10">
      <c r="A867" s="30" t="s">
        <v>501</v>
      </c>
      <c r="B867" s="31" t="s">
        <v>1026</v>
      </c>
      <c r="C867" s="31" t="s">
        <v>12</v>
      </c>
      <c r="D867" s="31" t="s">
        <v>92</v>
      </c>
      <c r="E867" s="31" t="s">
        <v>193</v>
      </c>
      <c r="F867" s="31" t="s">
        <v>48</v>
      </c>
      <c r="G867" s="31" t="s">
        <v>34</v>
      </c>
      <c r="H867" s="32">
        <v>43814</v>
      </c>
      <c r="I867" s="31">
        <v>196595</v>
      </c>
      <c r="J867" s="33" t="s">
        <v>583</v>
      </c>
    </row>
    <row r="868" s="22" customFormat="1" spans="1:10">
      <c r="A868" s="26" t="s">
        <v>1501</v>
      </c>
      <c r="B868" s="27" t="s">
        <v>1065</v>
      </c>
      <c r="C868" s="27" t="s">
        <v>19</v>
      </c>
      <c r="D868" s="27" t="s">
        <v>38</v>
      </c>
      <c r="E868" s="27" t="s">
        <v>77</v>
      </c>
      <c r="F868" s="27" t="s">
        <v>15</v>
      </c>
      <c r="G868" s="27" t="s">
        <v>34</v>
      </c>
      <c r="H868" s="28">
        <v>44888</v>
      </c>
      <c r="I868" s="27">
        <v>157668</v>
      </c>
      <c r="J868" s="29" t="s">
        <v>240</v>
      </c>
    </row>
    <row r="869" s="22" customFormat="1" spans="1:10">
      <c r="A869" s="30" t="s">
        <v>1502</v>
      </c>
      <c r="B869" s="31" t="s">
        <v>876</v>
      </c>
      <c r="C869" s="31" t="s">
        <v>19</v>
      </c>
      <c r="D869" s="31" t="s">
        <v>38</v>
      </c>
      <c r="E869" s="31" t="s">
        <v>77</v>
      </c>
      <c r="F869" s="31" t="s">
        <v>15</v>
      </c>
      <c r="G869" s="31" t="s">
        <v>94</v>
      </c>
      <c r="H869" s="32">
        <v>44151</v>
      </c>
      <c r="I869" s="31">
        <v>92728</v>
      </c>
      <c r="J869" s="33"/>
    </row>
    <row r="870" s="22" customFormat="1" spans="1:10">
      <c r="A870" s="26" t="s">
        <v>1503</v>
      </c>
      <c r="B870" s="27" t="s">
        <v>1504</v>
      </c>
      <c r="C870" s="27" t="s">
        <v>19</v>
      </c>
      <c r="D870" s="27" t="s">
        <v>52</v>
      </c>
      <c r="E870" s="27" t="s">
        <v>246</v>
      </c>
      <c r="F870" s="27" t="s">
        <v>15</v>
      </c>
      <c r="G870" s="27" t="s">
        <v>28</v>
      </c>
      <c r="H870" s="28">
        <v>43494</v>
      </c>
      <c r="I870" s="27">
        <v>99636</v>
      </c>
      <c r="J870" s="29" t="s">
        <v>721</v>
      </c>
    </row>
    <row r="871" s="22" customFormat="1" spans="1:10">
      <c r="A871" s="30" t="s">
        <v>855</v>
      </c>
      <c r="B871" s="31" t="s">
        <v>1493</v>
      </c>
      <c r="C871" s="31" t="s">
        <v>19</v>
      </c>
      <c r="D871" s="31" t="s">
        <v>20</v>
      </c>
      <c r="E871" s="31" t="s">
        <v>70</v>
      </c>
      <c r="F871" s="31" t="s">
        <v>15</v>
      </c>
      <c r="G871" s="31" t="s">
        <v>40</v>
      </c>
      <c r="H871" s="32">
        <v>44989</v>
      </c>
      <c r="I871" s="31">
        <v>162213</v>
      </c>
      <c r="J871" s="33" t="s">
        <v>863</v>
      </c>
    </row>
    <row r="872" s="22" customFormat="1" spans="1:10">
      <c r="A872" s="26" t="s">
        <v>838</v>
      </c>
      <c r="B872" s="27" t="s">
        <v>1505</v>
      </c>
      <c r="C872" s="27" t="s">
        <v>12</v>
      </c>
      <c r="D872" s="27" t="s">
        <v>13</v>
      </c>
      <c r="E872" s="27" t="s">
        <v>98</v>
      </c>
      <c r="F872" s="27" t="s">
        <v>15</v>
      </c>
      <c r="G872" s="27" t="s">
        <v>16</v>
      </c>
      <c r="H872" s="28">
        <v>45611</v>
      </c>
      <c r="I872" s="27">
        <v>119877</v>
      </c>
      <c r="J872" s="29" t="s">
        <v>237</v>
      </c>
    </row>
    <row r="873" s="22" customFormat="1" spans="1:10">
      <c r="A873" s="30" t="s">
        <v>1506</v>
      </c>
      <c r="B873" s="31" t="s">
        <v>1507</v>
      </c>
      <c r="C873" s="31" t="s">
        <v>12</v>
      </c>
      <c r="D873" s="31" t="s">
        <v>87</v>
      </c>
      <c r="E873" s="31" t="s">
        <v>88</v>
      </c>
      <c r="F873" s="31" t="s">
        <v>15</v>
      </c>
      <c r="G873" s="31" t="s">
        <v>62</v>
      </c>
      <c r="H873" s="32">
        <v>42604</v>
      </c>
      <c r="I873" s="31">
        <v>182719</v>
      </c>
      <c r="J873" s="33" t="s">
        <v>1083</v>
      </c>
    </row>
    <row r="874" s="22" customFormat="1" spans="1:10">
      <c r="A874" s="26" t="s">
        <v>1508</v>
      </c>
      <c r="B874" s="27" t="s">
        <v>450</v>
      </c>
      <c r="C874" s="27" t="s">
        <v>19</v>
      </c>
      <c r="D874" s="27" t="s">
        <v>32</v>
      </c>
      <c r="E874" s="27" t="s">
        <v>130</v>
      </c>
      <c r="F874" s="27" t="s">
        <v>15</v>
      </c>
      <c r="G874" s="27" t="s">
        <v>34</v>
      </c>
      <c r="H874" s="28">
        <v>42677</v>
      </c>
      <c r="I874" s="27">
        <v>88094</v>
      </c>
      <c r="J874" s="29" t="s">
        <v>148</v>
      </c>
    </row>
    <row r="875" s="22" customFormat="1" spans="1:10">
      <c r="A875" s="30" t="s">
        <v>884</v>
      </c>
      <c r="B875" s="31" t="s">
        <v>1298</v>
      </c>
      <c r="C875" s="31" t="s">
        <v>19</v>
      </c>
      <c r="D875" s="31" t="s">
        <v>13</v>
      </c>
      <c r="E875" s="31" t="s">
        <v>98</v>
      </c>
      <c r="F875" s="31" t="s">
        <v>15</v>
      </c>
      <c r="G875" s="31" t="s">
        <v>28</v>
      </c>
      <c r="H875" s="32">
        <v>45119</v>
      </c>
      <c r="I875" s="31">
        <v>290910</v>
      </c>
      <c r="J875" s="33" t="s">
        <v>154</v>
      </c>
    </row>
    <row r="876" s="22" customFormat="1" spans="1:10">
      <c r="A876" s="26" t="s">
        <v>1509</v>
      </c>
      <c r="B876" s="27" t="s">
        <v>614</v>
      </c>
      <c r="C876" s="27" t="s">
        <v>12</v>
      </c>
      <c r="D876" s="27" t="s">
        <v>38</v>
      </c>
      <c r="E876" s="27" t="s">
        <v>44</v>
      </c>
      <c r="F876" s="27" t="s">
        <v>15</v>
      </c>
      <c r="G876" s="27" t="s">
        <v>62</v>
      </c>
      <c r="H876" s="28">
        <v>44981</v>
      </c>
      <c r="I876" s="27">
        <v>120440</v>
      </c>
      <c r="J876" s="29" t="s">
        <v>183</v>
      </c>
    </row>
    <row r="877" s="22" customFormat="1" spans="1:10">
      <c r="A877" s="30" t="s">
        <v>1510</v>
      </c>
      <c r="B877" s="31" t="s">
        <v>405</v>
      </c>
      <c r="C877" s="31" t="s">
        <v>12</v>
      </c>
      <c r="D877" s="31" t="s">
        <v>38</v>
      </c>
      <c r="E877" s="31" t="s">
        <v>140</v>
      </c>
      <c r="F877" s="31" t="s">
        <v>15</v>
      </c>
      <c r="G877" s="31" t="s">
        <v>34</v>
      </c>
      <c r="H877" s="32">
        <v>44033</v>
      </c>
      <c r="I877" s="31">
        <v>282635</v>
      </c>
      <c r="J877" s="33" t="s">
        <v>148</v>
      </c>
    </row>
    <row r="878" s="22" customFormat="1" spans="1:10">
      <c r="A878" s="26" t="s">
        <v>1511</v>
      </c>
      <c r="B878" s="27" t="s">
        <v>784</v>
      </c>
      <c r="C878" s="27" t="s">
        <v>19</v>
      </c>
      <c r="D878" s="27" t="s">
        <v>26</v>
      </c>
      <c r="E878" s="27" t="s">
        <v>294</v>
      </c>
      <c r="F878" s="27" t="s">
        <v>15</v>
      </c>
      <c r="G878" s="27" t="s">
        <v>28</v>
      </c>
      <c r="H878" s="28">
        <v>43858</v>
      </c>
      <c r="I878" s="27">
        <v>197092</v>
      </c>
      <c r="J878" s="29"/>
    </row>
    <row r="879" s="22" customFormat="1" spans="1:10">
      <c r="A879" s="30" t="s">
        <v>1512</v>
      </c>
      <c r="B879" s="31" t="s">
        <v>1121</v>
      </c>
      <c r="C879" s="31" t="s">
        <v>12</v>
      </c>
      <c r="D879" s="31" t="s">
        <v>32</v>
      </c>
      <c r="E879" s="31" t="s">
        <v>130</v>
      </c>
      <c r="F879" s="31" t="s">
        <v>15</v>
      </c>
      <c r="G879" s="31" t="s">
        <v>16</v>
      </c>
      <c r="H879" s="32">
        <v>44471</v>
      </c>
      <c r="I879" s="31">
        <v>59548</v>
      </c>
      <c r="J879" s="33" t="s">
        <v>589</v>
      </c>
    </row>
    <row r="880" s="22" customFormat="1" spans="1:10">
      <c r="A880" s="26" t="s">
        <v>1513</v>
      </c>
      <c r="B880" s="27" t="s">
        <v>618</v>
      </c>
      <c r="C880" s="27" t="s">
        <v>19</v>
      </c>
      <c r="D880" s="27" t="s">
        <v>38</v>
      </c>
      <c r="E880" s="27" t="s">
        <v>66</v>
      </c>
      <c r="F880" s="27" t="s">
        <v>15</v>
      </c>
      <c r="G880" s="27" t="s">
        <v>94</v>
      </c>
      <c r="H880" s="28">
        <v>45651</v>
      </c>
      <c r="I880" s="27">
        <v>104355</v>
      </c>
      <c r="J880" s="29" t="s">
        <v>102</v>
      </c>
    </row>
    <row r="881" s="22" customFormat="1" spans="1:10">
      <c r="A881" s="30" t="s">
        <v>1514</v>
      </c>
      <c r="B881" s="31" t="s">
        <v>1035</v>
      </c>
      <c r="C881" s="31" t="s">
        <v>19</v>
      </c>
      <c r="D881" s="31" t="s">
        <v>87</v>
      </c>
      <c r="E881" s="31" t="s">
        <v>156</v>
      </c>
      <c r="F881" s="31" t="s">
        <v>15</v>
      </c>
      <c r="G881" s="31" t="s">
        <v>16</v>
      </c>
      <c r="H881" s="32">
        <v>45441</v>
      </c>
      <c r="I881" s="31">
        <v>170251</v>
      </c>
      <c r="J881" s="33"/>
    </row>
    <row r="882" s="22" customFormat="1" spans="1:10">
      <c r="A882" s="26" t="s">
        <v>369</v>
      </c>
      <c r="B882" s="27" t="s">
        <v>1515</v>
      </c>
      <c r="C882" s="27" t="s">
        <v>19</v>
      </c>
      <c r="D882" s="27" t="s">
        <v>87</v>
      </c>
      <c r="E882" s="27" t="s">
        <v>349</v>
      </c>
      <c r="F882" s="27" t="s">
        <v>15</v>
      </c>
      <c r="G882" s="27" t="s">
        <v>40</v>
      </c>
      <c r="H882" s="28">
        <v>45152</v>
      </c>
      <c r="I882" s="27">
        <v>139832</v>
      </c>
      <c r="J882" s="29" t="s">
        <v>911</v>
      </c>
    </row>
    <row r="883" s="22" customFormat="1" spans="1:10">
      <c r="A883" s="30" t="s">
        <v>613</v>
      </c>
      <c r="B883" s="31" t="s">
        <v>980</v>
      </c>
      <c r="C883" s="31" t="s">
        <v>19</v>
      </c>
      <c r="D883" s="31" t="s">
        <v>26</v>
      </c>
      <c r="E883" s="31" t="s">
        <v>27</v>
      </c>
      <c r="F883" s="31" t="s">
        <v>48</v>
      </c>
      <c r="G883" s="31" t="s">
        <v>16</v>
      </c>
      <c r="H883" s="32">
        <v>43025</v>
      </c>
      <c r="I883" s="31">
        <v>266975</v>
      </c>
      <c r="J883" s="33" t="s">
        <v>197</v>
      </c>
    </row>
    <row r="884" s="22" customFormat="1" spans="1:10">
      <c r="A884" s="26" t="s">
        <v>1516</v>
      </c>
      <c r="B884" s="27" t="s">
        <v>1517</v>
      </c>
      <c r="C884" s="27" t="s">
        <v>19</v>
      </c>
      <c r="D884" s="27" t="s">
        <v>38</v>
      </c>
      <c r="E884" s="27" t="s">
        <v>44</v>
      </c>
      <c r="F884" s="27" t="s">
        <v>15</v>
      </c>
      <c r="G884" s="27" t="s">
        <v>40</v>
      </c>
      <c r="H884" s="28">
        <v>42497</v>
      </c>
      <c r="I884" s="27">
        <v>94532</v>
      </c>
      <c r="J884" s="29" t="s">
        <v>627</v>
      </c>
    </row>
    <row r="885" s="22" customFormat="1" spans="1:10">
      <c r="A885" s="30" t="s">
        <v>1518</v>
      </c>
      <c r="B885" s="31" t="s">
        <v>872</v>
      </c>
      <c r="C885" s="31" t="s">
        <v>12</v>
      </c>
      <c r="D885" s="31" t="s">
        <v>38</v>
      </c>
      <c r="E885" s="31" t="s">
        <v>44</v>
      </c>
      <c r="F885" s="31" t="s">
        <v>48</v>
      </c>
      <c r="G885" s="31" t="s">
        <v>28</v>
      </c>
      <c r="H885" s="32">
        <v>42954</v>
      </c>
      <c r="I885" s="31">
        <v>143737</v>
      </c>
      <c r="J885" s="33" t="s">
        <v>668</v>
      </c>
    </row>
    <row r="886" s="22" customFormat="1" spans="1:10">
      <c r="A886" s="26" t="s">
        <v>1519</v>
      </c>
      <c r="B886" s="27" t="s">
        <v>1184</v>
      </c>
      <c r="C886" s="27" t="s">
        <v>12</v>
      </c>
      <c r="D886" s="27" t="s">
        <v>52</v>
      </c>
      <c r="E886" s="27" t="s">
        <v>246</v>
      </c>
      <c r="F886" s="27" t="s">
        <v>15</v>
      </c>
      <c r="G886" s="27" t="s">
        <v>40</v>
      </c>
      <c r="H886" s="28">
        <v>45846</v>
      </c>
      <c r="I886" s="27">
        <v>111594</v>
      </c>
      <c r="J886" s="29" t="s">
        <v>169</v>
      </c>
    </row>
    <row r="887" s="22" customFormat="1" spans="1:10">
      <c r="A887" s="30" t="s">
        <v>1520</v>
      </c>
      <c r="B887" s="31" t="s">
        <v>1521</v>
      </c>
      <c r="C887" s="31" t="s">
        <v>12</v>
      </c>
      <c r="D887" s="31" t="s">
        <v>38</v>
      </c>
      <c r="E887" s="31" t="s">
        <v>140</v>
      </c>
      <c r="F887" s="31" t="s">
        <v>15</v>
      </c>
      <c r="G887" s="31" t="s">
        <v>34</v>
      </c>
      <c r="H887" s="32">
        <v>44858</v>
      </c>
      <c r="I887" s="31">
        <v>114726</v>
      </c>
      <c r="J887" s="33" t="s">
        <v>931</v>
      </c>
    </row>
    <row r="888" s="22" customFormat="1" spans="1:10">
      <c r="A888" s="26" t="s">
        <v>1522</v>
      </c>
      <c r="B888" s="27" t="s">
        <v>1523</v>
      </c>
      <c r="C888" s="27" t="s">
        <v>19</v>
      </c>
      <c r="D888" s="27" t="s">
        <v>32</v>
      </c>
      <c r="E888" s="27" t="s">
        <v>57</v>
      </c>
      <c r="F888" s="27" t="s">
        <v>15</v>
      </c>
      <c r="G888" s="27" t="s">
        <v>94</v>
      </c>
      <c r="H888" s="28">
        <v>45147</v>
      </c>
      <c r="I888" s="27">
        <v>47603</v>
      </c>
      <c r="J888" s="29" t="s">
        <v>35</v>
      </c>
    </row>
    <row r="889" s="22" customFormat="1" spans="1:10">
      <c r="A889" s="30" t="s">
        <v>1524</v>
      </c>
      <c r="B889" s="31" t="s">
        <v>1092</v>
      </c>
      <c r="C889" s="31" t="s">
        <v>19</v>
      </c>
      <c r="D889" s="31" t="s">
        <v>87</v>
      </c>
      <c r="E889" s="31" t="s">
        <v>88</v>
      </c>
      <c r="F889" s="31" t="s">
        <v>22</v>
      </c>
      <c r="G889" s="31" t="s">
        <v>16</v>
      </c>
      <c r="H889" s="32">
        <v>45570</v>
      </c>
      <c r="I889" s="31">
        <v>210895</v>
      </c>
      <c r="J889" s="33"/>
    </row>
    <row r="890" s="22" customFormat="1" spans="1:10">
      <c r="A890" s="26" t="s">
        <v>1525</v>
      </c>
      <c r="B890" s="27" t="s">
        <v>1381</v>
      </c>
      <c r="C890" s="27" t="s">
        <v>19</v>
      </c>
      <c r="D890" s="27" t="s">
        <v>38</v>
      </c>
      <c r="E890" s="27" t="s">
        <v>44</v>
      </c>
      <c r="F890" s="27" t="s">
        <v>15</v>
      </c>
      <c r="G890" s="27" t="s">
        <v>16</v>
      </c>
      <c r="H890" s="28">
        <v>44164</v>
      </c>
      <c r="I890" s="27">
        <v>99615</v>
      </c>
      <c r="J890" s="29" t="s">
        <v>395</v>
      </c>
    </row>
    <row r="891" s="22" customFormat="1" spans="1:10">
      <c r="A891" s="30" t="s">
        <v>23</v>
      </c>
      <c r="B891" s="31" t="s">
        <v>1526</v>
      </c>
      <c r="C891" s="31" t="s">
        <v>12</v>
      </c>
      <c r="D891" s="31" t="s">
        <v>87</v>
      </c>
      <c r="E891" s="31" t="s">
        <v>111</v>
      </c>
      <c r="F891" s="31" t="s">
        <v>48</v>
      </c>
      <c r="G891" s="31" t="s">
        <v>62</v>
      </c>
      <c r="H891" s="32">
        <v>42512</v>
      </c>
      <c r="I891" s="31">
        <v>132104</v>
      </c>
      <c r="J891" s="33" t="s">
        <v>440</v>
      </c>
    </row>
    <row r="892" s="22" customFormat="1" spans="1:10">
      <c r="A892" s="26" t="s">
        <v>1527</v>
      </c>
      <c r="B892" s="27" t="s">
        <v>1107</v>
      </c>
      <c r="C892" s="27" t="s">
        <v>12</v>
      </c>
      <c r="D892" s="27" t="s">
        <v>26</v>
      </c>
      <c r="E892" s="27" t="s">
        <v>162</v>
      </c>
      <c r="F892" s="27" t="s">
        <v>15</v>
      </c>
      <c r="G892" s="27" t="s">
        <v>34</v>
      </c>
      <c r="H892" s="28">
        <v>42887</v>
      </c>
      <c r="I892" s="27">
        <v>136774</v>
      </c>
      <c r="J892" s="29" t="s">
        <v>640</v>
      </c>
    </row>
    <row r="893" s="22" customFormat="1" spans="1:10">
      <c r="A893" s="30" t="s">
        <v>1528</v>
      </c>
      <c r="B893" s="31" t="s">
        <v>1475</v>
      </c>
      <c r="C893" s="31" t="s">
        <v>19</v>
      </c>
      <c r="D893" s="31" t="s">
        <v>52</v>
      </c>
      <c r="E893" s="31" t="s">
        <v>120</v>
      </c>
      <c r="F893" s="31" t="s">
        <v>15</v>
      </c>
      <c r="G893" s="31" t="s">
        <v>34</v>
      </c>
      <c r="H893" s="32">
        <v>42645</v>
      </c>
      <c r="I893" s="31">
        <v>103522</v>
      </c>
      <c r="J893" s="33" t="s">
        <v>465</v>
      </c>
    </row>
    <row r="894" s="22" customFormat="1" spans="1:10">
      <c r="A894" s="26" t="s">
        <v>95</v>
      </c>
      <c r="B894" s="27" t="s">
        <v>742</v>
      </c>
      <c r="C894" s="27" t="s">
        <v>19</v>
      </c>
      <c r="D894" s="27" t="s">
        <v>52</v>
      </c>
      <c r="E894" s="27" t="s">
        <v>53</v>
      </c>
      <c r="F894" s="27" t="s">
        <v>22</v>
      </c>
      <c r="G894" s="27" t="s">
        <v>40</v>
      </c>
      <c r="H894" s="28">
        <v>43336</v>
      </c>
      <c r="I894" s="27">
        <v>198114</v>
      </c>
      <c r="J894" s="29" t="s">
        <v>708</v>
      </c>
    </row>
    <row r="895" s="22" customFormat="1" spans="1:10">
      <c r="A895" s="30" t="s">
        <v>1529</v>
      </c>
      <c r="B895" s="31" t="s">
        <v>1530</v>
      </c>
      <c r="C895" s="31" t="s">
        <v>12</v>
      </c>
      <c r="D895" s="31" t="s">
        <v>13</v>
      </c>
      <c r="E895" s="31" t="s">
        <v>14</v>
      </c>
      <c r="F895" s="31" t="s">
        <v>15</v>
      </c>
      <c r="G895" s="31" t="s">
        <v>16</v>
      </c>
      <c r="H895" s="32">
        <v>45558</v>
      </c>
      <c r="I895" s="31">
        <v>161772</v>
      </c>
      <c r="J895" s="33" t="s">
        <v>81</v>
      </c>
    </row>
    <row r="896" s="22" customFormat="1" spans="1:10">
      <c r="A896" s="26" t="s">
        <v>1531</v>
      </c>
      <c r="B896" s="27" t="s">
        <v>1331</v>
      </c>
      <c r="C896" s="27" t="s">
        <v>19</v>
      </c>
      <c r="D896" s="27" t="s">
        <v>32</v>
      </c>
      <c r="E896" s="27" t="s">
        <v>130</v>
      </c>
      <c r="F896" s="27" t="s">
        <v>15</v>
      </c>
      <c r="G896" s="27" t="s">
        <v>28</v>
      </c>
      <c r="H896" s="28">
        <v>45012</v>
      </c>
      <c r="I896" s="27">
        <v>85586</v>
      </c>
      <c r="J896" s="29" t="s">
        <v>58</v>
      </c>
    </row>
    <row r="897" s="22" customFormat="1" spans="1:10">
      <c r="A897" s="30" t="s">
        <v>1532</v>
      </c>
      <c r="B897" s="31" t="s">
        <v>133</v>
      </c>
      <c r="C897" s="31" t="s">
        <v>19</v>
      </c>
      <c r="D897" s="31" t="s">
        <v>38</v>
      </c>
      <c r="E897" s="31" t="s">
        <v>44</v>
      </c>
      <c r="F897" s="31" t="s">
        <v>15</v>
      </c>
      <c r="G897" s="31" t="s">
        <v>28</v>
      </c>
      <c r="H897" s="32">
        <v>43870</v>
      </c>
      <c r="I897" s="31">
        <v>106488</v>
      </c>
      <c r="J897" s="33" t="s">
        <v>121</v>
      </c>
    </row>
    <row r="898" s="22" customFormat="1" spans="1:10">
      <c r="A898" s="26" t="s">
        <v>1151</v>
      </c>
      <c r="B898" s="27" t="s">
        <v>1533</v>
      </c>
      <c r="C898" s="27" t="s">
        <v>19</v>
      </c>
      <c r="D898" s="27" t="s">
        <v>87</v>
      </c>
      <c r="E898" s="27" t="s">
        <v>349</v>
      </c>
      <c r="F898" s="27" t="s">
        <v>15</v>
      </c>
      <c r="G898" s="27" t="s">
        <v>40</v>
      </c>
      <c r="H898" s="28">
        <v>43853</v>
      </c>
      <c r="I898" s="27">
        <v>136448</v>
      </c>
      <c r="J898" s="29" t="s">
        <v>865</v>
      </c>
    </row>
    <row r="899" s="22" customFormat="1" spans="1:10">
      <c r="A899" s="30" t="s">
        <v>1534</v>
      </c>
      <c r="B899" s="31" t="s">
        <v>1535</v>
      </c>
      <c r="C899" s="31" t="s">
        <v>19</v>
      </c>
      <c r="D899" s="31" t="s">
        <v>52</v>
      </c>
      <c r="E899" s="31" t="s">
        <v>246</v>
      </c>
      <c r="F899" s="31" t="s">
        <v>22</v>
      </c>
      <c r="G899" s="31" t="s">
        <v>28</v>
      </c>
      <c r="H899" s="32">
        <v>43938</v>
      </c>
      <c r="I899" s="31">
        <v>52388</v>
      </c>
      <c r="J899" s="33" t="s">
        <v>220</v>
      </c>
    </row>
    <row r="900" s="22" customFormat="1" spans="1:10">
      <c r="A900" s="26" t="s">
        <v>1536</v>
      </c>
      <c r="B900" s="27" t="s">
        <v>861</v>
      </c>
      <c r="C900" s="27" t="s">
        <v>12</v>
      </c>
      <c r="D900" s="27" t="s">
        <v>38</v>
      </c>
      <c r="E900" s="27" t="s">
        <v>66</v>
      </c>
      <c r="F900" s="27" t="s">
        <v>15</v>
      </c>
      <c r="G900" s="27" t="s">
        <v>40</v>
      </c>
      <c r="H900" s="28">
        <v>44693</v>
      </c>
      <c r="I900" s="27">
        <v>111622</v>
      </c>
      <c r="J900" s="29" t="s">
        <v>286</v>
      </c>
    </row>
    <row r="901" s="22" customFormat="1" spans="1:10">
      <c r="A901" s="30" t="s">
        <v>1537</v>
      </c>
      <c r="B901" s="31" t="s">
        <v>1112</v>
      </c>
      <c r="C901" s="31" t="s">
        <v>12</v>
      </c>
      <c r="D901" s="31" t="s">
        <v>38</v>
      </c>
      <c r="E901" s="31" t="s">
        <v>39</v>
      </c>
      <c r="F901" s="31" t="s">
        <v>15</v>
      </c>
      <c r="G901" s="31" t="s">
        <v>34</v>
      </c>
      <c r="H901" s="32">
        <v>42502</v>
      </c>
      <c r="I901" s="31">
        <v>92293</v>
      </c>
      <c r="J901" s="33" t="s">
        <v>41</v>
      </c>
    </row>
    <row r="902" s="22" customFormat="1" spans="1:10">
      <c r="A902" s="26" t="s">
        <v>1538</v>
      </c>
      <c r="B902" s="27" t="s">
        <v>1076</v>
      </c>
      <c r="C902" s="27" t="s">
        <v>293</v>
      </c>
      <c r="D902" s="27" t="s">
        <v>38</v>
      </c>
      <c r="E902" s="27" t="s">
        <v>140</v>
      </c>
      <c r="F902" s="27" t="s">
        <v>15</v>
      </c>
      <c r="G902" s="27" t="s">
        <v>40</v>
      </c>
      <c r="H902" s="28">
        <v>44848</v>
      </c>
      <c r="I902" s="27">
        <v>181738</v>
      </c>
      <c r="J902" s="29" t="s">
        <v>117</v>
      </c>
    </row>
    <row r="903" s="22" customFormat="1" spans="1:10">
      <c r="A903" s="30" t="s">
        <v>1539</v>
      </c>
      <c r="B903" s="31" t="s">
        <v>233</v>
      </c>
      <c r="C903" s="31" t="s">
        <v>19</v>
      </c>
      <c r="D903" s="31" t="s">
        <v>38</v>
      </c>
      <c r="E903" s="31" t="s">
        <v>77</v>
      </c>
      <c r="F903" s="31" t="s">
        <v>15</v>
      </c>
      <c r="G903" s="31" t="s">
        <v>62</v>
      </c>
      <c r="H903" s="32">
        <v>42998</v>
      </c>
      <c r="I903" s="31">
        <v>146796</v>
      </c>
      <c r="J903" s="33" t="s">
        <v>1367</v>
      </c>
    </row>
    <row r="904" s="22" customFormat="1" spans="1:10">
      <c r="A904" s="26" t="s">
        <v>1540</v>
      </c>
      <c r="B904" s="27" t="s">
        <v>91</v>
      </c>
      <c r="C904" s="27" t="s">
        <v>146</v>
      </c>
      <c r="D904" s="27" t="s">
        <v>38</v>
      </c>
      <c r="E904" s="27" t="s">
        <v>44</v>
      </c>
      <c r="F904" s="27" t="s">
        <v>15</v>
      </c>
      <c r="G904" s="27" t="s">
        <v>62</v>
      </c>
      <c r="H904" s="28">
        <v>45151</v>
      </c>
      <c r="I904" s="27">
        <v>129546</v>
      </c>
      <c r="J904" s="29" t="s">
        <v>286</v>
      </c>
    </row>
    <row r="905" s="22" customFormat="1" spans="1:10">
      <c r="A905" s="30" t="s">
        <v>1541</v>
      </c>
      <c r="B905" s="31" t="s">
        <v>1542</v>
      </c>
      <c r="C905" s="31" t="s">
        <v>12</v>
      </c>
      <c r="D905" s="31" t="s">
        <v>92</v>
      </c>
      <c r="E905" s="31" t="s">
        <v>189</v>
      </c>
      <c r="F905" s="31" t="s">
        <v>15</v>
      </c>
      <c r="G905" s="31" t="s">
        <v>16</v>
      </c>
      <c r="H905" s="32">
        <v>44212</v>
      </c>
      <c r="I905" s="31">
        <v>89567</v>
      </c>
      <c r="J905" s="33" t="s">
        <v>183</v>
      </c>
    </row>
    <row r="906" s="22" customFormat="1" spans="1:10">
      <c r="A906" s="26" t="s">
        <v>1543</v>
      </c>
      <c r="B906" s="27" t="s">
        <v>1372</v>
      </c>
      <c r="C906" s="27" t="s">
        <v>19</v>
      </c>
      <c r="D906" s="27" t="s">
        <v>13</v>
      </c>
      <c r="E906" s="27" t="s">
        <v>223</v>
      </c>
      <c r="F906" s="27" t="s">
        <v>15</v>
      </c>
      <c r="G906" s="27" t="s">
        <v>16</v>
      </c>
      <c r="H906" s="28">
        <v>43889</v>
      </c>
      <c r="I906" s="27">
        <v>205212</v>
      </c>
      <c r="J906" s="29" t="s">
        <v>272</v>
      </c>
    </row>
    <row r="907" s="22" customFormat="1" spans="1:10">
      <c r="A907" s="30" t="s">
        <v>1544</v>
      </c>
      <c r="B907" s="31" t="s">
        <v>231</v>
      </c>
      <c r="C907" s="31" t="s">
        <v>12</v>
      </c>
      <c r="D907" s="31" t="s">
        <v>52</v>
      </c>
      <c r="E907" s="31" t="s">
        <v>246</v>
      </c>
      <c r="F907" s="31" t="s">
        <v>15</v>
      </c>
      <c r="G907" s="31" t="s">
        <v>16</v>
      </c>
      <c r="H907" s="32">
        <v>43893</v>
      </c>
      <c r="I907" s="31">
        <v>129144</v>
      </c>
      <c r="J907" s="33" t="s">
        <v>63</v>
      </c>
    </row>
    <row r="908" s="22" customFormat="1" spans="1:10">
      <c r="A908" s="26" t="s">
        <v>459</v>
      </c>
      <c r="B908" s="27" t="s">
        <v>759</v>
      </c>
      <c r="C908" s="27" t="s">
        <v>12</v>
      </c>
      <c r="D908" s="27" t="s">
        <v>52</v>
      </c>
      <c r="E908" s="27" t="s">
        <v>53</v>
      </c>
      <c r="F908" s="27" t="s">
        <v>15</v>
      </c>
      <c r="G908" s="27" t="s">
        <v>94</v>
      </c>
      <c r="H908" s="28">
        <v>44188</v>
      </c>
      <c r="I908" s="27">
        <v>175765</v>
      </c>
      <c r="J908" s="29" t="s">
        <v>676</v>
      </c>
    </row>
    <row r="909" s="22" customFormat="1" spans="1:10">
      <c r="A909" s="30" t="s">
        <v>1545</v>
      </c>
      <c r="B909" s="31" t="s">
        <v>616</v>
      </c>
      <c r="C909" s="31" t="s">
        <v>12</v>
      </c>
      <c r="D909" s="31" t="s">
        <v>13</v>
      </c>
      <c r="E909" s="31" t="s">
        <v>165</v>
      </c>
      <c r="F909" s="31" t="s">
        <v>15</v>
      </c>
      <c r="G909" s="31" t="s">
        <v>94</v>
      </c>
      <c r="H909" s="32">
        <v>45495</v>
      </c>
      <c r="I909" s="31">
        <v>69496</v>
      </c>
      <c r="J909" s="33" t="s">
        <v>376</v>
      </c>
    </row>
    <row r="910" s="22" customFormat="1" spans="1:10">
      <c r="A910" s="26" t="s">
        <v>471</v>
      </c>
      <c r="B910" s="27" t="s">
        <v>1546</v>
      </c>
      <c r="C910" s="27" t="s">
        <v>19</v>
      </c>
      <c r="D910" s="27" t="s">
        <v>87</v>
      </c>
      <c r="E910" s="27" t="s">
        <v>156</v>
      </c>
      <c r="F910" s="27" t="s">
        <v>15</v>
      </c>
      <c r="G910" s="27" t="s">
        <v>28</v>
      </c>
      <c r="H910" s="28">
        <v>42684</v>
      </c>
      <c r="I910" s="27">
        <v>284203</v>
      </c>
      <c r="J910" s="29" t="s">
        <v>721</v>
      </c>
    </row>
    <row r="911" s="22" customFormat="1" spans="1:10">
      <c r="A911" s="30" t="s">
        <v>1547</v>
      </c>
      <c r="B911" s="31" t="s">
        <v>610</v>
      </c>
      <c r="C911" s="31" t="s">
        <v>12</v>
      </c>
      <c r="D911" s="31" t="s">
        <v>13</v>
      </c>
      <c r="E911" s="31" t="s">
        <v>14</v>
      </c>
      <c r="F911" s="31" t="s">
        <v>15</v>
      </c>
      <c r="G911" s="31" t="s">
        <v>16</v>
      </c>
      <c r="H911" s="32">
        <v>44720</v>
      </c>
      <c r="I911" s="31">
        <v>150980</v>
      </c>
      <c r="J911" s="33"/>
    </row>
    <row r="912" s="22" customFormat="1" spans="1:10">
      <c r="A912" s="26" t="s">
        <v>1548</v>
      </c>
      <c r="B912" s="27" t="s">
        <v>469</v>
      </c>
      <c r="C912" s="27" t="s">
        <v>19</v>
      </c>
      <c r="D912" s="27" t="s">
        <v>32</v>
      </c>
      <c r="E912" s="27" t="s">
        <v>130</v>
      </c>
      <c r="F912" s="27" t="s">
        <v>15</v>
      </c>
      <c r="G912" s="27" t="s">
        <v>34</v>
      </c>
      <c r="H912" s="28">
        <v>42933</v>
      </c>
      <c r="I912" s="27">
        <v>122176</v>
      </c>
      <c r="J912" s="29" t="s">
        <v>306</v>
      </c>
    </row>
    <row r="913" s="22" customFormat="1" spans="1:10">
      <c r="A913" s="30" t="s">
        <v>554</v>
      </c>
      <c r="B913" s="31" t="s">
        <v>1549</v>
      </c>
      <c r="C913" s="31" t="s">
        <v>12</v>
      </c>
      <c r="D913" s="31" t="s">
        <v>87</v>
      </c>
      <c r="E913" s="31" t="s">
        <v>111</v>
      </c>
      <c r="F913" s="31" t="s">
        <v>15</v>
      </c>
      <c r="G913" s="31" t="s">
        <v>94</v>
      </c>
      <c r="H913" s="32">
        <v>44538</v>
      </c>
      <c r="I913" s="31">
        <v>241079</v>
      </c>
      <c r="J913" s="33" t="s">
        <v>1281</v>
      </c>
    </row>
    <row r="914" s="22" customFormat="1" spans="1:10">
      <c r="A914" s="26" t="s">
        <v>970</v>
      </c>
      <c r="B914" s="27" t="s">
        <v>158</v>
      </c>
      <c r="C914" s="27" t="s">
        <v>19</v>
      </c>
      <c r="D914" s="27" t="s">
        <v>32</v>
      </c>
      <c r="E914" s="27" t="s">
        <v>208</v>
      </c>
      <c r="F914" s="27" t="s">
        <v>15</v>
      </c>
      <c r="G914" s="27" t="s">
        <v>16</v>
      </c>
      <c r="H914" s="28">
        <v>43873</v>
      </c>
      <c r="I914" s="27">
        <v>144906</v>
      </c>
      <c r="J914" s="29" t="s">
        <v>436</v>
      </c>
    </row>
    <row r="915" s="22" customFormat="1" spans="1:10">
      <c r="A915" s="30" t="s">
        <v>1550</v>
      </c>
      <c r="B915" s="31" t="s">
        <v>1551</v>
      </c>
      <c r="C915" s="31" t="s">
        <v>12</v>
      </c>
      <c r="D915" s="31" t="s">
        <v>13</v>
      </c>
      <c r="E915" s="31" t="s">
        <v>165</v>
      </c>
      <c r="F915" s="31" t="s">
        <v>15</v>
      </c>
      <c r="G915" s="31" t="s">
        <v>40</v>
      </c>
      <c r="H915" s="32">
        <v>44000</v>
      </c>
      <c r="I915" s="31">
        <v>109791</v>
      </c>
      <c r="J915" s="33" t="s">
        <v>121</v>
      </c>
    </row>
    <row r="916" s="22" customFormat="1" spans="1:10">
      <c r="A916" s="26" t="s">
        <v>1552</v>
      </c>
      <c r="B916" s="27" t="s">
        <v>1553</v>
      </c>
      <c r="C916" s="27" t="s">
        <v>12</v>
      </c>
      <c r="D916" s="27" t="s">
        <v>92</v>
      </c>
      <c r="E916" s="27" t="s">
        <v>391</v>
      </c>
      <c r="F916" s="27" t="s">
        <v>15</v>
      </c>
      <c r="G916" s="27" t="s">
        <v>94</v>
      </c>
      <c r="H916" s="28">
        <v>43657</v>
      </c>
      <c r="I916" s="27">
        <v>121425</v>
      </c>
      <c r="J916" s="29" t="s">
        <v>202</v>
      </c>
    </row>
    <row r="917" s="22" customFormat="1" spans="1:10">
      <c r="A917" s="30" t="s">
        <v>1554</v>
      </c>
      <c r="B917" s="31" t="s">
        <v>432</v>
      </c>
      <c r="C917" s="31" t="s">
        <v>19</v>
      </c>
      <c r="D917" s="31" t="s">
        <v>13</v>
      </c>
      <c r="E917" s="31" t="s">
        <v>223</v>
      </c>
      <c r="F917" s="31" t="s">
        <v>15</v>
      </c>
      <c r="G917" s="31" t="s">
        <v>62</v>
      </c>
      <c r="H917" s="32">
        <v>45030</v>
      </c>
      <c r="I917" s="31">
        <v>88941</v>
      </c>
      <c r="J917" s="33" t="s">
        <v>722</v>
      </c>
    </row>
    <row r="918" s="22" customFormat="1" spans="1:10">
      <c r="A918" s="26" t="s">
        <v>99</v>
      </c>
      <c r="B918" s="27" t="s">
        <v>1555</v>
      </c>
      <c r="C918" s="27" t="s">
        <v>12</v>
      </c>
      <c r="D918" s="27" t="s">
        <v>87</v>
      </c>
      <c r="E918" s="27" t="s">
        <v>111</v>
      </c>
      <c r="F918" s="27" t="s">
        <v>15</v>
      </c>
      <c r="G918" s="27" t="s">
        <v>34</v>
      </c>
      <c r="H918" s="28">
        <v>43511</v>
      </c>
      <c r="I918" s="27">
        <v>320505</v>
      </c>
      <c r="J918" s="29" t="s">
        <v>226</v>
      </c>
    </row>
    <row r="919" s="22" customFormat="1" spans="1:10">
      <c r="A919" s="30" t="s">
        <v>1556</v>
      </c>
      <c r="B919" s="31" t="s">
        <v>996</v>
      </c>
      <c r="C919" s="31" t="s">
        <v>12</v>
      </c>
      <c r="D919" s="31" t="s">
        <v>20</v>
      </c>
      <c r="E919" s="31" t="s">
        <v>21</v>
      </c>
      <c r="F919" s="31" t="s">
        <v>48</v>
      </c>
      <c r="G919" s="31" t="s">
        <v>16</v>
      </c>
      <c r="H919" s="32">
        <v>43392</v>
      </c>
      <c r="I919" s="31">
        <v>103974</v>
      </c>
      <c r="J919" s="33" t="s">
        <v>465</v>
      </c>
    </row>
    <row r="920" s="22" customFormat="1" spans="1:10">
      <c r="A920" s="26" t="s">
        <v>1557</v>
      </c>
      <c r="B920" s="27" t="s">
        <v>686</v>
      </c>
      <c r="C920" s="27" t="s">
        <v>12</v>
      </c>
      <c r="D920" s="27" t="s">
        <v>26</v>
      </c>
      <c r="E920" s="27" t="s">
        <v>61</v>
      </c>
      <c r="F920" s="27" t="s">
        <v>22</v>
      </c>
      <c r="G920" s="27" t="s">
        <v>34</v>
      </c>
      <c r="H920" s="28">
        <v>42834</v>
      </c>
      <c r="I920" s="27">
        <v>79692</v>
      </c>
      <c r="J920" s="29" t="s">
        <v>374</v>
      </c>
    </row>
    <row r="921" s="22" customFormat="1" spans="1:10">
      <c r="A921" s="30" t="s">
        <v>1558</v>
      </c>
      <c r="B921" s="31" t="s">
        <v>1345</v>
      </c>
      <c r="C921" s="31" t="s">
        <v>12</v>
      </c>
      <c r="D921" s="31" t="s">
        <v>38</v>
      </c>
      <c r="E921" s="31" t="s">
        <v>66</v>
      </c>
      <c r="F921" s="31" t="s">
        <v>15</v>
      </c>
      <c r="G921" s="31" t="s">
        <v>28</v>
      </c>
      <c r="H921" s="32">
        <v>42476</v>
      </c>
      <c r="I921" s="31">
        <v>224389</v>
      </c>
      <c r="J921" s="33" t="s">
        <v>24</v>
      </c>
    </row>
    <row r="922" s="22" customFormat="1" spans="1:10">
      <c r="A922" s="26" t="s">
        <v>1559</v>
      </c>
      <c r="B922" s="27" t="s">
        <v>1266</v>
      </c>
      <c r="C922" s="27" t="s">
        <v>12</v>
      </c>
      <c r="D922" s="27" t="s">
        <v>52</v>
      </c>
      <c r="E922" s="27" t="s">
        <v>120</v>
      </c>
      <c r="F922" s="27" t="s">
        <v>15</v>
      </c>
      <c r="G922" s="27" t="s">
        <v>94</v>
      </c>
      <c r="H922" s="28">
        <v>45383</v>
      </c>
      <c r="I922" s="27">
        <v>73928</v>
      </c>
      <c r="J922" s="29" t="s">
        <v>482</v>
      </c>
    </row>
    <row r="923" s="22" customFormat="1" spans="1:10">
      <c r="A923" s="30" t="s">
        <v>1560</v>
      </c>
      <c r="B923" s="31" t="s">
        <v>1561</v>
      </c>
      <c r="C923" s="31" t="s">
        <v>12</v>
      </c>
      <c r="D923" s="31" t="s">
        <v>92</v>
      </c>
      <c r="E923" s="31" t="s">
        <v>189</v>
      </c>
      <c r="F923" s="31" t="s">
        <v>22</v>
      </c>
      <c r="G923" s="31" t="s">
        <v>28</v>
      </c>
      <c r="H923" s="32">
        <v>43132</v>
      </c>
      <c r="I923" s="31">
        <v>69077</v>
      </c>
      <c r="J923" s="33"/>
    </row>
    <row r="924" s="22" customFormat="1" spans="1:10">
      <c r="A924" s="26" t="s">
        <v>1562</v>
      </c>
      <c r="B924" s="27" t="s">
        <v>1563</v>
      </c>
      <c r="C924" s="27" t="s">
        <v>12</v>
      </c>
      <c r="D924" s="27" t="s">
        <v>52</v>
      </c>
      <c r="E924" s="27" t="s">
        <v>120</v>
      </c>
      <c r="F924" s="27" t="s">
        <v>15</v>
      </c>
      <c r="G924" s="27" t="s">
        <v>40</v>
      </c>
      <c r="H924" s="28">
        <v>44414</v>
      </c>
      <c r="I924" s="27">
        <v>72855</v>
      </c>
      <c r="J924" s="29" t="s">
        <v>954</v>
      </c>
    </row>
    <row r="925" s="22" customFormat="1" spans="1:10">
      <c r="A925" s="30" t="s">
        <v>1564</v>
      </c>
      <c r="B925" s="31" t="s">
        <v>171</v>
      </c>
      <c r="C925" s="31" t="s">
        <v>12</v>
      </c>
      <c r="D925" s="31" t="s">
        <v>52</v>
      </c>
      <c r="E925" s="31" t="s">
        <v>120</v>
      </c>
      <c r="F925" s="31" t="s">
        <v>48</v>
      </c>
      <c r="G925" s="31" t="s">
        <v>94</v>
      </c>
      <c r="H925" s="32">
        <v>44490</v>
      </c>
      <c r="I925" s="31">
        <v>123718</v>
      </c>
      <c r="J925" s="33" t="s">
        <v>50</v>
      </c>
    </row>
    <row r="926" s="22" customFormat="1" spans="1:10">
      <c r="A926" s="26" t="s">
        <v>1565</v>
      </c>
      <c r="B926" s="27" t="s">
        <v>1451</v>
      </c>
      <c r="C926" s="27" t="s">
        <v>12</v>
      </c>
      <c r="D926" s="27" t="s">
        <v>13</v>
      </c>
      <c r="E926" s="27" t="s">
        <v>223</v>
      </c>
      <c r="F926" s="27" t="s">
        <v>22</v>
      </c>
      <c r="G926" s="27" t="s">
        <v>40</v>
      </c>
      <c r="H926" s="28">
        <v>43955</v>
      </c>
      <c r="I926" s="27">
        <v>216552</v>
      </c>
      <c r="J926" s="29" t="s">
        <v>908</v>
      </c>
    </row>
    <row r="927" s="22" customFormat="1" spans="1:10">
      <c r="A927" s="30" t="s">
        <v>1566</v>
      </c>
      <c r="B927" s="31" t="s">
        <v>1567</v>
      </c>
      <c r="C927" s="31" t="s">
        <v>19</v>
      </c>
      <c r="D927" s="31" t="s">
        <v>38</v>
      </c>
      <c r="E927" s="31" t="s">
        <v>77</v>
      </c>
      <c r="F927" s="31" t="s">
        <v>48</v>
      </c>
      <c r="G927" s="31" t="s">
        <v>28</v>
      </c>
      <c r="H927" s="32">
        <v>44670</v>
      </c>
      <c r="I927" s="31">
        <v>89519</v>
      </c>
      <c r="J927" s="33" t="s">
        <v>1039</v>
      </c>
    </row>
    <row r="928" s="22" customFormat="1" spans="1:10">
      <c r="A928" s="26" t="s">
        <v>186</v>
      </c>
      <c r="B928" s="27" t="s">
        <v>346</v>
      </c>
      <c r="C928" s="27" t="s">
        <v>19</v>
      </c>
      <c r="D928" s="27" t="s">
        <v>87</v>
      </c>
      <c r="E928" s="27" t="s">
        <v>349</v>
      </c>
      <c r="F928" s="27" t="s">
        <v>15</v>
      </c>
      <c r="G928" s="27" t="s">
        <v>28</v>
      </c>
      <c r="H928" s="28">
        <v>42852</v>
      </c>
      <c r="I928" s="27">
        <v>222698</v>
      </c>
      <c r="J928" s="29" t="s">
        <v>842</v>
      </c>
    </row>
    <row r="929" s="22" customFormat="1" spans="1:10">
      <c r="A929" s="30" t="s">
        <v>1568</v>
      </c>
      <c r="B929" s="31" t="s">
        <v>1569</v>
      </c>
      <c r="C929" s="31" t="s">
        <v>12</v>
      </c>
      <c r="D929" s="31" t="s">
        <v>92</v>
      </c>
      <c r="E929" s="31" t="s">
        <v>391</v>
      </c>
      <c r="F929" s="31" t="s">
        <v>48</v>
      </c>
      <c r="G929" s="31" t="s">
        <v>28</v>
      </c>
      <c r="H929" s="32">
        <v>43442</v>
      </c>
      <c r="I929" s="31">
        <v>105766</v>
      </c>
      <c r="J929" s="33" t="s">
        <v>262</v>
      </c>
    </row>
    <row r="930" s="22" customFormat="1" spans="1:10">
      <c r="A930" s="26" t="s">
        <v>1570</v>
      </c>
      <c r="B930" s="27" t="s">
        <v>1571</v>
      </c>
      <c r="C930" s="27" t="s">
        <v>12</v>
      </c>
      <c r="D930" s="27" t="s">
        <v>32</v>
      </c>
      <c r="E930" s="27" t="s">
        <v>33</v>
      </c>
      <c r="F930" s="27" t="s">
        <v>15</v>
      </c>
      <c r="G930" s="27" t="s">
        <v>40</v>
      </c>
      <c r="H930" s="28">
        <v>45544</v>
      </c>
      <c r="I930" s="27">
        <v>129868</v>
      </c>
      <c r="J930" s="29" t="s">
        <v>50</v>
      </c>
    </row>
    <row r="931" s="22" customFormat="1" spans="1:10">
      <c r="A931" s="30" t="s">
        <v>1572</v>
      </c>
      <c r="B931" s="31" t="s">
        <v>133</v>
      </c>
      <c r="C931" s="31" t="s">
        <v>19</v>
      </c>
      <c r="D931" s="31" t="s">
        <v>87</v>
      </c>
      <c r="E931" s="31" t="s">
        <v>88</v>
      </c>
      <c r="F931" s="31" t="s">
        <v>15</v>
      </c>
      <c r="G931" s="31" t="s">
        <v>34</v>
      </c>
      <c r="H931" s="32">
        <v>43436</v>
      </c>
      <c r="I931" s="31">
        <v>169924</v>
      </c>
      <c r="J931" s="33" t="s">
        <v>476</v>
      </c>
    </row>
    <row r="932" s="22" customFormat="1" spans="1:10">
      <c r="A932" s="26" t="s">
        <v>1573</v>
      </c>
      <c r="B932" s="27" t="s">
        <v>444</v>
      </c>
      <c r="C932" s="27" t="s">
        <v>19</v>
      </c>
      <c r="D932" s="27" t="s">
        <v>38</v>
      </c>
      <c r="E932" s="27" t="s">
        <v>140</v>
      </c>
      <c r="F932" s="27" t="s">
        <v>48</v>
      </c>
      <c r="G932" s="27" t="s">
        <v>62</v>
      </c>
      <c r="H932" s="28">
        <v>45253</v>
      </c>
      <c r="I932" s="27">
        <v>109277</v>
      </c>
      <c r="J932" s="29" t="s">
        <v>1259</v>
      </c>
    </row>
    <row r="933" s="22" customFormat="1" spans="1:10">
      <c r="A933" s="30" t="s">
        <v>1574</v>
      </c>
      <c r="B933" s="31" t="s">
        <v>1575</v>
      </c>
      <c r="C933" s="31" t="s">
        <v>12</v>
      </c>
      <c r="D933" s="31" t="s">
        <v>52</v>
      </c>
      <c r="E933" s="31" t="s">
        <v>120</v>
      </c>
      <c r="F933" s="31" t="s">
        <v>15</v>
      </c>
      <c r="G933" s="31" t="s">
        <v>28</v>
      </c>
      <c r="H933" s="32">
        <v>44197</v>
      </c>
      <c r="I933" s="31">
        <v>85515</v>
      </c>
      <c r="J933" s="33" t="s">
        <v>1514</v>
      </c>
    </row>
    <row r="934" s="22" customFormat="1" spans="1:10">
      <c r="A934" s="26" t="s">
        <v>1576</v>
      </c>
      <c r="B934" s="27" t="s">
        <v>282</v>
      </c>
      <c r="C934" s="27" t="s">
        <v>19</v>
      </c>
      <c r="D934" s="27" t="s">
        <v>20</v>
      </c>
      <c r="E934" s="27" t="s">
        <v>21</v>
      </c>
      <c r="F934" s="27" t="s">
        <v>15</v>
      </c>
      <c r="G934" s="27" t="s">
        <v>40</v>
      </c>
      <c r="H934" s="28">
        <v>43248</v>
      </c>
      <c r="I934" s="27">
        <v>80134</v>
      </c>
      <c r="J934" s="29" t="s">
        <v>468</v>
      </c>
    </row>
    <row r="935" s="22" customFormat="1" spans="1:10">
      <c r="A935" s="30" t="s">
        <v>1577</v>
      </c>
      <c r="B935" s="31" t="s">
        <v>313</v>
      </c>
      <c r="C935" s="31" t="s">
        <v>19</v>
      </c>
      <c r="D935" s="31" t="s">
        <v>92</v>
      </c>
      <c r="E935" s="31" t="s">
        <v>93</v>
      </c>
      <c r="F935" s="31" t="s">
        <v>15</v>
      </c>
      <c r="G935" s="31" t="s">
        <v>62</v>
      </c>
      <c r="H935" s="32">
        <v>44876</v>
      </c>
      <c r="I935" s="31">
        <v>124051</v>
      </c>
      <c r="J935" s="33" t="s">
        <v>490</v>
      </c>
    </row>
    <row r="936" s="22" customFormat="1" spans="1:10">
      <c r="A936" s="26" t="s">
        <v>1578</v>
      </c>
      <c r="B936" s="27" t="s">
        <v>616</v>
      </c>
      <c r="C936" s="27" t="s">
        <v>19</v>
      </c>
      <c r="D936" s="27" t="s">
        <v>38</v>
      </c>
      <c r="E936" s="27" t="s">
        <v>44</v>
      </c>
      <c r="F936" s="27" t="s">
        <v>15</v>
      </c>
      <c r="G936" s="27" t="s">
        <v>94</v>
      </c>
      <c r="H936" s="28">
        <v>43539</v>
      </c>
      <c r="I936" s="27">
        <v>103259</v>
      </c>
      <c r="J936" s="29" t="s">
        <v>172</v>
      </c>
    </row>
    <row r="937" s="22" customFormat="1" spans="1:10">
      <c r="A937" s="30" t="s">
        <v>619</v>
      </c>
      <c r="B937" s="31" t="s">
        <v>1462</v>
      </c>
      <c r="C937" s="31" t="s">
        <v>146</v>
      </c>
      <c r="D937" s="31" t="s">
        <v>87</v>
      </c>
      <c r="E937" s="31" t="s">
        <v>349</v>
      </c>
      <c r="F937" s="31" t="s">
        <v>15</v>
      </c>
      <c r="G937" s="31" t="s">
        <v>34</v>
      </c>
      <c r="H937" s="32">
        <v>45212</v>
      </c>
      <c r="I937" s="31">
        <v>126702</v>
      </c>
      <c r="J937" s="33" t="s">
        <v>137</v>
      </c>
    </row>
    <row r="938" s="22" customFormat="1" spans="1:10">
      <c r="A938" s="26" t="s">
        <v>1579</v>
      </c>
      <c r="B938" s="27" t="s">
        <v>1523</v>
      </c>
      <c r="C938" s="27" t="s">
        <v>19</v>
      </c>
      <c r="D938" s="27" t="s">
        <v>38</v>
      </c>
      <c r="E938" s="27" t="s">
        <v>66</v>
      </c>
      <c r="F938" s="27" t="s">
        <v>15</v>
      </c>
      <c r="G938" s="27" t="s">
        <v>62</v>
      </c>
      <c r="H938" s="28">
        <v>44381</v>
      </c>
      <c r="I938" s="27">
        <v>138106</v>
      </c>
      <c r="J938" s="29" t="s">
        <v>54</v>
      </c>
    </row>
    <row r="939" s="22" customFormat="1" spans="1:10">
      <c r="A939" s="30" t="s">
        <v>148</v>
      </c>
      <c r="B939" s="31" t="s">
        <v>506</v>
      </c>
      <c r="C939" s="31" t="s">
        <v>12</v>
      </c>
      <c r="D939" s="31" t="s">
        <v>20</v>
      </c>
      <c r="E939" s="31" t="s">
        <v>70</v>
      </c>
      <c r="F939" s="31" t="s">
        <v>15</v>
      </c>
      <c r="G939" s="31" t="s">
        <v>34</v>
      </c>
      <c r="H939" s="32">
        <v>43189</v>
      </c>
      <c r="I939" s="31">
        <v>159288</v>
      </c>
      <c r="J939" s="33" t="s">
        <v>114</v>
      </c>
    </row>
    <row r="940" s="22" customFormat="1" spans="1:10">
      <c r="A940" s="26" t="s">
        <v>1580</v>
      </c>
      <c r="B940" s="27" t="s">
        <v>161</v>
      </c>
      <c r="C940" s="27" t="s">
        <v>12</v>
      </c>
      <c r="D940" s="27" t="s">
        <v>38</v>
      </c>
      <c r="E940" s="27" t="s">
        <v>140</v>
      </c>
      <c r="F940" s="27" t="s">
        <v>15</v>
      </c>
      <c r="G940" s="27" t="s">
        <v>16</v>
      </c>
      <c r="H940" s="28">
        <v>42872</v>
      </c>
      <c r="I940" s="27">
        <v>212363</v>
      </c>
      <c r="J940" s="29"/>
    </row>
    <row r="941" s="22" customFormat="1" spans="1:10">
      <c r="A941" s="30" t="s">
        <v>1581</v>
      </c>
      <c r="B941" s="31" t="s">
        <v>362</v>
      </c>
      <c r="C941" s="31" t="s">
        <v>19</v>
      </c>
      <c r="D941" s="31" t="s">
        <v>92</v>
      </c>
      <c r="E941" s="31" t="s">
        <v>189</v>
      </c>
      <c r="F941" s="31" t="s">
        <v>48</v>
      </c>
      <c r="G941" s="31" t="s">
        <v>34</v>
      </c>
      <c r="H941" s="32">
        <v>42925</v>
      </c>
      <c r="I941" s="31">
        <v>131958</v>
      </c>
      <c r="J941" s="33" t="s">
        <v>121</v>
      </c>
    </row>
    <row r="942" s="22" customFormat="1" spans="1:10">
      <c r="A942" s="26" t="s">
        <v>1582</v>
      </c>
      <c r="B942" s="27" t="s">
        <v>1414</v>
      </c>
      <c r="C942" s="27" t="s">
        <v>12</v>
      </c>
      <c r="D942" s="27" t="s">
        <v>87</v>
      </c>
      <c r="E942" s="27" t="s">
        <v>88</v>
      </c>
      <c r="F942" s="27" t="s">
        <v>15</v>
      </c>
      <c r="G942" s="27" t="s">
        <v>28</v>
      </c>
      <c r="H942" s="28">
        <v>45863</v>
      </c>
      <c r="I942" s="27">
        <v>201934</v>
      </c>
      <c r="J942" s="29" t="s">
        <v>493</v>
      </c>
    </row>
    <row r="943" s="22" customFormat="1" spans="1:10">
      <c r="A943" s="30" t="s">
        <v>1583</v>
      </c>
      <c r="B943" s="31" t="s">
        <v>315</v>
      </c>
      <c r="C943" s="31" t="s">
        <v>19</v>
      </c>
      <c r="D943" s="31" t="s">
        <v>92</v>
      </c>
      <c r="E943" s="31" t="s">
        <v>391</v>
      </c>
      <c r="F943" s="31" t="s">
        <v>15</v>
      </c>
      <c r="G943" s="31" t="s">
        <v>34</v>
      </c>
      <c r="H943" s="32">
        <v>42673</v>
      </c>
      <c r="I943" s="31">
        <v>113918</v>
      </c>
      <c r="J943" s="33" t="s">
        <v>41</v>
      </c>
    </row>
    <row r="944" s="22" customFormat="1" spans="1:10">
      <c r="A944" s="26" t="s">
        <v>1584</v>
      </c>
      <c r="B944" s="27" t="s">
        <v>1162</v>
      </c>
      <c r="C944" s="27" t="s">
        <v>12</v>
      </c>
      <c r="D944" s="27" t="s">
        <v>32</v>
      </c>
      <c r="E944" s="27" t="s">
        <v>33</v>
      </c>
      <c r="F944" s="27" t="s">
        <v>15</v>
      </c>
      <c r="G944" s="27" t="s">
        <v>40</v>
      </c>
      <c r="H944" s="28">
        <v>44221</v>
      </c>
      <c r="I944" s="27">
        <v>131275</v>
      </c>
      <c r="J944" s="29" t="s">
        <v>280</v>
      </c>
    </row>
    <row r="945" s="22" customFormat="1" spans="1:10">
      <c r="A945" s="30" t="s">
        <v>1585</v>
      </c>
      <c r="B945" s="31" t="s">
        <v>353</v>
      </c>
      <c r="C945" s="31" t="s">
        <v>12</v>
      </c>
      <c r="D945" s="31" t="s">
        <v>52</v>
      </c>
      <c r="E945" s="31" t="s">
        <v>120</v>
      </c>
      <c r="F945" s="31" t="s">
        <v>48</v>
      </c>
      <c r="G945" s="31" t="s">
        <v>34</v>
      </c>
      <c r="H945" s="32">
        <v>43077</v>
      </c>
      <c r="I945" s="31">
        <v>96665</v>
      </c>
      <c r="J945" s="33" t="s">
        <v>121</v>
      </c>
    </row>
    <row r="946" s="22" customFormat="1" spans="1:10">
      <c r="A946" s="26" t="s">
        <v>1586</v>
      </c>
      <c r="B946" s="27" t="s">
        <v>1092</v>
      </c>
      <c r="C946" s="27" t="s">
        <v>19</v>
      </c>
      <c r="D946" s="27" t="s">
        <v>38</v>
      </c>
      <c r="E946" s="27" t="s">
        <v>39</v>
      </c>
      <c r="F946" s="27" t="s">
        <v>15</v>
      </c>
      <c r="G946" s="27" t="s">
        <v>94</v>
      </c>
      <c r="H946" s="28">
        <v>45291</v>
      </c>
      <c r="I946" s="27">
        <v>146827</v>
      </c>
      <c r="J946" s="29" t="s">
        <v>89</v>
      </c>
    </row>
    <row r="947" s="22" customFormat="1" spans="1:10">
      <c r="A947" s="30" t="s">
        <v>1587</v>
      </c>
      <c r="B947" s="31" t="s">
        <v>427</v>
      </c>
      <c r="C947" s="31" t="s">
        <v>19</v>
      </c>
      <c r="D947" s="31" t="s">
        <v>38</v>
      </c>
      <c r="E947" s="31" t="s">
        <v>140</v>
      </c>
      <c r="F947" s="31" t="s">
        <v>48</v>
      </c>
      <c r="G947" s="31" t="s">
        <v>40</v>
      </c>
      <c r="H947" s="32">
        <v>44193</v>
      </c>
      <c r="I947" s="31">
        <v>188623</v>
      </c>
      <c r="J947" s="33" t="s">
        <v>813</v>
      </c>
    </row>
    <row r="948" s="22" customFormat="1" spans="1:10">
      <c r="A948" s="26" t="s">
        <v>1588</v>
      </c>
      <c r="B948" s="27" t="s">
        <v>1589</v>
      </c>
      <c r="C948" s="27" t="s">
        <v>12</v>
      </c>
      <c r="D948" s="27" t="s">
        <v>38</v>
      </c>
      <c r="E948" s="27" t="s">
        <v>140</v>
      </c>
      <c r="F948" s="27" t="s">
        <v>15</v>
      </c>
      <c r="G948" s="27" t="s">
        <v>34</v>
      </c>
      <c r="H948" s="28">
        <v>42729</v>
      </c>
      <c r="I948" s="27">
        <v>145234</v>
      </c>
      <c r="J948" s="29"/>
    </row>
    <row r="949" s="22" customFormat="1" spans="1:10">
      <c r="A949" s="30" t="s">
        <v>1590</v>
      </c>
      <c r="B949" s="31" t="s">
        <v>1094</v>
      </c>
      <c r="C949" s="31" t="s">
        <v>19</v>
      </c>
      <c r="D949" s="31" t="s">
        <v>20</v>
      </c>
      <c r="E949" s="31" t="s">
        <v>147</v>
      </c>
      <c r="F949" s="31" t="s">
        <v>15</v>
      </c>
      <c r="G949" s="31" t="s">
        <v>94</v>
      </c>
      <c r="H949" s="32">
        <v>45689</v>
      </c>
      <c r="I949" s="31">
        <v>92688</v>
      </c>
      <c r="J949" s="33" t="s">
        <v>58</v>
      </c>
    </row>
    <row r="950" s="22" customFormat="1" spans="1:10">
      <c r="A950" s="26" t="s">
        <v>1591</v>
      </c>
      <c r="B950" s="27" t="s">
        <v>292</v>
      </c>
      <c r="C950" s="27" t="s">
        <v>12</v>
      </c>
      <c r="D950" s="27" t="s">
        <v>52</v>
      </c>
      <c r="E950" s="27" t="s">
        <v>246</v>
      </c>
      <c r="F950" s="27" t="s">
        <v>15</v>
      </c>
      <c r="G950" s="27" t="s">
        <v>40</v>
      </c>
      <c r="H950" s="28">
        <v>45163</v>
      </c>
      <c r="I950" s="27">
        <v>126711</v>
      </c>
      <c r="J950" s="29" t="s">
        <v>721</v>
      </c>
    </row>
    <row r="951" s="22" customFormat="1" spans="1:10">
      <c r="A951" s="30" t="s">
        <v>1592</v>
      </c>
      <c r="B951" s="31" t="s">
        <v>346</v>
      </c>
      <c r="C951" s="31" t="s">
        <v>12</v>
      </c>
      <c r="D951" s="31" t="s">
        <v>32</v>
      </c>
      <c r="E951" s="31" t="s">
        <v>130</v>
      </c>
      <c r="F951" s="31" t="s">
        <v>15</v>
      </c>
      <c r="G951" s="31" t="s">
        <v>40</v>
      </c>
      <c r="H951" s="32">
        <v>45833</v>
      </c>
      <c r="I951" s="31">
        <v>116465</v>
      </c>
      <c r="J951" s="33" t="s">
        <v>725</v>
      </c>
    </row>
    <row r="952" s="22" customFormat="1" spans="1:10">
      <c r="A952" s="26" t="s">
        <v>1593</v>
      </c>
      <c r="B952" s="27" t="s">
        <v>1569</v>
      </c>
      <c r="C952" s="27" t="s">
        <v>12</v>
      </c>
      <c r="D952" s="27" t="s">
        <v>32</v>
      </c>
      <c r="E952" s="27" t="s">
        <v>57</v>
      </c>
      <c r="F952" s="27" t="s">
        <v>15</v>
      </c>
      <c r="G952" s="27" t="s">
        <v>94</v>
      </c>
      <c r="H952" s="28">
        <v>43679</v>
      </c>
      <c r="I952" s="27">
        <v>60918</v>
      </c>
      <c r="J952" s="29" t="s">
        <v>476</v>
      </c>
    </row>
    <row r="953" s="22" customFormat="1" spans="1:10">
      <c r="A953" s="30" t="s">
        <v>1594</v>
      </c>
      <c r="B953" s="31" t="s">
        <v>812</v>
      </c>
      <c r="C953" s="31" t="s">
        <v>146</v>
      </c>
      <c r="D953" s="31" t="s">
        <v>32</v>
      </c>
      <c r="E953" s="31" t="s">
        <v>57</v>
      </c>
      <c r="F953" s="31" t="s">
        <v>15</v>
      </c>
      <c r="G953" s="31" t="s">
        <v>94</v>
      </c>
      <c r="H953" s="32">
        <v>45105</v>
      </c>
      <c r="I953" s="31">
        <v>58459</v>
      </c>
      <c r="J953" s="33"/>
    </row>
    <row r="954" s="22" customFormat="1" spans="1:10">
      <c r="A954" s="26" t="s">
        <v>1595</v>
      </c>
      <c r="B954" s="27" t="s">
        <v>935</v>
      </c>
      <c r="C954" s="27" t="s">
        <v>12</v>
      </c>
      <c r="D954" s="27" t="s">
        <v>38</v>
      </c>
      <c r="E954" s="27" t="s">
        <v>140</v>
      </c>
      <c r="F954" s="27" t="s">
        <v>15</v>
      </c>
      <c r="G954" s="27" t="s">
        <v>62</v>
      </c>
      <c r="H954" s="28">
        <v>43793</v>
      </c>
      <c r="I954" s="27">
        <v>291785</v>
      </c>
      <c r="J954" s="29" t="s">
        <v>352</v>
      </c>
    </row>
    <row r="955" s="22" customFormat="1" spans="1:10">
      <c r="A955" s="30" t="s">
        <v>918</v>
      </c>
      <c r="B955" s="31" t="s">
        <v>730</v>
      </c>
      <c r="C955" s="31" t="s">
        <v>12</v>
      </c>
      <c r="D955" s="31" t="s">
        <v>20</v>
      </c>
      <c r="E955" s="31" t="s">
        <v>70</v>
      </c>
      <c r="F955" s="31" t="s">
        <v>15</v>
      </c>
      <c r="G955" s="31" t="s">
        <v>94</v>
      </c>
      <c r="H955" s="32">
        <v>45276</v>
      </c>
      <c r="I955" s="31">
        <v>166404</v>
      </c>
      <c r="J955" s="33" t="s">
        <v>604</v>
      </c>
    </row>
    <row r="956" s="22" customFormat="1" spans="1:10">
      <c r="A956" s="26" t="s">
        <v>1220</v>
      </c>
      <c r="B956" s="27" t="s">
        <v>1125</v>
      </c>
      <c r="C956" s="27" t="s">
        <v>19</v>
      </c>
      <c r="D956" s="27" t="s">
        <v>13</v>
      </c>
      <c r="E956" s="27" t="s">
        <v>98</v>
      </c>
      <c r="F956" s="27" t="s">
        <v>15</v>
      </c>
      <c r="G956" s="27" t="s">
        <v>62</v>
      </c>
      <c r="H956" s="28">
        <v>42635</v>
      </c>
      <c r="I956" s="27">
        <v>250368</v>
      </c>
      <c r="J956" s="29" t="s">
        <v>456</v>
      </c>
    </row>
    <row r="957" s="22" customFormat="1" spans="1:10">
      <c r="A957" s="30" t="s">
        <v>435</v>
      </c>
      <c r="B957" s="31" t="s">
        <v>746</v>
      </c>
      <c r="C957" s="31" t="s">
        <v>12</v>
      </c>
      <c r="D957" s="31" t="s">
        <v>13</v>
      </c>
      <c r="E957" s="31" t="s">
        <v>98</v>
      </c>
      <c r="F957" s="31" t="s">
        <v>15</v>
      </c>
      <c r="G957" s="31" t="s">
        <v>16</v>
      </c>
      <c r="H957" s="32">
        <v>44622</v>
      </c>
      <c r="I957" s="31">
        <v>161678</v>
      </c>
      <c r="J957" s="33" t="s">
        <v>201</v>
      </c>
    </row>
    <row r="958" s="22" customFormat="1" spans="1:10">
      <c r="A958" s="26" t="s">
        <v>1596</v>
      </c>
      <c r="B958" s="27" t="s">
        <v>1597</v>
      </c>
      <c r="C958" s="27" t="s">
        <v>19</v>
      </c>
      <c r="D958" s="27" t="s">
        <v>92</v>
      </c>
      <c r="E958" s="27" t="s">
        <v>93</v>
      </c>
      <c r="F958" s="27" t="s">
        <v>15</v>
      </c>
      <c r="G958" s="27" t="s">
        <v>28</v>
      </c>
      <c r="H958" s="28">
        <v>44590</v>
      </c>
      <c r="I958" s="27">
        <v>166372</v>
      </c>
      <c r="J958" s="29" t="s">
        <v>204</v>
      </c>
    </row>
    <row r="959" s="22" customFormat="1" spans="1:10">
      <c r="A959" s="30" t="s">
        <v>1598</v>
      </c>
      <c r="B959" s="31" t="s">
        <v>1599</v>
      </c>
      <c r="C959" s="31" t="s">
        <v>19</v>
      </c>
      <c r="D959" s="31" t="s">
        <v>38</v>
      </c>
      <c r="E959" s="31" t="s">
        <v>66</v>
      </c>
      <c r="F959" s="31" t="s">
        <v>15</v>
      </c>
      <c r="G959" s="31" t="s">
        <v>34</v>
      </c>
      <c r="H959" s="32">
        <v>43559</v>
      </c>
      <c r="I959" s="31">
        <v>202206</v>
      </c>
      <c r="J959" s="33" t="s">
        <v>336</v>
      </c>
    </row>
    <row r="960" s="22" customFormat="1" spans="1:10">
      <c r="A960" s="26" t="s">
        <v>1600</v>
      </c>
      <c r="B960" s="27" t="s">
        <v>1218</v>
      </c>
      <c r="C960" s="27" t="s">
        <v>19</v>
      </c>
      <c r="D960" s="27" t="s">
        <v>38</v>
      </c>
      <c r="E960" s="27" t="s">
        <v>44</v>
      </c>
      <c r="F960" s="27" t="s">
        <v>15</v>
      </c>
      <c r="G960" s="27" t="s">
        <v>40</v>
      </c>
      <c r="H960" s="28">
        <v>43598</v>
      </c>
      <c r="I960" s="27">
        <v>121015</v>
      </c>
      <c r="J960" s="29" t="s">
        <v>1122</v>
      </c>
    </row>
    <row r="961" s="22" customFormat="1" spans="1:10">
      <c r="A961" s="30" t="s">
        <v>1601</v>
      </c>
      <c r="B961" s="31" t="s">
        <v>775</v>
      </c>
      <c r="C961" s="31" t="s">
        <v>12</v>
      </c>
      <c r="D961" s="31" t="s">
        <v>26</v>
      </c>
      <c r="E961" s="31" t="s">
        <v>294</v>
      </c>
      <c r="F961" s="31" t="s">
        <v>15</v>
      </c>
      <c r="G961" s="31" t="s">
        <v>62</v>
      </c>
      <c r="H961" s="32">
        <v>45857</v>
      </c>
      <c r="I961" s="31">
        <v>102582</v>
      </c>
      <c r="J961" s="33" t="s">
        <v>579</v>
      </c>
    </row>
    <row r="962" s="22" customFormat="1" spans="1:10">
      <c r="A962" s="26" t="s">
        <v>1602</v>
      </c>
      <c r="B962" s="27" t="s">
        <v>1603</v>
      </c>
      <c r="C962" s="27" t="s">
        <v>12</v>
      </c>
      <c r="D962" s="27" t="s">
        <v>38</v>
      </c>
      <c r="E962" s="27" t="s">
        <v>77</v>
      </c>
      <c r="F962" s="27" t="s">
        <v>48</v>
      </c>
      <c r="G962" s="27" t="s">
        <v>34</v>
      </c>
      <c r="H962" s="28">
        <v>43015</v>
      </c>
      <c r="I962" s="27">
        <v>138102</v>
      </c>
      <c r="J962" s="29" t="s">
        <v>54</v>
      </c>
    </row>
    <row r="963" s="22" customFormat="1" spans="1:10">
      <c r="A963" s="30" t="s">
        <v>1604</v>
      </c>
      <c r="B963" s="31" t="s">
        <v>1605</v>
      </c>
      <c r="C963" s="31" t="s">
        <v>12</v>
      </c>
      <c r="D963" s="31" t="s">
        <v>32</v>
      </c>
      <c r="E963" s="31" t="s">
        <v>130</v>
      </c>
      <c r="F963" s="31" t="s">
        <v>15</v>
      </c>
      <c r="G963" s="31" t="s">
        <v>94</v>
      </c>
      <c r="H963" s="32">
        <v>45285</v>
      </c>
      <c r="I963" s="31">
        <v>122797</v>
      </c>
      <c r="J963" s="33" t="s">
        <v>782</v>
      </c>
    </row>
    <row r="964" s="22" customFormat="1" spans="1:10">
      <c r="A964" s="26" t="s">
        <v>529</v>
      </c>
      <c r="B964" s="27" t="s">
        <v>1606</v>
      </c>
      <c r="C964" s="27" t="s">
        <v>12</v>
      </c>
      <c r="D964" s="27" t="s">
        <v>87</v>
      </c>
      <c r="E964" s="27" t="s">
        <v>111</v>
      </c>
      <c r="F964" s="27" t="s">
        <v>15</v>
      </c>
      <c r="G964" s="27" t="s">
        <v>94</v>
      </c>
      <c r="H964" s="28">
        <v>45276</v>
      </c>
      <c r="I964" s="27">
        <v>128328</v>
      </c>
      <c r="J964" s="29" t="s">
        <v>67</v>
      </c>
    </row>
    <row r="965" s="22" customFormat="1" spans="1:10">
      <c r="A965" s="30" t="s">
        <v>1607</v>
      </c>
      <c r="B965" s="31" t="s">
        <v>1159</v>
      </c>
      <c r="C965" s="31" t="s">
        <v>12</v>
      </c>
      <c r="D965" s="31" t="s">
        <v>13</v>
      </c>
      <c r="E965" s="31" t="s">
        <v>165</v>
      </c>
      <c r="F965" s="31" t="s">
        <v>15</v>
      </c>
      <c r="G965" s="31" t="s">
        <v>34</v>
      </c>
      <c r="H965" s="32">
        <v>45238</v>
      </c>
      <c r="I965" s="31">
        <v>74624</v>
      </c>
      <c r="J965" s="33" t="s">
        <v>607</v>
      </c>
    </row>
    <row r="966" s="22" customFormat="1" spans="1:10">
      <c r="A966" s="26" t="s">
        <v>708</v>
      </c>
      <c r="B966" s="27" t="s">
        <v>1569</v>
      </c>
      <c r="C966" s="27" t="s">
        <v>19</v>
      </c>
      <c r="D966" s="27" t="s">
        <v>87</v>
      </c>
      <c r="E966" s="27" t="s">
        <v>349</v>
      </c>
      <c r="F966" s="27" t="s">
        <v>15</v>
      </c>
      <c r="G966" s="27" t="s">
        <v>94</v>
      </c>
      <c r="H966" s="28">
        <v>44982</v>
      </c>
      <c r="I966" s="27">
        <v>239646</v>
      </c>
      <c r="J966" s="29" t="s">
        <v>325</v>
      </c>
    </row>
    <row r="967" s="22" customFormat="1" spans="1:10">
      <c r="A967" s="30" t="s">
        <v>1608</v>
      </c>
      <c r="B967" s="31" t="s">
        <v>666</v>
      </c>
      <c r="C967" s="31" t="s">
        <v>19</v>
      </c>
      <c r="D967" s="31" t="s">
        <v>13</v>
      </c>
      <c r="E967" s="31" t="s">
        <v>223</v>
      </c>
      <c r="F967" s="31" t="s">
        <v>15</v>
      </c>
      <c r="G967" s="31" t="s">
        <v>16</v>
      </c>
      <c r="H967" s="32">
        <v>43083</v>
      </c>
      <c r="I967" s="31">
        <v>142527</v>
      </c>
      <c r="J967" s="33" t="s">
        <v>374</v>
      </c>
    </row>
    <row r="968" s="22" customFormat="1" spans="1:10">
      <c r="A968" s="26" t="s">
        <v>1609</v>
      </c>
      <c r="B968" s="27" t="s">
        <v>739</v>
      </c>
      <c r="C968" s="27" t="s">
        <v>19</v>
      </c>
      <c r="D968" s="27" t="s">
        <v>26</v>
      </c>
      <c r="E968" s="27" t="s">
        <v>162</v>
      </c>
      <c r="F968" s="27" t="s">
        <v>15</v>
      </c>
      <c r="G968" s="27" t="s">
        <v>40</v>
      </c>
      <c r="H968" s="28">
        <v>45620</v>
      </c>
      <c r="I968" s="27">
        <v>179296</v>
      </c>
      <c r="J968" s="29" t="s">
        <v>954</v>
      </c>
    </row>
    <row r="969" s="22" customFormat="1" spans="1:10">
      <c r="A969" s="30" t="s">
        <v>865</v>
      </c>
      <c r="B969" s="31" t="s">
        <v>1610</v>
      </c>
      <c r="C969" s="31" t="s">
        <v>12</v>
      </c>
      <c r="D969" s="31" t="s">
        <v>87</v>
      </c>
      <c r="E969" s="31" t="s">
        <v>156</v>
      </c>
      <c r="F969" s="31" t="s">
        <v>15</v>
      </c>
      <c r="G969" s="31" t="s">
        <v>16</v>
      </c>
      <c r="H969" s="32">
        <v>43850</v>
      </c>
      <c r="I969" s="31">
        <v>186569</v>
      </c>
      <c r="J969" s="33" t="s">
        <v>105</v>
      </c>
    </row>
    <row r="970" s="22" customFormat="1" spans="1:10">
      <c r="A970" s="26" t="s">
        <v>1611</v>
      </c>
      <c r="B970" s="27" t="s">
        <v>429</v>
      </c>
      <c r="C970" s="27" t="s">
        <v>12</v>
      </c>
      <c r="D970" s="27" t="s">
        <v>92</v>
      </c>
      <c r="E970" s="27" t="s">
        <v>391</v>
      </c>
      <c r="F970" s="27" t="s">
        <v>15</v>
      </c>
      <c r="G970" s="27" t="s">
        <v>62</v>
      </c>
      <c r="H970" s="28">
        <v>44453</v>
      </c>
      <c r="I970" s="27">
        <v>176225</v>
      </c>
      <c r="J970" s="29" t="s">
        <v>151</v>
      </c>
    </row>
    <row r="971" s="22" customFormat="1" spans="1:10">
      <c r="A971" s="30" t="s">
        <v>1612</v>
      </c>
      <c r="B971" s="31" t="s">
        <v>1613</v>
      </c>
      <c r="C971" s="31" t="s">
        <v>12</v>
      </c>
      <c r="D971" s="31" t="s">
        <v>92</v>
      </c>
      <c r="E971" s="31" t="s">
        <v>189</v>
      </c>
      <c r="F971" s="31" t="s">
        <v>15</v>
      </c>
      <c r="G971" s="31" t="s">
        <v>34</v>
      </c>
      <c r="H971" s="32">
        <v>43288</v>
      </c>
      <c r="I971" s="31">
        <v>119654</v>
      </c>
      <c r="J971" s="33" t="s">
        <v>1003</v>
      </c>
    </row>
    <row r="972" s="22" customFormat="1" spans="1:10">
      <c r="A972" s="26" t="s">
        <v>1614</v>
      </c>
      <c r="B972" s="27" t="s">
        <v>47</v>
      </c>
      <c r="C972" s="27" t="s">
        <v>19</v>
      </c>
      <c r="D972" s="27" t="s">
        <v>32</v>
      </c>
      <c r="E972" s="27" t="s">
        <v>57</v>
      </c>
      <c r="F972" s="27" t="s">
        <v>15</v>
      </c>
      <c r="G972" s="27" t="s">
        <v>16</v>
      </c>
      <c r="H972" s="28">
        <v>42867</v>
      </c>
      <c r="I972" s="27">
        <v>71564</v>
      </c>
      <c r="J972" s="29" t="s">
        <v>651</v>
      </c>
    </row>
    <row r="973" s="22" customFormat="1" spans="1:10">
      <c r="A973" s="30" t="s">
        <v>494</v>
      </c>
      <c r="B973" s="31" t="s">
        <v>924</v>
      </c>
      <c r="C973" s="31" t="s">
        <v>19</v>
      </c>
      <c r="D973" s="31" t="s">
        <v>20</v>
      </c>
      <c r="E973" s="31" t="s">
        <v>70</v>
      </c>
      <c r="F973" s="31" t="s">
        <v>15</v>
      </c>
      <c r="G973" s="31" t="s">
        <v>28</v>
      </c>
      <c r="H973" s="32">
        <v>43193</v>
      </c>
      <c r="I973" s="31">
        <v>143911</v>
      </c>
      <c r="J973" s="33" t="s">
        <v>24</v>
      </c>
    </row>
    <row r="974" s="22" customFormat="1" spans="1:10">
      <c r="A974" s="26" t="s">
        <v>1615</v>
      </c>
      <c r="B974" s="27" t="s">
        <v>1616</v>
      </c>
      <c r="C974" s="27" t="s">
        <v>12</v>
      </c>
      <c r="D974" s="27" t="s">
        <v>26</v>
      </c>
      <c r="E974" s="27" t="s">
        <v>162</v>
      </c>
      <c r="F974" s="27" t="s">
        <v>48</v>
      </c>
      <c r="G974" s="27" t="s">
        <v>62</v>
      </c>
      <c r="H974" s="28">
        <v>45614</v>
      </c>
      <c r="I974" s="27">
        <v>153176</v>
      </c>
      <c r="J974" s="29" t="s">
        <v>1001</v>
      </c>
    </row>
    <row r="975" s="22" customFormat="1" spans="1:10">
      <c r="A975" s="30" t="s">
        <v>1617</v>
      </c>
      <c r="B975" s="31" t="s">
        <v>1280</v>
      </c>
      <c r="C975" s="31" t="s">
        <v>12</v>
      </c>
      <c r="D975" s="31" t="s">
        <v>38</v>
      </c>
      <c r="E975" s="31" t="s">
        <v>140</v>
      </c>
      <c r="F975" s="31" t="s">
        <v>15</v>
      </c>
      <c r="G975" s="31" t="s">
        <v>94</v>
      </c>
      <c r="H975" s="32">
        <v>42938</v>
      </c>
      <c r="I975" s="31">
        <v>260181</v>
      </c>
      <c r="J975" s="33" t="s">
        <v>253</v>
      </c>
    </row>
    <row r="976" s="22" customFormat="1" spans="1:10">
      <c r="A976" s="26" t="s">
        <v>1618</v>
      </c>
      <c r="B976" s="27" t="s">
        <v>1619</v>
      </c>
      <c r="C976" s="27" t="s">
        <v>19</v>
      </c>
      <c r="D976" s="27" t="s">
        <v>38</v>
      </c>
      <c r="E976" s="27" t="s">
        <v>66</v>
      </c>
      <c r="F976" s="27" t="s">
        <v>15</v>
      </c>
      <c r="G976" s="27" t="s">
        <v>16</v>
      </c>
      <c r="H976" s="28">
        <v>43339</v>
      </c>
      <c r="I976" s="27">
        <v>98827</v>
      </c>
      <c r="J976" s="29" t="s">
        <v>108</v>
      </c>
    </row>
    <row r="977" s="22" customFormat="1" spans="1:10">
      <c r="A977" s="30" t="s">
        <v>689</v>
      </c>
      <c r="B977" s="31" t="s">
        <v>1620</v>
      </c>
      <c r="C977" s="31" t="s">
        <v>19</v>
      </c>
      <c r="D977" s="31" t="s">
        <v>87</v>
      </c>
      <c r="E977" s="31" t="s">
        <v>111</v>
      </c>
      <c r="F977" s="31" t="s">
        <v>48</v>
      </c>
      <c r="G977" s="31" t="s">
        <v>40</v>
      </c>
      <c r="H977" s="32">
        <v>45607</v>
      </c>
      <c r="I977" s="31">
        <v>189403</v>
      </c>
      <c r="J977" s="33" t="s">
        <v>295</v>
      </c>
    </row>
    <row r="978" s="22" customFormat="1" spans="1:10">
      <c r="A978" s="26" t="s">
        <v>1621</v>
      </c>
      <c r="B978" s="27" t="s">
        <v>680</v>
      </c>
      <c r="C978" s="27" t="s">
        <v>19</v>
      </c>
      <c r="D978" s="27" t="s">
        <v>32</v>
      </c>
      <c r="E978" s="27" t="s">
        <v>57</v>
      </c>
      <c r="F978" s="27" t="s">
        <v>15</v>
      </c>
      <c r="G978" s="27" t="s">
        <v>40</v>
      </c>
      <c r="H978" s="28">
        <v>44393</v>
      </c>
      <c r="I978" s="27">
        <v>99341</v>
      </c>
      <c r="J978" s="29" t="s">
        <v>306</v>
      </c>
    </row>
    <row r="979" s="22" customFormat="1" spans="1:10">
      <c r="A979" s="30" t="s">
        <v>1622</v>
      </c>
      <c r="B979" s="31" t="s">
        <v>1623</v>
      </c>
      <c r="C979" s="31" t="s">
        <v>12</v>
      </c>
      <c r="D979" s="31" t="s">
        <v>38</v>
      </c>
      <c r="E979" s="31" t="s">
        <v>66</v>
      </c>
      <c r="F979" s="31" t="s">
        <v>15</v>
      </c>
      <c r="G979" s="31" t="s">
        <v>40</v>
      </c>
      <c r="H979" s="32">
        <v>42477</v>
      </c>
      <c r="I979" s="31">
        <v>191401</v>
      </c>
      <c r="J979" s="33" t="s">
        <v>151</v>
      </c>
    </row>
    <row r="980" s="22" customFormat="1" spans="1:10">
      <c r="A980" s="26" t="s">
        <v>392</v>
      </c>
      <c r="B980" s="27" t="s">
        <v>1624</v>
      </c>
      <c r="C980" s="27" t="s">
        <v>19</v>
      </c>
      <c r="D980" s="27" t="s">
        <v>92</v>
      </c>
      <c r="E980" s="27" t="s">
        <v>193</v>
      </c>
      <c r="F980" s="27" t="s">
        <v>15</v>
      </c>
      <c r="G980" s="27" t="s">
        <v>16</v>
      </c>
      <c r="H980" s="28">
        <v>43848</v>
      </c>
      <c r="I980" s="27">
        <v>226360</v>
      </c>
      <c r="J980" s="29" t="s">
        <v>68</v>
      </c>
    </row>
    <row r="981" s="22" customFormat="1" spans="1:10">
      <c r="A981" s="30" t="s">
        <v>229</v>
      </c>
      <c r="B981" s="31" t="s">
        <v>444</v>
      </c>
      <c r="C981" s="31" t="s">
        <v>19</v>
      </c>
      <c r="D981" s="31" t="s">
        <v>32</v>
      </c>
      <c r="E981" s="31" t="s">
        <v>208</v>
      </c>
      <c r="F981" s="31" t="s">
        <v>15</v>
      </c>
      <c r="G981" s="31" t="s">
        <v>16</v>
      </c>
      <c r="H981" s="32">
        <v>44639</v>
      </c>
      <c r="I981" s="31">
        <v>153159</v>
      </c>
      <c r="J981" s="33" t="s">
        <v>175</v>
      </c>
    </row>
    <row r="982" s="22" customFormat="1" spans="1:10">
      <c r="A982" s="26" t="s">
        <v>1625</v>
      </c>
      <c r="B982" s="27" t="s">
        <v>801</v>
      </c>
      <c r="C982" s="27" t="s">
        <v>19</v>
      </c>
      <c r="D982" s="27" t="s">
        <v>13</v>
      </c>
      <c r="E982" s="27" t="s">
        <v>14</v>
      </c>
      <c r="F982" s="27" t="s">
        <v>15</v>
      </c>
      <c r="G982" s="27" t="s">
        <v>40</v>
      </c>
      <c r="H982" s="28">
        <v>44714</v>
      </c>
      <c r="I982" s="27">
        <v>58321</v>
      </c>
      <c r="J982" s="29" t="s">
        <v>621</v>
      </c>
    </row>
    <row r="983" s="22" customFormat="1" spans="1:10">
      <c r="A983" s="30" t="s">
        <v>35</v>
      </c>
      <c r="B983" s="31" t="s">
        <v>917</v>
      </c>
      <c r="C983" s="31" t="s">
        <v>12</v>
      </c>
      <c r="D983" s="31" t="s">
        <v>52</v>
      </c>
      <c r="E983" s="31" t="s">
        <v>53</v>
      </c>
      <c r="F983" s="31" t="s">
        <v>48</v>
      </c>
      <c r="G983" s="31" t="s">
        <v>94</v>
      </c>
      <c r="H983" s="32">
        <v>43881</v>
      </c>
      <c r="I983" s="31">
        <v>125677</v>
      </c>
      <c r="J983" s="33"/>
    </row>
    <row r="984" s="22" customFormat="1" spans="1:10">
      <c r="A984" s="26" t="s">
        <v>1626</v>
      </c>
      <c r="B984" s="27" t="s">
        <v>318</v>
      </c>
      <c r="C984" s="27" t="s">
        <v>19</v>
      </c>
      <c r="D984" s="27" t="s">
        <v>38</v>
      </c>
      <c r="E984" s="27" t="s">
        <v>140</v>
      </c>
      <c r="F984" s="27" t="s">
        <v>15</v>
      </c>
      <c r="G984" s="27" t="s">
        <v>62</v>
      </c>
      <c r="H984" s="28">
        <v>44284</v>
      </c>
      <c r="I984" s="27">
        <v>298647</v>
      </c>
      <c r="J984" s="29" t="s">
        <v>476</v>
      </c>
    </row>
    <row r="985" s="22" customFormat="1" spans="1:10">
      <c r="A985" s="30" t="s">
        <v>1627</v>
      </c>
      <c r="B985" s="31" t="s">
        <v>962</v>
      </c>
      <c r="C985" s="31" t="s">
        <v>19</v>
      </c>
      <c r="D985" s="31" t="s">
        <v>38</v>
      </c>
      <c r="E985" s="31" t="s">
        <v>140</v>
      </c>
      <c r="F985" s="31" t="s">
        <v>15</v>
      </c>
      <c r="G985" s="31" t="s">
        <v>28</v>
      </c>
      <c r="H985" s="32">
        <v>45661</v>
      </c>
      <c r="I985" s="31">
        <v>318169</v>
      </c>
      <c r="J985" s="33" t="s">
        <v>50</v>
      </c>
    </row>
    <row r="986" s="22" customFormat="1" spans="1:10">
      <c r="A986" s="26" t="s">
        <v>1628</v>
      </c>
      <c r="B986" s="27" t="s">
        <v>844</v>
      </c>
      <c r="C986" s="27" t="s">
        <v>12</v>
      </c>
      <c r="D986" s="27" t="s">
        <v>26</v>
      </c>
      <c r="E986" s="27" t="s">
        <v>162</v>
      </c>
      <c r="F986" s="27" t="s">
        <v>15</v>
      </c>
      <c r="G986" s="27" t="s">
        <v>34</v>
      </c>
      <c r="H986" s="28">
        <v>44629</v>
      </c>
      <c r="I986" s="27">
        <v>148986</v>
      </c>
      <c r="J986" s="29" t="s">
        <v>306</v>
      </c>
    </row>
    <row r="987" s="22" customFormat="1" spans="1:10">
      <c r="A987" s="30" t="s">
        <v>1629</v>
      </c>
      <c r="B987" s="31" t="s">
        <v>1115</v>
      </c>
      <c r="C987" s="31" t="s">
        <v>12</v>
      </c>
      <c r="D987" s="31" t="s">
        <v>92</v>
      </c>
      <c r="E987" s="31" t="s">
        <v>189</v>
      </c>
      <c r="F987" s="31" t="s">
        <v>15</v>
      </c>
      <c r="G987" s="31" t="s">
        <v>34</v>
      </c>
      <c r="H987" s="32">
        <v>42901</v>
      </c>
      <c r="I987" s="31">
        <v>164446</v>
      </c>
      <c r="J987" s="33" t="s">
        <v>799</v>
      </c>
    </row>
    <row r="988" s="22" customFormat="1" spans="1:10">
      <c r="A988" s="26" t="s">
        <v>1630</v>
      </c>
      <c r="B988" s="27" t="s">
        <v>1393</v>
      </c>
      <c r="C988" s="27" t="s">
        <v>12</v>
      </c>
      <c r="D988" s="27" t="s">
        <v>26</v>
      </c>
      <c r="E988" s="27" t="s">
        <v>294</v>
      </c>
      <c r="F988" s="27" t="s">
        <v>48</v>
      </c>
      <c r="G988" s="27" t="s">
        <v>16</v>
      </c>
      <c r="H988" s="28">
        <v>44876</v>
      </c>
      <c r="I988" s="27">
        <v>207869</v>
      </c>
      <c r="J988" s="29" t="s">
        <v>112</v>
      </c>
    </row>
    <row r="989" s="22" customFormat="1" spans="1:10">
      <c r="A989" s="30" t="s">
        <v>1631</v>
      </c>
      <c r="B989" s="31" t="s">
        <v>775</v>
      </c>
      <c r="C989" s="31" t="s">
        <v>19</v>
      </c>
      <c r="D989" s="31" t="s">
        <v>13</v>
      </c>
      <c r="E989" s="31" t="s">
        <v>165</v>
      </c>
      <c r="F989" s="31" t="s">
        <v>15</v>
      </c>
      <c r="G989" s="31" t="s">
        <v>16</v>
      </c>
      <c r="H989" s="32">
        <v>42723</v>
      </c>
      <c r="I989" s="31">
        <v>101036</v>
      </c>
      <c r="J989" s="33" t="s">
        <v>243</v>
      </c>
    </row>
    <row r="990" s="22" customFormat="1" spans="1:10">
      <c r="A990" s="26" t="s">
        <v>114</v>
      </c>
      <c r="B990" s="27" t="s">
        <v>1632</v>
      </c>
      <c r="C990" s="27" t="s">
        <v>12</v>
      </c>
      <c r="D990" s="27" t="s">
        <v>87</v>
      </c>
      <c r="E990" s="27" t="s">
        <v>156</v>
      </c>
      <c r="F990" s="27" t="s">
        <v>15</v>
      </c>
      <c r="G990" s="27" t="s">
        <v>40</v>
      </c>
      <c r="H990" s="28">
        <v>42639</v>
      </c>
      <c r="I990" s="27">
        <v>274370</v>
      </c>
      <c r="J990" s="29" t="s">
        <v>776</v>
      </c>
    </row>
    <row r="991" s="22" customFormat="1" spans="1:10">
      <c r="A991" s="30" t="s">
        <v>29</v>
      </c>
      <c r="B991" s="31" t="s">
        <v>625</v>
      </c>
      <c r="C991" s="31" t="s">
        <v>19</v>
      </c>
      <c r="D991" s="31" t="s">
        <v>52</v>
      </c>
      <c r="E991" s="31" t="s">
        <v>53</v>
      </c>
      <c r="F991" s="31" t="s">
        <v>15</v>
      </c>
      <c r="G991" s="31" t="s">
        <v>34</v>
      </c>
      <c r="H991" s="32">
        <v>43636</v>
      </c>
      <c r="I991" s="31">
        <v>203573</v>
      </c>
      <c r="J991" s="33" t="s">
        <v>1019</v>
      </c>
    </row>
    <row r="992" s="22" customFormat="1" spans="1:10">
      <c r="A992" s="26" t="s">
        <v>813</v>
      </c>
      <c r="B992" s="27" t="s">
        <v>1103</v>
      </c>
      <c r="C992" s="27" t="s">
        <v>19</v>
      </c>
      <c r="D992" s="27" t="s">
        <v>52</v>
      </c>
      <c r="E992" s="27" t="s">
        <v>53</v>
      </c>
      <c r="F992" s="27" t="s">
        <v>15</v>
      </c>
      <c r="G992" s="27" t="s">
        <v>28</v>
      </c>
      <c r="H992" s="28">
        <v>44000</v>
      </c>
      <c r="I992" s="27">
        <v>175386</v>
      </c>
      <c r="J992" s="29" t="s">
        <v>331</v>
      </c>
    </row>
    <row r="993" s="22" customFormat="1" spans="1:10">
      <c r="A993" s="30" t="s">
        <v>1633</v>
      </c>
      <c r="B993" s="31" t="s">
        <v>1634</v>
      </c>
      <c r="C993" s="31" t="s">
        <v>19</v>
      </c>
      <c r="D993" s="31" t="s">
        <v>26</v>
      </c>
      <c r="E993" s="31" t="s">
        <v>162</v>
      </c>
      <c r="F993" s="31" t="s">
        <v>15</v>
      </c>
      <c r="G993" s="31" t="s">
        <v>28</v>
      </c>
      <c r="H993" s="32">
        <v>45306</v>
      </c>
      <c r="I993" s="31">
        <v>183865</v>
      </c>
      <c r="J993" s="33"/>
    </row>
    <row r="994" s="22" customFormat="1" spans="1:10">
      <c r="A994" s="26" t="s">
        <v>1635</v>
      </c>
      <c r="B994" s="27" t="s">
        <v>1060</v>
      </c>
      <c r="C994" s="27" t="s">
        <v>19</v>
      </c>
      <c r="D994" s="27" t="s">
        <v>87</v>
      </c>
      <c r="E994" s="27" t="s">
        <v>349</v>
      </c>
      <c r="F994" s="27" t="s">
        <v>15</v>
      </c>
      <c r="G994" s="27" t="s">
        <v>94</v>
      </c>
      <c r="H994" s="28">
        <v>45314</v>
      </c>
      <c r="I994" s="27">
        <v>260780</v>
      </c>
      <c r="J994" s="29" t="s">
        <v>419</v>
      </c>
    </row>
    <row r="995" s="22" customFormat="1" spans="1:10">
      <c r="A995" s="30" t="s">
        <v>1636</v>
      </c>
      <c r="B995" s="31" t="s">
        <v>1000</v>
      </c>
      <c r="C995" s="31" t="s">
        <v>19</v>
      </c>
      <c r="D995" s="31" t="s">
        <v>32</v>
      </c>
      <c r="E995" s="31" t="s">
        <v>57</v>
      </c>
      <c r="F995" s="31" t="s">
        <v>15</v>
      </c>
      <c r="G995" s="31" t="s">
        <v>16</v>
      </c>
      <c r="H995" s="32">
        <v>44330</v>
      </c>
      <c r="I995" s="31">
        <v>70605</v>
      </c>
      <c r="J995" s="33" t="s">
        <v>529</v>
      </c>
    </row>
    <row r="996" s="22" customFormat="1" spans="1:10">
      <c r="A996" s="26" t="s">
        <v>1637</v>
      </c>
      <c r="B996" s="27" t="s">
        <v>1326</v>
      </c>
      <c r="C996" s="27" t="s">
        <v>12</v>
      </c>
      <c r="D996" s="27" t="s">
        <v>13</v>
      </c>
      <c r="E996" s="27" t="s">
        <v>223</v>
      </c>
      <c r="F996" s="27" t="s">
        <v>15</v>
      </c>
      <c r="G996" s="27" t="s">
        <v>34</v>
      </c>
      <c r="H996" s="28">
        <v>44523</v>
      </c>
      <c r="I996" s="27">
        <v>167288</v>
      </c>
      <c r="J996" s="29" t="s">
        <v>708</v>
      </c>
    </row>
    <row r="997" s="22" customFormat="1" spans="1:10">
      <c r="A997" s="30" t="s">
        <v>1638</v>
      </c>
      <c r="B997" s="31" t="s">
        <v>1639</v>
      </c>
      <c r="C997" s="31" t="s">
        <v>19</v>
      </c>
      <c r="D997" s="31" t="s">
        <v>38</v>
      </c>
      <c r="E997" s="31" t="s">
        <v>44</v>
      </c>
      <c r="F997" s="31" t="s">
        <v>15</v>
      </c>
      <c r="G997" s="31" t="s">
        <v>94</v>
      </c>
      <c r="H997" s="32">
        <v>44052</v>
      </c>
      <c r="I997" s="31">
        <v>131175</v>
      </c>
      <c r="J997" s="33" t="s">
        <v>773</v>
      </c>
    </row>
    <row r="998" s="22" customFormat="1" spans="1:10">
      <c r="A998" s="26" t="s">
        <v>1036</v>
      </c>
      <c r="B998" s="27" t="s">
        <v>533</v>
      </c>
      <c r="C998" s="27" t="s">
        <v>19</v>
      </c>
      <c r="D998" s="27" t="s">
        <v>20</v>
      </c>
      <c r="E998" s="27" t="s">
        <v>70</v>
      </c>
      <c r="F998" s="27" t="s">
        <v>15</v>
      </c>
      <c r="G998" s="27" t="s">
        <v>28</v>
      </c>
      <c r="H998" s="28">
        <v>45520</v>
      </c>
      <c r="I998" s="27">
        <v>89756</v>
      </c>
      <c r="J998" s="29" t="s">
        <v>29</v>
      </c>
    </row>
    <row r="999" s="22" customFormat="1" spans="1:10">
      <c r="A999" s="30" t="s">
        <v>1640</v>
      </c>
      <c r="B999" s="31" t="s">
        <v>116</v>
      </c>
      <c r="C999" s="31" t="s">
        <v>19</v>
      </c>
      <c r="D999" s="31" t="s">
        <v>38</v>
      </c>
      <c r="E999" s="31" t="s">
        <v>77</v>
      </c>
      <c r="F999" s="31" t="s">
        <v>15</v>
      </c>
      <c r="G999" s="31" t="s">
        <v>40</v>
      </c>
      <c r="H999" s="32">
        <v>44047</v>
      </c>
      <c r="I999" s="31">
        <v>150479</v>
      </c>
      <c r="J999" s="33" t="s">
        <v>613</v>
      </c>
    </row>
    <row r="1000" s="22" customFormat="1" spans="1:10">
      <c r="A1000" s="26" t="s">
        <v>1641</v>
      </c>
      <c r="B1000" s="27" t="s">
        <v>524</v>
      </c>
      <c r="C1000" s="27" t="s">
        <v>12</v>
      </c>
      <c r="D1000" s="27" t="s">
        <v>20</v>
      </c>
      <c r="E1000" s="27" t="s">
        <v>147</v>
      </c>
      <c r="F1000" s="27" t="s">
        <v>15</v>
      </c>
      <c r="G1000" s="27" t="s">
        <v>34</v>
      </c>
      <c r="H1000" s="28">
        <v>45742</v>
      </c>
      <c r="I1000" s="27">
        <v>71076</v>
      </c>
      <c r="J1000" s="29" t="s">
        <v>499</v>
      </c>
    </row>
    <row r="1001" s="22" customFormat="1" spans="1:10">
      <c r="A1001" s="34" t="s">
        <v>1642</v>
      </c>
      <c r="B1001" s="35" t="s">
        <v>1505</v>
      </c>
      <c r="C1001" s="35" t="s">
        <v>12</v>
      </c>
      <c r="D1001" s="35" t="s">
        <v>13</v>
      </c>
      <c r="E1001" s="35" t="s">
        <v>14</v>
      </c>
      <c r="F1001" s="35" t="s">
        <v>15</v>
      </c>
      <c r="G1001" s="35" t="s">
        <v>94</v>
      </c>
      <c r="H1001" s="36">
        <v>44724</v>
      </c>
      <c r="I1001" s="35">
        <v>108334</v>
      </c>
      <c r="J1001" s="37" t="s">
        <v>729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tabSelected="1" workbookViewId="0">
      <selection activeCell="C2" sqref="C2"/>
    </sheetView>
  </sheetViews>
  <sheetFormatPr defaultColWidth="9.14285714285714" defaultRowHeight="15"/>
  <cols>
    <col min="1" max="1" width="20" customWidth="1"/>
    <col min="2" max="2" width="22" customWidth="1"/>
    <col min="3" max="3" width="21.4285714285714" customWidth="1"/>
    <col min="4" max="4" width="18.1428571428571" customWidth="1"/>
    <col min="5" max="5" width="20" customWidth="1"/>
    <col min="6" max="6" width="20.7142857142857" customWidth="1"/>
    <col min="7" max="7" width="16.7142857142857" customWidth="1"/>
    <col min="8" max="8" width="18.7142857142857" customWidth="1"/>
    <col min="9" max="9" width="17.5714285714286" customWidth="1"/>
    <col min="10" max="10" width="19.4285714285714" customWidth="1"/>
    <col min="11" max="11" width="101.857142857143" customWidth="1"/>
    <col min="12" max="12" width="9.57142857142857"/>
    <col min="13" max="13" width="9.57142857142857" customWidth="1"/>
    <col min="14" max="14" width="20.4285714285714" customWidth="1"/>
  </cols>
  <sheetData>
    <row r="1" spans="1:14">
      <c r="A1" s="10" t="s">
        <v>0</v>
      </c>
      <c r="B1" s="11" t="s">
        <v>1</v>
      </c>
      <c r="C1" s="11" t="s">
        <v>2</v>
      </c>
      <c r="D1" s="11" t="s">
        <v>3</v>
      </c>
      <c r="E1" s="11" t="s">
        <v>4</v>
      </c>
      <c r="F1" s="11" t="s">
        <v>5</v>
      </c>
      <c r="G1" s="11" t="s">
        <v>6</v>
      </c>
      <c r="H1" s="11" t="s">
        <v>7</v>
      </c>
      <c r="I1" s="11" t="s">
        <v>8</v>
      </c>
      <c r="J1" s="11" t="s">
        <v>9</v>
      </c>
      <c r="K1" s="11" t="s">
        <v>1643</v>
      </c>
      <c r="L1" s="11" t="s">
        <v>1644</v>
      </c>
      <c r="M1" s="11" t="s">
        <v>1645</v>
      </c>
      <c r="N1" s="12" t="s">
        <v>1646</v>
      </c>
    </row>
    <row r="2" spans="1:14">
      <c r="A2" s="13" t="s">
        <v>10</v>
      </c>
      <c r="B2" s="14" t="s">
        <v>11</v>
      </c>
      <c r="C2" s="14" t="s">
        <v>12</v>
      </c>
      <c r="D2" s="14" t="s">
        <v>13</v>
      </c>
      <c r="E2" s="14" t="s">
        <v>14</v>
      </c>
      <c r="F2" s="14" t="s">
        <v>15</v>
      </c>
      <c r="G2" s="14" t="s">
        <v>16</v>
      </c>
      <c r="H2" s="14">
        <v>42776</v>
      </c>
      <c r="I2" s="14">
        <v>97605</v>
      </c>
      <c r="J2" s="14"/>
      <c r="K2" s="14" t="str">
        <f>A2&amp;B2&amp;C2&amp;D2&amp;E2&amp;F2&amp;G2&amp;H2&amp;I2&amp;J2&amp;[1]Sheet1!$G$5</f>
        <v>E0001Lamia TalukderFemaleSalesSales AssociateFull-timeKhulna4277697605Sylhet</v>
      </c>
      <c r="L2" s="14">
        <f>MEDIAN(I2:I1001)</f>
        <v>134130</v>
      </c>
      <c r="M2" s="14">
        <f ca="1">DATEDIF(H2,TODAY(),"Y")</f>
        <v>9</v>
      </c>
      <c r="N2" s="15" t="str">
        <f ca="1">IF(M2&lt;=2,"New",IF(M2&lt;=5,"Mid level",IF(M2&lt;=10,"Experienced","Long term")))</f>
        <v>Experienced</v>
      </c>
    </row>
    <row r="3" spans="1:14">
      <c r="A3" s="16" t="s">
        <v>17</v>
      </c>
      <c r="B3" s="17" t="s">
        <v>18</v>
      </c>
      <c r="C3" s="17" t="s">
        <v>19</v>
      </c>
      <c r="D3" s="17" t="s">
        <v>20</v>
      </c>
      <c r="E3" s="17" t="s">
        <v>21</v>
      </c>
      <c r="F3" s="17" t="s">
        <v>22</v>
      </c>
      <c r="G3" s="17" t="s">
        <v>16</v>
      </c>
      <c r="H3" s="17">
        <v>45178</v>
      </c>
      <c r="I3" s="17">
        <v>57499</v>
      </c>
      <c r="J3" s="17" t="s">
        <v>23</v>
      </c>
      <c r="K3" s="17" t="str">
        <f>A3&amp;B3&amp;C3&amp;D3&amp;E3&amp;F3&amp;G3&amp;H3&amp;I3&amp;J3&amp;[1]Sheet1!$G$5</f>
        <v>E0002Ayesha HasanMaleCustomer SuccessSupport SpecialistInternKhulna4517857499E0890Sylhet</v>
      </c>
      <c r="L3" s="17">
        <f t="shared" ref="L3:L66" si="0">MEDIAN(I3:I1002)</f>
        <v>134271</v>
      </c>
      <c r="M3" s="17">
        <f ca="1" t="shared" ref="M3:M66" si="1">DATEDIF(H3,TODAY(),"Y")</f>
        <v>2</v>
      </c>
      <c r="N3" s="18" t="str">
        <f ca="1" t="shared" ref="N3:N66" si="2">IF(M3&lt;=2,"New",IF(M3&lt;=5,"Mid level",IF(M3&lt;=10,"Experienced","Long term")))</f>
        <v>New</v>
      </c>
    </row>
    <row r="4" spans="1:14">
      <c r="A4" s="13" t="s">
        <v>24</v>
      </c>
      <c r="B4" s="14" t="s">
        <v>25</v>
      </c>
      <c r="C4" s="14" t="s">
        <v>19</v>
      </c>
      <c r="D4" s="14" t="s">
        <v>26</v>
      </c>
      <c r="E4" s="14" t="s">
        <v>27</v>
      </c>
      <c r="F4" s="14" t="s">
        <v>15</v>
      </c>
      <c r="G4" s="14" t="s">
        <v>28</v>
      </c>
      <c r="H4" s="14">
        <v>43874</v>
      </c>
      <c r="I4" s="14">
        <v>136659</v>
      </c>
      <c r="J4" s="14" t="s">
        <v>29</v>
      </c>
      <c r="K4" s="14" t="str">
        <f>A4&amp;B4&amp;C4&amp;D4&amp;E4&amp;F4&amp;G4&amp;H4&amp;I4&amp;J4&amp;[1]Sheet1!$G$5</f>
        <v>E0003Sajid RasheedMaleFinanceFinance ManagerFull-timeRemote43874136659E0990Sylhet</v>
      </c>
      <c r="L4" s="14">
        <f t="shared" si="0"/>
        <v>134276</v>
      </c>
      <c r="M4" s="14">
        <f ca="1" t="shared" si="1"/>
        <v>6</v>
      </c>
      <c r="N4" s="15" t="str">
        <f ca="1" t="shared" si="2"/>
        <v>Experienced</v>
      </c>
    </row>
    <row r="5" spans="1:14">
      <c r="A5" s="16" t="s">
        <v>30</v>
      </c>
      <c r="B5" s="17" t="s">
        <v>31</v>
      </c>
      <c r="C5" s="17" t="s">
        <v>19</v>
      </c>
      <c r="D5" s="17" t="s">
        <v>32</v>
      </c>
      <c r="E5" s="17" t="s">
        <v>33</v>
      </c>
      <c r="F5" s="17" t="s">
        <v>15</v>
      </c>
      <c r="G5" s="17" t="s">
        <v>34</v>
      </c>
      <c r="H5" s="17">
        <v>44600</v>
      </c>
      <c r="I5" s="17">
        <v>115085</v>
      </c>
      <c r="J5" s="17" t="s">
        <v>35</v>
      </c>
      <c r="K5" s="17" t="str">
        <f>A5&amp;B5&amp;C5&amp;D5&amp;E5&amp;F5&amp;G5&amp;H5&amp;I5&amp;J5&amp;[1]Sheet1!$G$5</f>
        <v>E0004Shawon RanaMaleHRHR Business PartnerFull-timeSylhet44600115085E0982Sylhet</v>
      </c>
      <c r="L5" s="17">
        <f t="shared" si="0"/>
        <v>134271</v>
      </c>
      <c r="M5" s="17">
        <f ca="1" t="shared" si="1"/>
        <v>4</v>
      </c>
      <c r="N5" s="18" t="str">
        <f ca="1" t="shared" si="2"/>
        <v>Mid level</v>
      </c>
    </row>
    <row r="6" spans="1:14">
      <c r="A6" s="13" t="s">
        <v>36</v>
      </c>
      <c r="B6" s="14" t="s">
        <v>37</v>
      </c>
      <c r="C6" s="14" t="s">
        <v>12</v>
      </c>
      <c r="D6" s="14" t="s">
        <v>38</v>
      </c>
      <c r="E6" s="14" t="s">
        <v>39</v>
      </c>
      <c r="F6" s="14" t="s">
        <v>15</v>
      </c>
      <c r="G6" s="14" t="s">
        <v>40</v>
      </c>
      <c r="H6" s="14">
        <v>45011</v>
      </c>
      <c r="I6" s="14">
        <v>164000</v>
      </c>
      <c r="J6" s="14" t="s">
        <v>41</v>
      </c>
      <c r="K6" s="14" t="str">
        <f>A6&amp;B6&amp;C6&amp;D6&amp;E6&amp;F6&amp;G6&amp;H6&amp;I6&amp;J6&amp;[1]Sheet1!$G$5</f>
        <v>E0005Zahid MorshedFemaleEngineeringDevOps EngineerFull-timeDhaka45011164000E0741Sylhet</v>
      </c>
      <c r="L6" s="14">
        <f t="shared" si="0"/>
        <v>134276</v>
      </c>
      <c r="M6" s="14">
        <f ca="1" t="shared" si="1"/>
        <v>2</v>
      </c>
      <c r="N6" s="15" t="str">
        <f ca="1" t="shared" si="2"/>
        <v>New</v>
      </c>
    </row>
    <row r="7" spans="1:14">
      <c r="A7" s="16" t="s">
        <v>42</v>
      </c>
      <c r="B7" s="17" t="s">
        <v>43</v>
      </c>
      <c r="C7" s="17" t="s">
        <v>12</v>
      </c>
      <c r="D7" s="17" t="s">
        <v>38</v>
      </c>
      <c r="E7" s="17" t="s">
        <v>44</v>
      </c>
      <c r="F7" s="17" t="s">
        <v>15</v>
      </c>
      <c r="G7" s="17" t="s">
        <v>40</v>
      </c>
      <c r="H7" s="17">
        <v>43839</v>
      </c>
      <c r="I7" s="17">
        <v>113810</v>
      </c>
      <c r="J7" s="17" t="s">
        <v>45</v>
      </c>
      <c r="K7" s="17" t="str">
        <f>A7&amp;B7&amp;C7&amp;D7&amp;E7&amp;F7&amp;G7&amp;H7&amp;I7&amp;J7&amp;[1]Sheet1!$G$5</f>
        <v>E0006Rashed UddinFemaleEngineeringQA EngineerFull-timeDhaka43839113810E0775Sylhet</v>
      </c>
      <c r="L7" s="17">
        <f t="shared" si="0"/>
        <v>134271</v>
      </c>
      <c r="M7" s="17">
        <f ca="1" t="shared" si="1"/>
        <v>6</v>
      </c>
      <c r="N7" s="18" t="str">
        <f ca="1" t="shared" si="2"/>
        <v>Experienced</v>
      </c>
    </row>
    <row r="8" spans="1:14">
      <c r="A8" s="13" t="s">
        <v>46</v>
      </c>
      <c r="B8" s="14" t="s">
        <v>47</v>
      </c>
      <c r="C8" s="14" t="s">
        <v>12</v>
      </c>
      <c r="D8" s="14" t="s">
        <v>38</v>
      </c>
      <c r="E8" s="14" t="s">
        <v>44</v>
      </c>
      <c r="F8" s="14" t="s">
        <v>48</v>
      </c>
      <c r="G8" s="14" t="s">
        <v>34</v>
      </c>
      <c r="H8" s="14">
        <v>42618</v>
      </c>
      <c r="I8" s="14">
        <v>148804</v>
      </c>
      <c r="J8" s="14" t="s">
        <v>49</v>
      </c>
      <c r="K8" s="14" t="str">
        <f>A8&amp;B8&amp;C8&amp;D8&amp;E8&amp;F8&amp;G8&amp;H8&amp;I8&amp;J8&amp;[1]Sheet1!$G$5</f>
        <v>E0007Karim IslamFemaleEngineeringQA EngineerContractSylhet42618148804E0102Sylhet</v>
      </c>
      <c r="L8" s="14">
        <f t="shared" si="0"/>
        <v>134276</v>
      </c>
      <c r="M8" s="14">
        <f ca="1" t="shared" si="1"/>
        <v>9</v>
      </c>
      <c r="N8" s="15" t="str">
        <f ca="1" t="shared" si="2"/>
        <v>Experienced</v>
      </c>
    </row>
    <row r="9" spans="1:14">
      <c r="A9" s="16" t="s">
        <v>50</v>
      </c>
      <c r="B9" s="17" t="s">
        <v>51</v>
      </c>
      <c r="C9" s="17" t="s">
        <v>19</v>
      </c>
      <c r="D9" s="17" t="s">
        <v>52</v>
      </c>
      <c r="E9" s="17" t="s">
        <v>53</v>
      </c>
      <c r="F9" s="17" t="s">
        <v>15</v>
      </c>
      <c r="G9" s="17" t="s">
        <v>16</v>
      </c>
      <c r="H9" s="17">
        <v>44000</v>
      </c>
      <c r="I9" s="17">
        <v>163417</v>
      </c>
      <c r="J9" s="17" t="s">
        <v>54</v>
      </c>
      <c r="K9" s="17" t="str">
        <f>A9&amp;B9&amp;C9&amp;D9&amp;E9&amp;F9&amp;G9&amp;H9&amp;I9&amp;J9&amp;[1]Sheet1!$G$5</f>
        <v>E0008Imran FerdousMaleOperationsOperations ManagerFull-timeKhulna44000163417E0646Sylhet</v>
      </c>
      <c r="L9" s="17">
        <f t="shared" si="0"/>
        <v>134271</v>
      </c>
      <c r="M9" s="17">
        <f ca="1" t="shared" si="1"/>
        <v>5</v>
      </c>
      <c r="N9" s="18" t="str">
        <f ca="1" t="shared" si="2"/>
        <v>Mid level</v>
      </c>
    </row>
    <row r="10" spans="1:14">
      <c r="A10" s="13" t="s">
        <v>55</v>
      </c>
      <c r="B10" s="14" t="s">
        <v>56</v>
      </c>
      <c r="C10" s="14" t="s">
        <v>19</v>
      </c>
      <c r="D10" s="14" t="s">
        <v>32</v>
      </c>
      <c r="E10" s="14" t="s">
        <v>57</v>
      </c>
      <c r="F10" s="14" t="s">
        <v>15</v>
      </c>
      <c r="G10" s="14" t="s">
        <v>40</v>
      </c>
      <c r="H10" s="14">
        <v>43500</v>
      </c>
      <c r="I10" s="14">
        <v>59023</v>
      </c>
      <c r="J10" s="14" t="s">
        <v>58</v>
      </c>
      <c r="K10" s="14" t="str">
        <f>A10&amp;B10&amp;C10&amp;D10&amp;E10&amp;F10&amp;G10&amp;H10&amp;I10&amp;J10&amp;[1]Sheet1!$G$5</f>
        <v>E0009Ayesha BiswasMaleHRHR AssociateFull-timeDhaka4350059023E0314Sylhet</v>
      </c>
      <c r="L10" s="14">
        <f t="shared" si="0"/>
        <v>134130</v>
      </c>
      <c r="M10" s="14">
        <f ca="1" t="shared" si="1"/>
        <v>7</v>
      </c>
      <c r="N10" s="15" t="str">
        <f ca="1" t="shared" si="2"/>
        <v>Experienced</v>
      </c>
    </row>
    <row r="11" spans="1:14">
      <c r="A11" s="16" t="s">
        <v>59</v>
      </c>
      <c r="B11" s="17" t="s">
        <v>60</v>
      </c>
      <c r="C11" s="17" t="s">
        <v>19</v>
      </c>
      <c r="D11" s="17" t="s">
        <v>26</v>
      </c>
      <c r="E11" s="17" t="s">
        <v>61</v>
      </c>
      <c r="F11" s="17" t="s">
        <v>15</v>
      </c>
      <c r="G11" s="17" t="s">
        <v>62</v>
      </c>
      <c r="H11" s="17">
        <v>43147</v>
      </c>
      <c r="I11" s="17">
        <v>184800</v>
      </c>
      <c r="J11" s="17" t="s">
        <v>63</v>
      </c>
      <c r="K11" s="17" t="str">
        <f>A11&amp;B11&amp;C11&amp;D11&amp;E11&amp;F11&amp;G11&amp;H11&amp;I11&amp;J11&amp;[1]Sheet1!$G$5</f>
        <v>E0010Mitu HaiderMaleFinanceFinancial AnalystFull-timeChattogram43147184800E0380Sylhet</v>
      </c>
      <c r="L11" s="17">
        <f t="shared" si="0"/>
        <v>134271</v>
      </c>
      <c r="M11" s="17">
        <f ca="1" t="shared" si="1"/>
        <v>8</v>
      </c>
      <c r="N11" s="18" t="str">
        <f ca="1" t="shared" si="2"/>
        <v>Experienced</v>
      </c>
    </row>
    <row r="12" spans="1:14">
      <c r="A12" s="13" t="s">
        <v>64</v>
      </c>
      <c r="B12" s="14" t="s">
        <v>65</v>
      </c>
      <c r="C12" s="14" t="s">
        <v>19</v>
      </c>
      <c r="D12" s="14" t="s">
        <v>38</v>
      </c>
      <c r="E12" s="14" t="s">
        <v>66</v>
      </c>
      <c r="F12" s="14" t="s">
        <v>22</v>
      </c>
      <c r="G12" s="14" t="s">
        <v>28</v>
      </c>
      <c r="H12" s="14">
        <v>42870</v>
      </c>
      <c r="I12" s="14">
        <v>76400</v>
      </c>
      <c r="J12" s="14" t="s">
        <v>67</v>
      </c>
      <c r="K12" s="14" t="str">
        <f>A12&amp;B12&amp;C12&amp;D12&amp;E12&amp;F12&amp;G12&amp;H12&amp;I12&amp;J12&amp;[1]Sheet1!$G$5</f>
        <v>E0011Lamia FerdousMaleEngineeringSoftware EngineerInternRemote4287076400E0648Sylhet</v>
      </c>
      <c r="L12" s="14">
        <f t="shared" si="0"/>
        <v>134130</v>
      </c>
      <c r="M12" s="14">
        <f ca="1" t="shared" si="1"/>
        <v>8</v>
      </c>
      <c r="N12" s="15" t="str">
        <f ca="1" t="shared" si="2"/>
        <v>Experienced</v>
      </c>
    </row>
    <row r="13" spans="1:14">
      <c r="A13" s="16" t="s">
        <v>68</v>
      </c>
      <c r="B13" s="17" t="s">
        <v>69</v>
      </c>
      <c r="C13" s="17" t="s">
        <v>19</v>
      </c>
      <c r="D13" s="17" t="s">
        <v>20</v>
      </c>
      <c r="E13" s="17" t="s">
        <v>70</v>
      </c>
      <c r="F13" s="17" t="s">
        <v>15</v>
      </c>
      <c r="G13" s="17" t="s">
        <v>40</v>
      </c>
      <c r="H13" s="17">
        <v>45843</v>
      </c>
      <c r="I13" s="17">
        <v>91466</v>
      </c>
      <c r="J13" s="17" t="s">
        <v>71</v>
      </c>
      <c r="K13" s="17" t="str">
        <f>A13&amp;B13&amp;C13&amp;D13&amp;E13&amp;F13&amp;G13&amp;H13&amp;I13&amp;J13&amp;[1]Sheet1!$G$5</f>
        <v>E0012Sumaiya ParvinMaleCustomer SuccessCustomer Success ManagerFull-timeDhaka4584391466E0816Sylhet</v>
      </c>
      <c r="L13" s="17">
        <f t="shared" si="0"/>
        <v>134271</v>
      </c>
      <c r="M13" s="17">
        <f ca="1" t="shared" si="1"/>
        <v>0</v>
      </c>
      <c r="N13" s="18" t="str">
        <f ca="1" t="shared" si="2"/>
        <v>New</v>
      </c>
    </row>
    <row r="14" spans="1:14">
      <c r="A14" s="13" t="s">
        <v>72</v>
      </c>
      <c r="B14" s="14" t="s">
        <v>73</v>
      </c>
      <c r="C14" s="14" t="s">
        <v>19</v>
      </c>
      <c r="D14" s="14" t="s">
        <v>52</v>
      </c>
      <c r="E14" s="14" t="s">
        <v>53</v>
      </c>
      <c r="F14" s="14" t="s">
        <v>48</v>
      </c>
      <c r="G14" s="14" t="s">
        <v>16</v>
      </c>
      <c r="H14" s="14">
        <v>45745</v>
      </c>
      <c r="I14" s="14">
        <v>144623</v>
      </c>
      <c r="J14" s="14" t="s">
        <v>74</v>
      </c>
      <c r="K14" s="14" t="str">
        <f>A14&amp;B14&amp;C14&amp;D14&amp;E14&amp;F14&amp;G14&amp;H14&amp;I14&amp;J14&amp;[1]Sheet1!$G$5</f>
        <v>E0013Priya MahmudMaleOperationsOperations ManagerContractKhulna45745144623E0396Sylhet</v>
      </c>
      <c r="L14" s="14">
        <f t="shared" si="0"/>
        <v>134276</v>
      </c>
      <c r="M14" s="14">
        <f ca="1" t="shared" si="1"/>
        <v>0</v>
      </c>
      <c r="N14" s="15" t="str">
        <f ca="1" t="shared" si="2"/>
        <v>New</v>
      </c>
    </row>
    <row r="15" spans="1:14">
      <c r="A15" s="16" t="s">
        <v>75</v>
      </c>
      <c r="B15" s="17" t="s">
        <v>76</v>
      </c>
      <c r="C15" s="17" t="s">
        <v>19</v>
      </c>
      <c r="D15" s="17" t="s">
        <v>38</v>
      </c>
      <c r="E15" s="17" t="s">
        <v>77</v>
      </c>
      <c r="F15" s="17" t="s">
        <v>15</v>
      </c>
      <c r="G15" s="17" t="s">
        <v>16</v>
      </c>
      <c r="H15" s="17">
        <v>44232</v>
      </c>
      <c r="I15" s="17">
        <v>97343</v>
      </c>
      <c r="J15" s="17" t="s">
        <v>78</v>
      </c>
      <c r="K15" s="17" t="str">
        <f>A15&amp;B15&amp;C15&amp;D15&amp;E15&amp;F15&amp;G15&amp;H15&amp;I15&amp;J15&amp;[1]Sheet1!$G$5</f>
        <v>E0014Sumaiya SultanaMaleEngineeringJunior Software EngineerFull-timeKhulna4423297343E0270Sylhet</v>
      </c>
      <c r="L15" s="17">
        <f t="shared" si="0"/>
        <v>134271</v>
      </c>
      <c r="M15" s="17">
        <f ca="1" t="shared" si="1"/>
        <v>5</v>
      </c>
      <c r="N15" s="18" t="str">
        <f ca="1" t="shared" si="2"/>
        <v>Mid level</v>
      </c>
    </row>
    <row r="16" spans="1:14">
      <c r="A16" s="13" t="s">
        <v>79</v>
      </c>
      <c r="B16" s="14" t="s">
        <v>80</v>
      </c>
      <c r="C16" s="14" t="s">
        <v>12</v>
      </c>
      <c r="D16" s="14" t="s">
        <v>38</v>
      </c>
      <c r="E16" s="14" t="s">
        <v>44</v>
      </c>
      <c r="F16" s="14" t="s">
        <v>15</v>
      </c>
      <c r="G16" s="14" t="s">
        <v>40</v>
      </c>
      <c r="H16" s="14">
        <v>42745</v>
      </c>
      <c r="I16" s="14">
        <v>221527</v>
      </c>
      <c r="J16" s="14" t="s">
        <v>81</v>
      </c>
      <c r="K16" s="14" t="str">
        <f>A16&amp;B16&amp;C16&amp;D16&amp;E16&amp;F16&amp;G16&amp;H16&amp;I16&amp;J16&amp;[1]Sheet1!$G$5</f>
        <v>E0015Tania AnjumFemaleEngineeringQA EngineerFull-timeDhaka42745221527E0123Sylhet</v>
      </c>
      <c r="L16" s="14">
        <f t="shared" si="0"/>
        <v>134276</v>
      </c>
      <c r="M16" s="14">
        <f ca="1" t="shared" si="1"/>
        <v>9</v>
      </c>
      <c r="N16" s="15" t="str">
        <f ca="1" t="shared" si="2"/>
        <v>Experienced</v>
      </c>
    </row>
    <row r="17" spans="1:14">
      <c r="A17" s="16" t="s">
        <v>82</v>
      </c>
      <c r="B17" s="17" t="s">
        <v>83</v>
      </c>
      <c r="C17" s="17" t="s">
        <v>19</v>
      </c>
      <c r="D17" s="17" t="s">
        <v>38</v>
      </c>
      <c r="E17" s="17" t="s">
        <v>84</v>
      </c>
      <c r="F17" s="17" t="s">
        <v>15</v>
      </c>
      <c r="G17" s="17" t="s">
        <v>28</v>
      </c>
      <c r="H17" s="17">
        <v>45084</v>
      </c>
      <c r="I17" s="17">
        <v>169776</v>
      </c>
      <c r="J17" s="17" t="s">
        <v>67</v>
      </c>
      <c r="K17" s="17" t="str">
        <f>A17&amp;B17&amp;C17&amp;D17&amp;E17&amp;F17&amp;G17&amp;H17&amp;I17&amp;J17&amp;[1]Sheet1!$G$5</f>
        <v>E0016Rashed SadiqMaleEngineeringEngineering ManagerFull-timeRemote45084169776E0648Sylhet</v>
      </c>
      <c r="L17" s="17">
        <f t="shared" si="0"/>
        <v>134271</v>
      </c>
      <c r="M17" s="17">
        <f ca="1" t="shared" si="1"/>
        <v>2</v>
      </c>
      <c r="N17" s="18" t="str">
        <f ca="1" t="shared" si="2"/>
        <v>New</v>
      </c>
    </row>
    <row r="18" spans="1:14">
      <c r="A18" s="13" t="s">
        <v>85</v>
      </c>
      <c r="B18" s="14" t="s">
        <v>86</v>
      </c>
      <c r="C18" s="14" t="s">
        <v>19</v>
      </c>
      <c r="D18" s="14" t="s">
        <v>87</v>
      </c>
      <c r="E18" s="14" t="s">
        <v>88</v>
      </c>
      <c r="F18" s="14" t="s">
        <v>15</v>
      </c>
      <c r="G18" s="14" t="s">
        <v>40</v>
      </c>
      <c r="H18" s="14">
        <v>43238</v>
      </c>
      <c r="I18" s="14">
        <v>227464</v>
      </c>
      <c r="J18" s="14" t="s">
        <v>89</v>
      </c>
      <c r="K18" s="14" t="str">
        <f>A18&amp;B18&amp;C18&amp;D18&amp;E18&amp;F18&amp;G18&amp;H18&amp;I18&amp;J18&amp;[1]Sheet1!$G$5</f>
        <v>E0017Tasnim SharminMaleProductProduct AnalystFull-timeDhaka43238227464E0783Sylhet</v>
      </c>
      <c r="L18" s="14">
        <f t="shared" si="0"/>
        <v>134130</v>
      </c>
      <c r="M18" s="14">
        <f ca="1" t="shared" si="1"/>
        <v>7</v>
      </c>
      <c r="N18" s="15" t="str">
        <f ca="1" t="shared" si="2"/>
        <v>Experienced</v>
      </c>
    </row>
    <row r="19" spans="1:14">
      <c r="A19" s="16" t="s">
        <v>90</v>
      </c>
      <c r="B19" s="17" t="s">
        <v>91</v>
      </c>
      <c r="C19" s="17" t="s">
        <v>12</v>
      </c>
      <c r="D19" s="17" t="s">
        <v>92</v>
      </c>
      <c r="E19" s="17" t="s">
        <v>93</v>
      </c>
      <c r="F19" s="17" t="s">
        <v>15</v>
      </c>
      <c r="G19" s="17" t="s">
        <v>94</v>
      </c>
      <c r="H19" s="17">
        <v>44998</v>
      </c>
      <c r="I19" s="17">
        <v>73216</v>
      </c>
      <c r="J19" s="17" t="s">
        <v>95</v>
      </c>
      <c r="K19" s="17" t="str">
        <f>A19&amp;B19&amp;C19&amp;D19&amp;E19&amp;F19&amp;G19&amp;H19&amp;I19&amp;J19&amp;[1]Sheet1!$G$5</f>
        <v>E0018Noman BiswasFemaleMarketingGrowth MarketerFull-timeRajshahi4499873216E0893Sylhet</v>
      </c>
      <c r="L19" s="17">
        <f t="shared" si="0"/>
        <v>133989</v>
      </c>
      <c r="M19" s="17">
        <f ca="1" t="shared" si="1"/>
        <v>3</v>
      </c>
      <c r="N19" s="18" t="str">
        <f ca="1" t="shared" si="2"/>
        <v>Mid level</v>
      </c>
    </row>
    <row r="20" spans="1:14">
      <c r="A20" s="13" t="s">
        <v>96</v>
      </c>
      <c r="B20" s="14" t="s">
        <v>97</v>
      </c>
      <c r="C20" s="14" t="s">
        <v>12</v>
      </c>
      <c r="D20" s="14" t="s">
        <v>13</v>
      </c>
      <c r="E20" s="14" t="s">
        <v>98</v>
      </c>
      <c r="F20" s="14" t="s">
        <v>15</v>
      </c>
      <c r="G20" s="14" t="s">
        <v>40</v>
      </c>
      <c r="H20" s="14">
        <v>44989</v>
      </c>
      <c r="I20" s="14">
        <v>116055</v>
      </c>
      <c r="J20" s="14" t="s">
        <v>99</v>
      </c>
      <c r="K20" s="14" t="str">
        <f>A20&amp;B20&amp;C20&amp;D20&amp;E20&amp;F20&amp;G20&amp;H20&amp;I20&amp;J20&amp;[1]Sheet1!$G$5</f>
        <v>E0019Nabila RahmanFemaleSalesSales ManagerFull-timeDhaka44989116055E0917Sylhet</v>
      </c>
      <c r="L20" s="14">
        <f t="shared" si="0"/>
        <v>134130</v>
      </c>
      <c r="M20" s="14">
        <f ca="1" t="shared" si="1"/>
        <v>3</v>
      </c>
      <c r="N20" s="15" t="str">
        <f ca="1" t="shared" si="2"/>
        <v>Mid level</v>
      </c>
    </row>
    <row r="21" spans="1:14">
      <c r="A21" s="16" t="s">
        <v>100</v>
      </c>
      <c r="B21" s="17" t="s">
        <v>101</v>
      </c>
      <c r="C21" s="17" t="s">
        <v>19</v>
      </c>
      <c r="D21" s="17" t="s">
        <v>87</v>
      </c>
      <c r="E21" s="17" t="s">
        <v>88</v>
      </c>
      <c r="F21" s="17" t="s">
        <v>15</v>
      </c>
      <c r="G21" s="17" t="s">
        <v>94</v>
      </c>
      <c r="H21" s="17">
        <v>44815</v>
      </c>
      <c r="I21" s="17">
        <v>188711</v>
      </c>
      <c r="J21" s="17" t="s">
        <v>102</v>
      </c>
      <c r="K21" s="17" t="str">
        <f>A21&amp;B21&amp;C21&amp;D21&amp;E21&amp;F21&amp;G21&amp;H21&amp;I21&amp;J21&amp;[1]Sheet1!$G$5</f>
        <v>E0020Imran KabirMaleProductProduct AnalystFull-timeRajshahi44815188711E0777Sylhet</v>
      </c>
      <c r="L21" s="17">
        <f t="shared" si="0"/>
        <v>134271</v>
      </c>
      <c r="M21" s="17">
        <f ca="1" t="shared" si="1"/>
        <v>3</v>
      </c>
      <c r="N21" s="18" t="str">
        <f ca="1" t="shared" si="2"/>
        <v>Mid level</v>
      </c>
    </row>
    <row r="22" spans="1:14">
      <c r="A22" s="13" t="s">
        <v>103</v>
      </c>
      <c r="B22" s="14" t="s">
        <v>104</v>
      </c>
      <c r="C22" s="14" t="s">
        <v>12</v>
      </c>
      <c r="D22" s="14" t="s">
        <v>32</v>
      </c>
      <c r="E22" s="14" t="s">
        <v>33</v>
      </c>
      <c r="F22" s="14" t="s">
        <v>48</v>
      </c>
      <c r="G22" s="14" t="s">
        <v>34</v>
      </c>
      <c r="H22" s="14">
        <v>42457</v>
      </c>
      <c r="I22" s="14">
        <v>63778</v>
      </c>
      <c r="J22" s="14" t="s">
        <v>105</v>
      </c>
      <c r="K22" s="14" t="str">
        <f>A22&amp;B22&amp;C22&amp;D22&amp;E22&amp;F22&amp;G22&amp;H22&amp;I22&amp;J22&amp;[1]Sheet1!$G$5</f>
        <v>E0021Karim BanuFemaleHRHR Business PartnerContractSylhet4245763778E0665Sylhet</v>
      </c>
      <c r="L22" s="14">
        <f t="shared" si="0"/>
        <v>134130</v>
      </c>
      <c r="M22" s="14">
        <f ca="1" t="shared" si="1"/>
        <v>9</v>
      </c>
      <c r="N22" s="15" t="str">
        <f ca="1" t="shared" si="2"/>
        <v>Experienced</v>
      </c>
    </row>
    <row r="23" spans="1:14">
      <c r="A23" s="16" t="s">
        <v>106</v>
      </c>
      <c r="B23" s="17" t="s">
        <v>107</v>
      </c>
      <c r="C23" s="17" t="s">
        <v>12</v>
      </c>
      <c r="D23" s="17" t="s">
        <v>38</v>
      </c>
      <c r="E23" s="17" t="s">
        <v>66</v>
      </c>
      <c r="F23" s="17" t="s">
        <v>48</v>
      </c>
      <c r="G23" s="17" t="s">
        <v>16</v>
      </c>
      <c r="H23" s="17">
        <v>42577</v>
      </c>
      <c r="I23" s="17">
        <v>215065</v>
      </c>
      <c r="J23" s="17" t="s">
        <v>108</v>
      </c>
      <c r="K23" s="17" t="str">
        <f>A23&amp;B23&amp;C23&amp;D23&amp;E23&amp;F23&amp;G23&amp;H23&amp;I23&amp;J23&amp;[1]Sheet1!$G$5</f>
        <v>E0022Tamanna SarkerFemaleEngineeringSoftware EngineerContractKhulna42577215065E0190Sylhet</v>
      </c>
      <c r="L23" s="17">
        <f t="shared" si="0"/>
        <v>134271</v>
      </c>
      <c r="M23" s="17">
        <f ca="1" t="shared" si="1"/>
        <v>9</v>
      </c>
      <c r="N23" s="18" t="str">
        <f ca="1" t="shared" si="2"/>
        <v>Experienced</v>
      </c>
    </row>
    <row r="24" spans="1:14">
      <c r="A24" s="13" t="s">
        <v>109</v>
      </c>
      <c r="B24" s="14" t="s">
        <v>110</v>
      </c>
      <c r="C24" s="14" t="s">
        <v>19</v>
      </c>
      <c r="D24" s="14" t="s">
        <v>87</v>
      </c>
      <c r="E24" s="14" t="s">
        <v>111</v>
      </c>
      <c r="F24" s="14" t="s">
        <v>48</v>
      </c>
      <c r="G24" s="14" t="s">
        <v>94</v>
      </c>
      <c r="H24" s="14">
        <v>45592</v>
      </c>
      <c r="I24" s="14">
        <v>122086</v>
      </c>
      <c r="J24" s="14" t="s">
        <v>78</v>
      </c>
      <c r="K24" s="14" t="str">
        <f>A24&amp;B24&amp;C24&amp;D24&amp;E24&amp;F24&amp;G24&amp;H24&amp;I24&amp;J24&amp;[1]Sheet1!$G$5</f>
        <v>E0023Arif AkterMaleProductSenior Product ManagerContractRajshahi45592122086E0270Sylhet</v>
      </c>
      <c r="L24" s="14">
        <f t="shared" si="0"/>
        <v>134130</v>
      </c>
      <c r="M24" s="14">
        <f ca="1" t="shared" si="1"/>
        <v>1</v>
      </c>
      <c r="N24" s="15" t="str">
        <f ca="1" t="shared" si="2"/>
        <v>New</v>
      </c>
    </row>
    <row r="25" spans="1:14">
      <c r="A25" s="16" t="s">
        <v>112</v>
      </c>
      <c r="B25" s="17" t="s">
        <v>113</v>
      </c>
      <c r="C25" s="17" t="s">
        <v>19</v>
      </c>
      <c r="D25" s="17" t="s">
        <v>13</v>
      </c>
      <c r="E25" s="17" t="s">
        <v>98</v>
      </c>
      <c r="F25" s="17" t="s">
        <v>15</v>
      </c>
      <c r="G25" s="17" t="s">
        <v>40</v>
      </c>
      <c r="H25" s="17">
        <v>43736</v>
      </c>
      <c r="I25" s="17">
        <v>141478</v>
      </c>
      <c r="J25" s="17" t="s">
        <v>114</v>
      </c>
      <c r="K25" s="17" t="str">
        <f>A25&amp;B25&amp;C25&amp;D25&amp;E25&amp;F25&amp;G25&amp;H25&amp;I25&amp;J25&amp;[1]Sheet1!$G$5</f>
        <v>E0024Esha MiahMaleSalesSales ManagerFull-timeDhaka43736141478E0989Sylhet</v>
      </c>
      <c r="L25" s="17">
        <f t="shared" si="0"/>
        <v>134271</v>
      </c>
      <c r="M25" s="17">
        <f ca="1" t="shared" si="1"/>
        <v>6</v>
      </c>
      <c r="N25" s="18" t="str">
        <f ca="1" t="shared" si="2"/>
        <v>Experienced</v>
      </c>
    </row>
    <row r="26" spans="1:14">
      <c r="A26" s="13" t="s">
        <v>115</v>
      </c>
      <c r="B26" s="14" t="s">
        <v>116</v>
      </c>
      <c r="C26" s="14" t="s">
        <v>12</v>
      </c>
      <c r="D26" s="14" t="s">
        <v>13</v>
      </c>
      <c r="E26" s="14" t="s">
        <v>98</v>
      </c>
      <c r="F26" s="14" t="s">
        <v>15</v>
      </c>
      <c r="G26" s="14" t="s">
        <v>34</v>
      </c>
      <c r="H26" s="14">
        <v>43367</v>
      </c>
      <c r="I26" s="14">
        <v>131411</v>
      </c>
      <c r="J26" s="14" t="s">
        <v>117</v>
      </c>
      <c r="K26" s="14" t="str">
        <f>A26&amp;B26&amp;C26&amp;D26&amp;E26&amp;F26&amp;G26&amp;H26&amp;I26&amp;J26&amp;[1]Sheet1!$G$5</f>
        <v>E0025Fahim AminFemaleSalesSales ManagerFull-timeSylhet43367131411E0756Sylhet</v>
      </c>
      <c r="L26" s="14">
        <f t="shared" si="0"/>
        <v>134130</v>
      </c>
      <c r="M26" s="14">
        <f ca="1" t="shared" si="1"/>
        <v>7</v>
      </c>
      <c r="N26" s="15" t="str">
        <f ca="1" t="shared" si="2"/>
        <v>Experienced</v>
      </c>
    </row>
    <row r="27" spans="1:14">
      <c r="A27" s="16" t="s">
        <v>118</v>
      </c>
      <c r="B27" s="17" t="s">
        <v>119</v>
      </c>
      <c r="C27" s="17" t="s">
        <v>19</v>
      </c>
      <c r="D27" s="17" t="s">
        <v>52</v>
      </c>
      <c r="E27" s="17" t="s">
        <v>120</v>
      </c>
      <c r="F27" s="17" t="s">
        <v>15</v>
      </c>
      <c r="G27" s="17" t="s">
        <v>16</v>
      </c>
      <c r="H27" s="17">
        <v>42885</v>
      </c>
      <c r="I27" s="17">
        <v>104751</v>
      </c>
      <c r="J27" s="17" t="s">
        <v>121</v>
      </c>
      <c r="K27" s="17" t="str">
        <f>A27&amp;B27&amp;C27&amp;D27&amp;E27&amp;F27&amp;G27&amp;H27&amp;I27&amp;J27&amp;[1]Sheet1!$G$5</f>
        <v>E0026Tasnim ChowdhuryMaleOperationsSupply Chain AnalystFull-timeKhulna42885104751E0161Sylhet</v>
      </c>
      <c r="L27" s="17">
        <f t="shared" si="0"/>
        <v>134271</v>
      </c>
      <c r="M27" s="17">
        <f ca="1" t="shared" si="1"/>
        <v>8</v>
      </c>
      <c r="N27" s="18" t="str">
        <f ca="1" t="shared" si="2"/>
        <v>Experienced</v>
      </c>
    </row>
    <row r="28" spans="1:14">
      <c r="A28" s="13" t="s">
        <v>122</v>
      </c>
      <c r="B28" s="14" t="s">
        <v>123</v>
      </c>
      <c r="C28" s="14" t="s">
        <v>19</v>
      </c>
      <c r="D28" s="14" t="s">
        <v>38</v>
      </c>
      <c r="E28" s="14" t="s">
        <v>39</v>
      </c>
      <c r="F28" s="14" t="s">
        <v>15</v>
      </c>
      <c r="G28" s="14" t="s">
        <v>28</v>
      </c>
      <c r="H28" s="14">
        <v>45593</v>
      </c>
      <c r="I28" s="14">
        <v>218329</v>
      </c>
      <c r="J28" s="14" t="s">
        <v>41</v>
      </c>
      <c r="K28" s="14" t="str">
        <f>A28&amp;B28&amp;C28&amp;D28&amp;E28&amp;F28&amp;G28&amp;H28&amp;I28&amp;J28&amp;[1]Sheet1!$G$5</f>
        <v>E0027Tania UddinMaleEngineeringDevOps EngineerFull-timeRemote45593218329E0741Sylhet</v>
      </c>
      <c r="L28" s="14">
        <f t="shared" si="0"/>
        <v>134276</v>
      </c>
      <c r="M28" s="14">
        <f ca="1" t="shared" si="1"/>
        <v>1</v>
      </c>
      <c r="N28" s="15" t="str">
        <f ca="1" t="shared" si="2"/>
        <v>New</v>
      </c>
    </row>
    <row r="29" spans="1:14">
      <c r="A29" s="16" t="s">
        <v>124</v>
      </c>
      <c r="B29" s="17" t="s">
        <v>125</v>
      </c>
      <c r="C29" s="17" t="s">
        <v>19</v>
      </c>
      <c r="D29" s="17" t="s">
        <v>92</v>
      </c>
      <c r="E29" s="17" t="s">
        <v>126</v>
      </c>
      <c r="F29" s="17" t="s">
        <v>15</v>
      </c>
      <c r="G29" s="17" t="s">
        <v>40</v>
      </c>
      <c r="H29" s="17">
        <v>44682</v>
      </c>
      <c r="I29" s="17">
        <v>157690</v>
      </c>
      <c r="J29" s="17" t="s">
        <v>127</v>
      </c>
      <c r="K29" s="17" t="str">
        <f>A29&amp;B29&amp;C29&amp;D29&amp;E29&amp;F29&amp;G29&amp;H29&amp;I29&amp;J29&amp;[1]Sheet1!$G$5</f>
        <v>E0028Rashed RahmanMaleMarketingSEO SpecialistFull-timeDhaka44682157690E0755Sylhet</v>
      </c>
      <c r="L29" s="17">
        <f t="shared" si="0"/>
        <v>134271</v>
      </c>
      <c r="M29" s="17">
        <f ca="1" t="shared" si="1"/>
        <v>3</v>
      </c>
      <c r="N29" s="18" t="str">
        <f ca="1" t="shared" si="2"/>
        <v>Mid level</v>
      </c>
    </row>
    <row r="30" spans="1:14">
      <c r="A30" s="13" t="s">
        <v>128</v>
      </c>
      <c r="B30" s="14" t="s">
        <v>129</v>
      </c>
      <c r="C30" s="14" t="s">
        <v>12</v>
      </c>
      <c r="D30" s="14" t="s">
        <v>32</v>
      </c>
      <c r="E30" s="14" t="s">
        <v>130</v>
      </c>
      <c r="F30" s="14" t="s">
        <v>15</v>
      </c>
      <c r="G30" s="14" t="s">
        <v>40</v>
      </c>
      <c r="H30" s="14">
        <v>43210</v>
      </c>
      <c r="I30" s="14">
        <v>141183</v>
      </c>
      <c r="J30" s="14" t="s">
        <v>131</v>
      </c>
      <c r="K30" s="14" t="str">
        <f>A30&amp;B30&amp;C30&amp;D30&amp;E30&amp;F30&amp;G30&amp;H30&amp;I30&amp;J30&amp;[1]Sheet1!$G$5</f>
        <v>E0029Sadia HasanFemaleHRRecruiterFull-timeDhaka43210141183E0356Sylhet</v>
      </c>
      <c r="L30" s="14">
        <f t="shared" si="0"/>
        <v>134130</v>
      </c>
      <c r="M30" s="14">
        <f ca="1" t="shared" si="1"/>
        <v>7</v>
      </c>
      <c r="N30" s="15" t="str">
        <f ca="1" t="shared" si="2"/>
        <v>Experienced</v>
      </c>
    </row>
    <row r="31" spans="1:14">
      <c r="A31" s="16" t="s">
        <v>132</v>
      </c>
      <c r="B31" s="17" t="s">
        <v>133</v>
      </c>
      <c r="C31" s="17" t="s">
        <v>12</v>
      </c>
      <c r="D31" s="17" t="s">
        <v>38</v>
      </c>
      <c r="E31" s="17" t="s">
        <v>39</v>
      </c>
      <c r="F31" s="17" t="s">
        <v>15</v>
      </c>
      <c r="G31" s="17" t="s">
        <v>16</v>
      </c>
      <c r="H31" s="17">
        <v>42651</v>
      </c>
      <c r="I31" s="17">
        <v>99920</v>
      </c>
      <c r="J31" s="17" t="s">
        <v>134</v>
      </c>
      <c r="K31" s="17" t="str">
        <f>A31&amp;B31&amp;C31&amp;D31&amp;E31&amp;F31&amp;G31&amp;H31&amp;I31&amp;J31&amp;[1]Sheet1!$G$5</f>
        <v>E0030Zahid HossainFemaleEngineeringDevOps EngineerFull-timeKhulna4265199920E0630Sylhet</v>
      </c>
      <c r="L31" s="17">
        <f t="shared" si="0"/>
        <v>133989</v>
      </c>
      <c r="M31" s="17">
        <f ca="1" t="shared" si="1"/>
        <v>9</v>
      </c>
      <c r="N31" s="18" t="str">
        <f ca="1" t="shared" si="2"/>
        <v>Experienced</v>
      </c>
    </row>
    <row r="32" spans="1:14">
      <c r="A32" s="13" t="s">
        <v>135</v>
      </c>
      <c r="B32" s="14" t="s">
        <v>136</v>
      </c>
      <c r="C32" s="14" t="s">
        <v>12</v>
      </c>
      <c r="D32" s="14" t="s">
        <v>32</v>
      </c>
      <c r="E32" s="14" t="s">
        <v>57</v>
      </c>
      <c r="F32" s="14" t="s">
        <v>15</v>
      </c>
      <c r="G32" s="14" t="s">
        <v>94</v>
      </c>
      <c r="H32" s="14">
        <v>45768</v>
      </c>
      <c r="I32" s="14">
        <v>78647</v>
      </c>
      <c r="J32" s="14" t="s">
        <v>137</v>
      </c>
      <c r="K32" s="14" t="str">
        <f>A32&amp;B32&amp;C32&amp;D32&amp;E32&amp;F32&amp;G32&amp;H32&amp;I32&amp;J32&amp;[1]Sheet1!$G$5</f>
        <v>E0031Rafi AminFemaleHRHR AssociateFull-timeRajshahi4576878647E0699Sylhet</v>
      </c>
      <c r="L32" s="14">
        <f t="shared" si="0"/>
        <v>134130</v>
      </c>
      <c r="M32" s="14">
        <f ca="1" t="shared" si="1"/>
        <v>0</v>
      </c>
      <c r="N32" s="15" t="str">
        <f ca="1" t="shared" si="2"/>
        <v>New</v>
      </c>
    </row>
    <row r="33" spans="1:14">
      <c r="A33" s="16" t="s">
        <v>138</v>
      </c>
      <c r="B33" s="17" t="s">
        <v>139</v>
      </c>
      <c r="C33" s="17" t="s">
        <v>12</v>
      </c>
      <c r="D33" s="17" t="s">
        <v>38</v>
      </c>
      <c r="E33" s="17" t="s">
        <v>140</v>
      </c>
      <c r="F33" s="17" t="s">
        <v>48</v>
      </c>
      <c r="G33" s="17" t="s">
        <v>34</v>
      </c>
      <c r="H33" s="17">
        <v>45504</v>
      </c>
      <c r="I33" s="17">
        <v>233085</v>
      </c>
      <c r="J33" s="17" t="s">
        <v>141</v>
      </c>
      <c r="K33" s="17" t="str">
        <f>A33&amp;B33&amp;C33&amp;D33&amp;E33&amp;F33&amp;G33&amp;H33&amp;I33&amp;J33&amp;[1]Sheet1!$G$5</f>
        <v>E0032Ayesha RanaFemaleEngineeringSenior Software EngineerContractSylhet45504233085E0709Sylhet</v>
      </c>
      <c r="L33" s="17">
        <f t="shared" si="0"/>
        <v>134271</v>
      </c>
      <c r="M33" s="17">
        <f ca="1" t="shared" si="1"/>
        <v>1</v>
      </c>
      <c r="N33" s="18" t="str">
        <f ca="1" t="shared" si="2"/>
        <v>New</v>
      </c>
    </row>
    <row r="34" spans="1:14">
      <c r="A34" s="13" t="s">
        <v>142</v>
      </c>
      <c r="B34" s="14" t="s">
        <v>143</v>
      </c>
      <c r="C34" s="14" t="s">
        <v>19</v>
      </c>
      <c r="D34" s="14" t="s">
        <v>38</v>
      </c>
      <c r="E34" s="14" t="s">
        <v>66</v>
      </c>
      <c r="F34" s="14" t="s">
        <v>15</v>
      </c>
      <c r="G34" s="14" t="s">
        <v>28</v>
      </c>
      <c r="H34" s="14">
        <v>44640</v>
      </c>
      <c r="I34" s="14">
        <v>153390</v>
      </c>
      <c r="J34" s="14" t="s">
        <v>95</v>
      </c>
      <c r="K34" s="14" t="str">
        <f>A34&amp;B34&amp;C34&amp;D34&amp;E34&amp;F34&amp;G34&amp;H34&amp;I34&amp;J34&amp;[1]Sheet1!$G$5</f>
        <v>E0033Jannat MorshedMaleEngineeringSoftware EngineerFull-timeRemote44640153390E0893Sylhet</v>
      </c>
      <c r="L34" s="14">
        <f t="shared" si="0"/>
        <v>134130</v>
      </c>
      <c r="M34" s="14">
        <f ca="1" t="shared" si="1"/>
        <v>3</v>
      </c>
      <c r="N34" s="15" t="str">
        <f ca="1" t="shared" si="2"/>
        <v>Mid level</v>
      </c>
    </row>
    <row r="35" spans="1:14">
      <c r="A35" s="16" t="s">
        <v>144</v>
      </c>
      <c r="B35" s="17" t="s">
        <v>145</v>
      </c>
      <c r="C35" s="17" t="s">
        <v>146</v>
      </c>
      <c r="D35" s="17" t="s">
        <v>20</v>
      </c>
      <c r="E35" s="17" t="s">
        <v>147</v>
      </c>
      <c r="F35" s="17" t="s">
        <v>15</v>
      </c>
      <c r="G35" s="17" t="s">
        <v>62</v>
      </c>
      <c r="H35" s="17">
        <v>43218</v>
      </c>
      <c r="I35" s="17">
        <v>105962</v>
      </c>
      <c r="J35" s="17" t="s">
        <v>148</v>
      </c>
      <c r="K35" s="17" t="str">
        <f>A35&amp;B35&amp;C35&amp;D35&amp;E35&amp;F35&amp;G35&amp;H35&amp;I35&amp;J35&amp;[1]Sheet1!$G$5</f>
        <v>E0034Mahin IslamNon-binaryCustomer SuccessSupport AssociateFull-timeChattogram43218105962E0938Sylhet</v>
      </c>
      <c r="L35" s="17">
        <f t="shared" si="0"/>
        <v>133989</v>
      </c>
      <c r="M35" s="17">
        <f ca="1" t="shared" si="1"/>
        <v>7</v>
      </c>
      <c r="N35" s="18" t="str">
        <f ca="1" t="shared" si="2"/>
        <v>Experienced</v>
      </c>
    </row>
    <row r="36" spans="1:14">
      <c r="A36" s="13" t="s">
        <v>149</v>
      </c>
      <c r="B36" s="14" t="s">
        <v>150</v>
      </c>
      <c r="C36" s="14" t="s">
        <v>19</v>
      </c>
      <c r="D36" s="14" t="s">
        <v>20</v>
      </c>
      <c r="E36" s="14" t="s">
        <v>147</v>
      </c>
      <c r="F36" s="14" t="s">
        <v>15</v>
      </c>
      <c r="G36" s="14" t="s">
        <v>40</v>
      </c>
      <c r="H36" s="14">
        <v>44771</v>
      </c>
      <c r="I36" s="14">
        <v>116624</v>
      </c>
      <c r="J36" s="14" t="s">
        <v>151</v>
      </c>
      <c r="K36" s="14" t="str">
        <f>A36&amp;B36&amp;C36&amp;D36&amp;E36&amp;F36&amp;G36&amp;H36&amp;I36&amp;J36&amp;[1]Sheet1!$G$5</f>
        <v>E0035Fahim BiswasMaleCustomer SuccessSupport AssociateFull-timeDhaka44771116624E0865Sylhet</v>
      </c>
      <c r="L36" s="14">
        <f t="shared" si="0"/>
        <v>134130</v>
      </c>
      <c r="M36" s="14">
        <f ca="1" t="shared" si="1"/>
        <v>3</v>
      </c>
      <c r="N36" s="15" t="str">
        <f ca="1" t="shared" si="2"/>
        <v>Mid level</v>
      </c>
    </row>
    <row r="37" spans="1:14">
      <c r="A37" s="16" t="s">
        <v>152</v>
      </c>
      <c r="B37" s="17" t="s">
        <v>153</v>
      </c>
      <c r="C37" s="17" t="s">
        <v>12</v>
      </c>
      <c r="D37" s="17" t="s">
        <v>52</v>
      </c>
      <c r="E37" s="17" t="s">
        <v>120</v>
      </c>
      <c r="F37" s="17" t="s">
        <v>15</v>
      </c>
      <c r="G37" s="17" t="s">
        <v>62</v>
      </c>
      <c r="H37" s="17">
        <v>43254</v>
      </c>
      <c r="I37" s="17">
        <v>77427</v>
      </c>
      <c r="J37" s="17"/>
      <c r="K37" s="17" t="str">
        <f>A37&amp;B37&amp;C37&amp;D37&amp;E37&amp;F37&amp;G37&amp;H37&amp;I37&amp;J37&amp;[1]Sheet1!$G$5</f>
        <v>E0036Zahid BanuFemaleOperationsSupply Chain AnalystFull-timeChattogram4325477427Sylhet</v>
      </c>
      <c r="L37" s="17">
        <f t="shared" si="0"/>
        <v>134271</v>
      </c>
      <c r="M37" s="17">
        <f ca="1" t="shared" si="1"/>
        <v>7</v>
      </c>
      <c r="N37" s="18" t="str">
        <f ca="1" t="shared" si="2"/>
        <v>Experienced</v>
      </c>
    </row>
    <row r="38" spans="1:14">
      <c r="A38" s="13" t="s">
        <v>154</v>
      </c>
      <c r="B38" s="14" t="s">
        <v>155</v>
      </c>
      <c r="C38" s="14" t="s">
        <v>12</v>
      </c>
      <c r="D38" s="14" t="s">
        <v>87</v>
      </c>
      <c r="E38" s="14" t="s">
        <v>156</v>
      </c>
      <c r="F38" s="14" t="s">
        <v>48</v>
      </c>
      <c r="G38" s="14" t="s">
        <v>40</v>
      </c>
      <c r="H38" s="14">
        <v>45700</v>
      </c>
      <c r="I38" s="14">
        <v>317015</v>
      </c>
      <c r="J38" s="14" t="s">
        <v>63</v>
      </c>
      <c r="K38" s="14" t="str">
        <f>A38&amp;B38&amp;C38&amp;D38&amp;E38&amp;F38&amp;G38&amp;H38&amp;I38&amp;J38&amp;[1]Sheet1!$G$5</f>
        <v>E0037Shawon AnjumFemaleProductAssociate Product ManagerContractDhaka45700317015E0380Sylhet</v>
      </c>
      <c r="L38" s="14">
        <f t="shared" si="0"/>
        <v>134276</v>
      </c>
      <c r="M38" s="14">
        <f ca="1" t="shared" si="1"/>
        <v>1</v>
      </c>
      <c r="N38" s="15" t="str">
        <f ca="1" t="shared" si="2"/>
        <v>New</v>
      </c>
    </row>
    <row r="39" spans="1:14">
      <c r="A39" s="16" t="s">
        <v>157</v>
      </c>
      <c r="B39" s="17" t="s">
        <v>158</v>
      </c>
      <c r="C39" s="17" t="s">
        <v>12</v>
      </c>
      <c r="D39" s="17" t="s">
        <v>38</v>
      </c>
      <c r="E39" s="17" t="s">
        <v>44</v>
      </c>
      <c r="F39" s="17" t="s">
        <v>15</v>
      </c>
      <c r="G39" s="17" t="s">
        <v>94</v>
      </c>
      <c r="H39" s="17">
        <v>43324</v>
      </c>
      <c r="I39" s="17">
        <v>206071</v>
      </c>
      <c r="J39" s="17" t="s">
        <v>159</v>
      </c>
      <c r="K39" s="17" t="str">
        <f>A39&amp;B39&amp;C39&amp;D39&amp;E39&amp;F39&amp;G39&amp;H39&amp;I39&amp;J39&amp;[1]Sheet1!$G$5</f>
        <v>E0038Mahin MiahFemaleEngineeringQA EngineerFull-timeRajshahi43324206071E0701Sylhet</v>
      </c>
      <c r="L39" s="17">
        <f t="shared" si="0"/>
        <v>134271</v>
      </c>
      <c r="M39" s="17">
        <f ca="1" t="shared" si="1"/>
        <v>7</v>
      </c>
      <c r="N39" s="18" t="str">
        <f ca="1" t="shared" si="2"/>
        <v>Experienced</v>
      </c>
    </row>
    <row r="40" spans="1:14">
      <c r="A40" s="13" t="s">
        <v>160</v>
      </c>
      <c r="B40" s="14" t="s">
        <v>161</v>
      </c>
      <c r="C40" s="14" t="s">
        <v>12</v>
      </c>
      <c r="D40" s="14" t="s">
        <v>26</v>
      </c>
      <c r="E40" s="14" t="s">
        <v>162</v>
      </c>
      <c r="F40" s="14" t="s">
        <v>48</v>
      </c>
      <c r="G40" s="14" t="s">
        <v>94</v>
      </c>
      <c r="H40" s="14">
        <v>43715</v>
      </c>
      <c r="I40" s="14">
        <v>132584</v>
      </c>
      <c r="J40" s="14"/>
      <c r="K40" s="14" t="str">
        <f>A40&amp;B40&amp;C40&amp;D40&amp;E40&amp;F40&amp;G40&amp;H40&amp;I40&amp;J40&amp;[1]Sheet1!$G$5</f>
        <v>E0039Sadia BiswasFemaleFinanceAccounts ExecutiveContractRajshahi43715132584Sylhet</v>
      </c>
      <c r="L40" s="14">
        <f t="shared" si="0"/>
        <v>134130</v>
      </c>
      <c r="M40" s="14">
        <f ca="1" t="shared" si="1"/>
        <v>6</v>
      </c>
      <c r="N40" s="15" t="str">
        <f ca="1" t="shared" si="2"/>
        <v>Experienced</v>
      </c>
    </row>
    <row r="41" spans="1:14">
      <c r="A41" s="16" t="s">
        <v>163</v>
      </c>
      <c r="B41" s="17" t="s">
        <v>164</v>
      </c>
      <c r="C41" s="17" t="s">
        <v>12</v>
      </c>
      <c r="D41" s="17" t="s">
        <v>13</v>
      </c>
      <c r="E41" s="17" t="s">
        <v>165</v>
      </c>
      <c r="F41" s="17" t="s">
        <v>15</v>
      </c>
      <c r="G41" s="17" t="s">
        <v>94</v>
      </c>
      <c r="H41" s="17">
        <v>45541</v>
      </c>
      <c r="I41" s="17">
        <v>74566</v>
      </c>
      <c r="J41" s="17" t="s">
        <v>166</v>
      </c>
      <c r="K41" s="17" t="str">
        <f>A41&amp;B41&amp;C41&amp;D41&amp;E41&amp;F41&amp;G41&amp;H41&amp;I41&amp;J41&amp;[1]Sheet1!$G$5</f>
        <v>E0040Shafiq SadiqFemaleSalesAccount ExecutiveFull-timeRajshahi4554174566E0849Sylhet</v>
      </c>
      <c r="L41" s="17">
        <f t="shared" si="0"/>
        <v>134271</v>
      </c>
      <c r="M41" s="17">
        <f ca="1" t="shared" si="1"/>
        <v>1</v>
      </c>
      <c r="N41" s="18" t="str">
        <f ca="1" t="shared" si="2"/>
        <v>New</v>
      </c>
    </row>
    <row r="42" spans="1:14">
      <c r="A42" s="13" t="s">
        <v>167</v>
      </c>
      <c r="B42" s="14" t="s">
        <v>168</v>
      </c>
      <c r="C42" s="14" t="s">
        <v>12</v>
      </c>
      <c r="D42" s="14" t="s">
        <v>38</v>
      </c>
      <c r="E42" s="14" t="s">
        <v>140</v>
      </c>
      <c r="F42" s="14" t="s">
        <v>15</v>
      </c>
      <c r="G42" s="14" t="s">
        <v>16</v>
      </c>
      <c r="H42" s="14">
        <v>42974</v>
      </c>
      <c r="I42" s="14">
        <v>164307</v>
      </c>
      <c r="J42" s="14" t="s">
        <v>169</v>
      </c>
      <c r="K42" s="14" t="str">
        <f>A42&amp;B42&amp;C42&amp;D42&amp;E42&amp;F42&amp;G42&amp;H42&amp;I42&amp;J42&amp;[1]Sheet1!$G$5</f>
        <v>E0041Noman KhanFemaleEngineeringSenior Software EngineerFull-timeKhulna42974164307E0251Sylhet</v>
      </c>
      <c r="L42" s="14">
        <f t="shared" si="0"/>
        <v>134276</v>
      </c>
      <c r="M42" s="14">
        <f ca="1" t="shared" si="1"/>
        <v>8</v>
      </c>
      <c r="N42" s="15" t="str">
        <f ca="1" t="shared" si="2"/>
        <v>Experienced</v>
      </c>
    </row>
    <row r="43" spans="1:14">
      <c r="A43" s="16" t="s">
        <v>170</v>
      </c>
      <c r="B43" s="17" t="s">
        <v>171</v>
      </c>
      <c r="C43" s="17" t="s">
        <v>19</v>
      </c>
      <c r="D43" s="17" t="s">
        <v>92</v>
      </c>
      <c r="E43" s="17" t="s">
        <v>126</v>
      </c>
      <c r="F43" s="17" t="s">
        <v>15</v>
      </c>
      <c r="G43" s="17" t="s">
        <v>16</v>
      </c>
      <c r="H43" s="17">
        <v>45600</v>
      </c>
      <c r="I43" s="17">
        <v>143885</v>
      </c>
      <c r="J43" s="17" t="s">
        <v>172</v>
      </c>
      <c r="K43" s="17" t="str">
        <f>A43&amp;B43&amp;C43&amp;D43&amp;E43&amp;F43&amp;G43&amp;H43&amp;I43&amp;J43&amp;[1]Sheet1!$G$5</f>
        <v>E0042Esha AminMaleMarketingSEO SpecialistFull-timeKhulna45600143885E0141Sylhet</v>
      </c>
      <c r="L43" s="17">
        <f t="shared" si="0"/>
        <v>134271</v>
      </c>
      <c r="M43" s="17">
        <f ca="1" t="shared" si="1"/>
        <v>1</v>
      </c>
      <c r="N43" s="18" t="str">
        <f ca="1" t="shared" si="2"/>
        <v>New</v>
      </c>
    </row>
    <row r="44" spans="1:14">
      <c r="A44" s="13" t="s">
        <v>173</v>
      </c>
      <c r="B44" s="14" t="s">
        <v>174</v>
      </c>
      <c r="C44" s="14" t="s">
        <v>19</v>
      </c>
      <c r="D44" s="14" t="s">
        <v>38</v>
      </c>
      <c r="E44" s="14" t="s">
        <v>66</v>
      </c>
      <c r="F44" s="14" t="s">
        <v>15</v>
      </c>
      <c r="G44" s="14" t="s">
        <v>28</v>
      </c>
      <c r="H44" s="14">
        <v>44811</v>
      </c>
      <c r="I44" s="14">
        <v>151772</v>
      </c>
      <c r="J44" s="14" t="s">
        <v>175</v>
      </c>
      <c r="K44" s="14" t="str">
        <f>A44&amp;B44&amp;C44&amp;D44&amp;E44&amp;F44&amp;G44&amp;H44&amp;I44&amp;J44&amp;[1]Sheet1!$G$5</f>
        <v>E0043Ovi IslamMaleEngineeringSoftware EngineerFull-timeRemote44811151772E0736Sylhet</v>
      </c>
      <c r="L44" s="14">
        <f t="shared" si="0"/>
        <v>134130</v>
      </c>
      <c r="M44" s="14">
        <f ca="1" t="shared" si="1"/>
        <v>3</v>
      </c>
      <c r="N44" s="15" t="str">
        <f ca="1" t="shared" si="2"/>
        <v>Mid level</v>
      </c>
    </row>
    <row r="45" spans="1:14">
      <c r="A45" s="16" t="s">
        <v>176</v>
      </c>
      <c r="B45" s="17" t="s">
        <v>177</v>
      </c>
      <c r="C45" s="17" t="s">
        <v>19</v>
      </c>
      <c r="D45" s="17" t="s">
        <v>20</v>
      </c>
      <c r="E45" s="17" t="s">
        <v>21</v>
      </c>
      <c r="F45" s="17" t="s">
        <v>15</v>
      </c>
      <c r="G45" s="17" t="s">
        <v>94</v>
      </c>
      <c r="H45" s="17">
        <v>42381</v>
      </c>
      <c r="I45" s="17">
        <v>72635</v>
      </c>
      <c r="J45" s="17" t="s">
        <v>178</v>
      </c>
      <c r="K45" s="17" t="str">
        <f>A45&amp;B45&amp;C45&amp;D45&amp;E45&amp;F45&amp;G45&amp;H45&amp;I45&amp;J45&amp;[1]Sheet1!$G$5</f>
        <v>E0044Fahim JahanMaleCustomer SuccessSupport SpecialistFull-timeRajshahi4238172635E0186Sylhet</v>
      </c>
      <c r="L45" s="17">
        <f t="shared" si="0"/>
        <v>133989</v>
      </c>
      <c r="M45" s="17">
        <f ca="1" t="shared" si="1"/>
        <v>10</v>
      </c>
      <c r="N45" s="18" t="str">
        <f ca="1" t="shared" si="2"/>
        <v>Experienced</v>
      </c>
    </row>
    <row r="46" spans="1:14">
      <c r="A46" s="13" t="s">
        <v>179</v>
      </c>
      <c r="B46" s="14" t="s">
        <v>180</v>
      </c>
      <c r="C46" s="14" t="s">
        <v>19</v>
      </c>
      <c r="D46" s="14" t="s">
        <v>87</v>
      </c>
      <c r="E46" s="14" t="s">
        <v>111</v>
      </c>
      <c r="F46" s="14" t="s">
        <v>15</v>
      </c>
      <c r="G46" s="14" t="s">
        <v>62</v>
      </c>
      <c r="H46" s="14">
        <v>43505</v>
      </c>
      <c r="I46" s="14">
        <v>228086</v>
      </c>
      <c r="J46" s="14" t="s">
        <v>115</v>
      </c>
      <c r="K46" s="14" t="str">
        <f>A46&amp;B46&amp;C46&amp;D46&amp;E46&amp;F46&amp;G46&amp;H46&amp;I46&amp;J46&amp;[1]Sheet1!$G$5</f>
        <v>E0045Rahim AkterMaleProductSenior Product ManagerFull-timeChattogram43505228086E0025Sylhet</v>
      </c>
      <c r="L46" s="14">
        <f t="shared" si="0"/>
        <v>134130</v>
      </c>
      <c r="M46" s="14">
        <f ca="1" t="shared" si="1"/>
        <v>7</v>
      </c>
      <c r="N46" s="15" t="str">
        <f ca="1" t="shared" si="2"/>
        <v>Experienced</v>
      </c>
    </row>
    <row r="47" spans="1:14">
      <c r="A47" s="16" t="s">
        <v>181</v>
      </c>
      <c r="B47" s="17" t="s">
        <v>182</v>
      </c>
      <c r="C47" s="17" t="s">
        <v>19</v>
      </c>
      <c r="D47" s="17" t="s">
        <v>32</v>
      </c>
      <c r="E47" s="17" t="s">
        <v>33</v>
      </c>
      <c r="F47" s="17" t="s">
        <v>15</v>
      </c>
      <c r="G47" s="17" t="s">
        <v>94</v>
      </c>
      <c r="H47" s="17">
        <v>45886</v>
      </c>
      <c r="I47" s="17">
        <v>117000</v>
      </c>
      <c r="J47" s="17" t="s">
        <v>183</v>
      </c>
      <c r="K47" s="17" t="str">
        <f>A47&amp;B47&amp;C47&amp;D47&amp;E47&amp;F47&amp;G47&amp;H47&amp;I47&amp;J47&amp;[1]Sheet1!$G$5</f>
        <v>E0046Mitu SharminMaleHRHR Business PartnerFull-timeRajshahi45886117000E0456Sylhet</v>
      </c>
      <c r="L47" s="17">
        <f t="shared" si="0"/>
        <v>133989</v>
      </c>
      <c r="M47" s="17">
        <f ca="1" t="shared" si="1"/>
        <v>0</v>
      </c>
      <c r="N47" s="18" t="str">
        <f ca="1" t="shared" si="2"/>
        <v>New</v>
      </c>
    </row>
    <row r="48" spans="1:14">
      <c r="A48" s="13" t="s">
        <v>184</v>
      </c>
      <c r="B48" s="14" t="s">
        <v>185</v>
      </c>
      <c r="C48" s="14" t="s">
        <v>19</v>
      </c>
      <c r="D48" s="14" t="s">
        <v>87</v>
      </c>
      <c r="E48" s="14" t="s">
        <v>88</v>
      </c>
      <c r="F48" s="14" t="s">
        <v>15</v>
      </c>
      <c r="G48" s="14" t="s">
        <v>94</v>
      </c>
      <c r="H48" s="14">
        <v>42962</v>
      </c>
      <c r="I48" s="14">
        <v>104908</v>
      </c>
      <c r="J48" s="14" t="s">
        <v>186</v>
      </c>
      <c r="K48" s="14" t="str">
        <f>A48&amp;B48&amp;C48&amp;D48&amp;E48&amp;F48&amp;G48&amp;H48&amp;I48&amp;J48&amp;[1]Sheet1!$G$5</f>
        <v>E0047Noman AminMaleProductProduct AnalystFull-timeRajshahi42962104908E0927Sylhet</v>
      </c>
      <c r="L48" s="14">
        <f t="shared" si="0"/>
        <v>134130</v>
      </c>
      <c r="M48" s="14">
        <f ca="1" t="shared" si="1"/>
        <v>8</v>
      </c>
      <c r="N48" s="15" t="str">
        <f ca="1" t="shared" si="2"/>
        <v>Experienced</v>
      </c>
    </row>
    <row r="49" spans="1:14">
      <c r="A49" s="16" t="s">
        <v>187</v>
      </c>
      <c r="B49" s="17" t="s">
        <v>188</v>
      </c>
      <c r="C49" s="17" t="s">
        <v>19</v>
      </c>
      <c r="D49" s="17" t="s">
        <v>92</v>
      </c>
      <c r="E49" s="17" t="s">
        <v>189</v>
      </c>
      <c r="F49" s="17" t="s">
        <v>15</v>
      </c>
      <c r="G49" s="17" t="s">
        <v>16</v>
      </c>
      <c r="H49" s="17">
        <v>42902</v>
      </c>
      <c r="I49" s="17">
        <v>134577</v>
      </c>
      <c r="J49" s="17" t="s">
        <v>190</v>
      </c>
      <c r="K49" s="17" t="str">
        <f>A49&amp;B49&amp;C49&amp;D49&amp;E49&amp;F49&amp;G49&amp;H49&amp;I49&amp;J49&amp;[1]Sheet1!$G$5</f>
        <v>E0048Tania AhmedMaleMarketingMarketing AssociateFull-timeKhulna42902134577E0592Sylhet</v>
      </c>
      <c r="L49" s="17">
        <f t="shared" si="0"/>
        <v>134271</v>
      </c>
      <c r="M49" s="17">
        <f ca="1" t="shared" si="1"/>
        <v>8</v>
      </c>
      <c r="N49" s="18" t="str">
        <f ca="1" t="shared" si="2"/>
        <v>Experienced</v>
      </c>
    </row>
    <row r="50" spans="1:14">
      <c r="A50" s="13" t="s">
        <v>191</v>
      </c>
      <c r="B50" s="14" t="s">
        <v>192</v>
      </c>
      <c r="C50" s="14" t="s">
        <v>12</v>
      </c>
      <c r="D50" s="14" t="s">
        <v>92</v>
      </c>
      <c r="E50" s="14" t="s">
        <v>193</v>
      </c>
      <c r="F50" s="14" t="s">
        <v>15</v>
      </c>
      <c r="G50" s="14" t="s">
        <v>62</v>
      </c>
      <c r="H50" s="14">
        <v>44582</v>
      </c>
      <c r="I50" s="14">
        <v>211918</v>
      </c>
      <c r="J50" s="14" t="s">
        <v>89</v>
      </c>
      <c r="K50" s="14" t="str">
        <f>A50&amp;B50&amp;C50&amp;D50&amp;E50&amp;F50&amp;G50&amp;H50&amp;I50&amp;J50&amp;[1]Sheet1!$G$5</f>
        <v>E0049Tasnim ShahFemaleMarketingMarketing ManagerFull-timeChattogram44582211918E0783Sylhet</v>
      </c>
      <c r="L50" s="14">
        <f t="shared" si="0"/>
        <v>134130</v>
      </c>
      <c r="M50" s="14">
        <f ca="1" t="shared" si="1"/>
        <v>4</v>
      </c>
      <c r="N50" s="15" t="str">
        <f ca="1" t="shared" si="2"/>
        <v>Mid level</v>
      </c>
    </row>
    <row r="51" spans="1:14">
      <c r="A51" s="16" t="s">
        <v>194</v>
      </c>
      <c r="B51" s="17" t="s">
        <v>195</v>
      </c>
      <c r="C51" s="17" t="s">
        <v>19</v>
      </c>
      <c r="D51" s="17" t="s">
        <v>38</v>
      </c>
      <c r="E51" s="17" t="s">
        <v>77</v>
      </c>
      <c r="F51" s="17" t="s">
        <v>15</v>
      </c>
      <c r="G51" s="17" t="s">
        <v>40</v>
      </c>
      <c r="H51" s="17">
        <v>43396</v>
      </c>
      <c r="I51" s="17">
        <v>173897</v>
      </c>
      <c r="J51" s="17" t="s">
        <v>196</v>
      </c>
      <c r="K51" s="17" t="str">
        <f>A51&amp;B51&amp;C51&amp;D51&amp;E51&amp;F51&amp;G51&amp;H51&amp;I51&amp;J51&amp;[1]Sheet1!$G$5</f>
        <v>E0050Rahim RasheedMaleEngineeringJunior Software EngineerFull-timeDhaka43396173897E0383Sylhet</v>
      </c>
      <c r="L51" s="17">
        <f t="shared" si="0"/>
        <v>133989</v>
      </c>
      <c r="M51" s="17">
        <f ca="1" t="shared" si="1"/>
        <v>7</v>
      </c>
      <c r="N51" s="18" t="str">
        <f ca="1" t="shared" si="2"/>
        <v>Experienced</v>
      </c>
    </row>
    <row r="52" spans="1:14">
      <c r="A52" s="13" t="s">
        <v>197</v>
      </c>
      <c r="B52" s="14" t="s">
        <v>198</v>
      </c>
      <c r="C52" s="14" t="s">
        <v>19</v>
      </c>
      <c r="D52" s="14" t="s">
        <v>20</v>
      </c>
      <c r="E52" s="14" t="s">
        <v>70</v>
      </c>
      <c r="F52" s="14" t="s">
        <v>48</v>
      </c>
      <c r="G52" s="14" t="s">
        <v>28</v>
      </c>
      <c r="H52" s="14">
        <v>45640</v>
      </c>
      <c r="I52" s="14">
        <v>121481</v>
      </c>
      <c r="J52" s="14" t="s">
        <v>166</v>
      </c>
      <c r="K52" s="14" t="str">
        <f>A52&amp;B52&amp;C52&amp;D52&amp;E52&amp;F52&amp;G52&amp;H52&amp;I52&amp;J52&amp;[1]Sheet1!$G$5</f>
        <v>E0051Noman SultanaMaleCustomer SuccessCustomer Success ManagerContractRemote45640121481E0849Sylhet</v>
      </c>
      <c r="L52" s="14">
        <f t="shared" si="0"/>
        <v>133901</v>
      </c>
      <c r="M52" s="14">
        <f ca="1" t="shared" si="1"/>
        <v>1</v>
      </c>
      <c r="N52" s="15" t="str">
        <f ca="1" t="shared" si="2"/>
        <v>New</v>
      </c>
    </row>
    <row r="53" spans="1:14">
      <c r="A53" s="16" t="s">
        <v>199</v>
      </c>
      <c r="B53" s="17" t="s">
        <v>200</v>
      </c>
      <c r="C53" s="17" t="s">
        <v>19</v>
      </c>
      <c r="D53" s="17" t="s">
        <v>52</v>
      </c>
      <c r="E53" s="17" t="s">
        <v>120</v>
      </c>
      <c r="F53" s="17" t="s">
        <v>15</v>
      </c>
      <c r="G53" s="17" t="s">
        <v>28</v>
      </c>
      <c r="H53" s="17">
        <v>43084</v>
      </c>
      <c r="I53" s="17">
        <v>158063</v>
      </c>
      <c r="J53" s="17" t="s">
        <v>201</v>
      </c>
      <c r="K53" s="17" t="str">
        <f>A53&amp;B53&amp;C53&amp;D53&amp;E53&amp;F53&amp;G53&amp;H53&amp;I53&amp;J53&amp;[1]Sheet1!$G$5</f>
        <v>E0052Noman HossainMaleOperationsSupply Chain AnalystFull-timeRemote43084158063E0742Sylhet</v>
      </c>
      <c r="L53" s="17">
        <f t="shared" si="0"/>
        <v>133989</v>
      </c>
      <c r="M53" s="17">
        <f ca="1" t="shared" si="1"/>
        <v>8</v>
      </c>
      <c r="N53" s="18" t="str">
        <f ca="1" t="shared" si="2"/>
        <v>Experienced</v>
      </c>
    </row>
    <row r="54" spans="1:14">
      <c r="A54" s="13" t="s">
        <v>202</v>
      </c>
      <c r="B54" s="14" t="s">
        <v>203</v>
      </c>
      <c r="C54" s="14" t="s">
        <v>19</v>
      </c>
      <c r="D54" s="14" t="s">
        <v>20</v>
      </c>
      <c r="E54" s="14" t="s">
        <v>70</v>
      </c>
      <c r="F54" s="14" t="s">
        <v>15</v>
      </c>
      <c r="G54" s="14" t="s">
        <v>34</v>
      </c>
      <c r="H54" s="14">
        <v>42820</v>
      </c>
      <c r="I54" s="14">
        <v>173570</v>
      </c>
      <c r="J54" s="14" t="s">
        <v>159</v>
      </c>
      <c r="K54" s="14" t="str">
        <f>A54&amp;B54&amp;C54&amp;D54&amp;E54&amp;F54&amp;G54&amp;H54&amp;I54&amp;J54&amp;[1]Sheet1!$G$5</f>
        <v>E0053Shawon AkterMaleCustomer SuccessCustomer Success ManagerFull-timeSylhet42820173570E0701Sylhet</v>
      </c>
      <c r="L54" s="14">
        <f t="shared" si="0"/>
        <v>133901</v>
      </c>
      <c r="M54" s="14">
        <f ca="1" t="shared" si="1"/>
        <v>8</v>
      </c>
      <c r="N54" s="15" t="str">
        <f ca="1" t="shared" si="2"/>
        <v>Experienced</v>
      </c>
    </row>
    <row r="55" spans="1:14">
      <c r="A55" s="16" t="s">
        <v>204</v>
      </c>
      <c r="B55" s="17" t="s">
        <v>205</v>
      </c>
      <c r="C55" s="17" t="s">
        <v>12</v>
      </c>
      <c r="D55" s="17" t="s">
        <v>52</v>
      </c>
      <c r="E55" s="17" t="s">
        <v>53</v>
      </c>
      <c r="F55" s="17" t="s">
        <v>15</v>
      </c>
      <c r="G55" s="17" t="s">
        <v>40</v>
      </c>
      <c r="H55" s="17">
        <v>45077</v>
      </c>
      <c r="I55" s="17">
        <v>147590</v>
      </c>
      <c r="J55" s="17"/>
      <c r="K55" s="17" t="str">
        <f>A55&amp;B55&amp;C55&amp;D55&amp;E55&amp;F55&amp;G55&amp;H55&amp;I55&amp;J55&amp;[1]Sheet1!$G$5</f>
        <v>E0054Tamanna RahmanFemaleOperationsOperations ManagerFull-timeDhaka45077147590Sylhet</v>
      </c>
      <c r="L55" s="17">
        <f t="shared" si="0"/>
        <v>133813</v>
      </c>
      <c r="M55" s="17">
        <f ca="1" t="shared" si="1"/>
        <v>2</v>
      </c>
      <c r="N55" s="18" t="str">
        <f ca="1" t="shared" si="2"/>
        <v>New</v>
      </c>
    </row>
    <row r="56" spans="1:14">
      <c r="A56" s="13" t="s">
        <v>206</v>
      </c>
      <c r="B56" s="14" t="s">
        <v>207</v>
      </c>
      <c r="C56" s="14" t="s">
        <v>12</v>
      </c>
      <c r="D56" s="14" t="s">
        <v>32</v>
      </c>
      <c r="E56" s="14" t="s">
        <v>208</v>
      </c>
      <c r="F56" s="14" t="s">
        <v>15</v>
      </c>
      <c r="G56" s="14" t="s">
        <v>34</v>
      </c>
      <c r="H56" s="14">
        <v>42475</v>
      </c>
      <c r="I56" s="14">
        <v>138544</v>
      </c>
      <c r="J56" s="14" t="s">
        <v>209</v>
      </c>
      <c r="K56" s="14" t="str">
        <f>A56&amp;B56&amp;C56&amp;D56&amp;E56&amp;F56&amp;G56&amp;H56&amp;I56&amp;J56&amp;[1]Sheet1!$G$5</f>
        <v>E0055Tania AminFemaleHRHR ManagerFull-timeSylhet42475138544E0425Sylhet</v>
      </c>
      <c r="L56" s="14">
        <f t="shared" si="0"/>
        <v>133779.5</v>
      </c>
      <c r="M56" s="14">
        <f ca="1" t="shared" si="1"/>
        <v>9</v>
      </c>
      <c r="N56" s="15" t="str">
        <f ca="1" t="shared" si="2"/>
        <v>Experienced</v>
      </c>
    </row>
    <row r="57" spans="1:14">
      <c r="A57" s="16" t="s">
        <v>210</v>
      </c>
      <c r="B57" s="17" t="s">
        <v>211</v>
      </c>
      <c r="C57" s="17" t="s">
        <v>12</v>
      </c>
      <c r="D57" s="17" t="s">
        <v>20</v>
      </c>
      <c r="E57" s="17" t="s">
        <v>147</v>
      </c>
      <c r="F57" s="17" t="s">
        <v>15</v>
      </c>
      <c r="G57" s="17" t="s">
        <v>94</v>
      </c>
      <c r="H57" s="17">
        <v>42909</v>
      </c>
      <c r="I57" s="17">
        <v>89940</v>
      </c>
      <c r="J57" s="17" t="s">
        <v>212</v>
      </c>
      <c r="K57" s="17" t="str">
        <f>A57&amp;B57&amp;C57&amp;D57&amp;E57&amp;F57&amp;G57&amp;H57&amp;I57&amp;J57&amp;[1]Sheet1!$G$5</f>
        <v>E0056Sadia RasheedFemaleCustomer SuccessSupport AssociateFull-timeRajshahi4290989940E0728Sylhet</v>
      </c>
      <c r="L57" s="17">
        <f t="shared" si="0"/>
        <v>133746</v>
      </c>
      <c r="M57" s="17">
        <f ca="1" t="shared" si="1"/>
        <v>8</v>
      </c>
      <c r="N57" s="18" t="str">
        <f ca="1" t="shared" si="2"/>
        <v>Experienced</v>
      </c>
    </row>
    <row r="58" spans="1:14">
      <c r="A58" s="13" t="s">
        <v>213</v>
      </c>
      <c r="B58" s="14" t="s">
        <v>214</v>
      </c>
      <c r="C58" s="14" t="s">
        <v>19</v>
      </c>
      <c r="D58" s="14" t="s">
        <v>38</v>
      </c>
      <c r="E58" s="14" t="s">
        <v>44</v>
      </c>
      <c r="F58" s="14" t="s">
        <v>15</v>
      </c>
      <c r="G58" s="14" t="s">
        <v>94</v>
      </c>
      <c r="H58" s="14">
        <v>42430</v>
      </c>
      <c r="I58" s="14">
        <v>209299</v>
      </c>
      <c r="J58" s="14" t="s">
        <v>215</v>
      </c>
      <c r="K58" s="14" t="str">
        <f>A58&amp;B58&amp;C58&amp;D58&amp;E58&amp;F58&amp;G58&amp;H58&amp;I58&amp;J58&amp;[1]Sheet1!$G$5</f>
        <v>E0057Shawon MiahMaleEngineeringQA EngineerFull-timeRajshahi42430209299E0580Sylhet</v>
      </c>
      <c r="L58" s="14">
        <f t="shared" si="0"/>
        <v>133779.5</v>
      </c>
      <c r="M58" s="14">
        <f ca="1" t="shared" si="1"/>
        <v>10</v>
      </c>
      <c r="N58" s="15" t="str">
        <f ca="1" t="shared" si="2"/>
        <v>Experienced</v>
      </c>
    </row>
    <row r="59" spans="1:14">
      <c r="A59" s="16" t="s">
        <v>216</v>
      </c>
      <c r="B59" s="17" t="s">
        <v>217</v>
      </c>
      <c r="C59" s="17" t="s">
        <v>12</v>
      </c>
      <c r="D59" s="17" t="s">
        <v>38</v>
      </c>
      <c r="E59" s="17" t="s">
        <v>66</v>
      </c>
      <c r="F59" s="17" t="s">
        <v>15</v>
      </c>
      <c r="G59" s="17" t="s">
        <v>28</v>
      </c>
      <c r="H59" s="17">
        <v>43837</v>
      </c>
      <c r="I59" s="17">
        <v>96715</v>
      </c>
      <c r="J59" s="17"/>
      <c r="K59" s="17" t="str">
        <f>A59&amp;B59&amp;C59&amp;D59&amp;E59&amp;F59&amp;G59&amp;H59&amp;I59&amp;J59&amp;[1]Sheet1!$G$5</f>
        <v>E0058Ayesha ParvinFemaleEngineeringSoftware EngineerFull-timeRemote4383796715Sylhet</v>
      </c>
      <c r="L59" s="17">
        <f t="shared" si="0"/>
        <v>133746</v>
      </c>
      <c r="M59" s="17">
        <f ca="1" t="shared" si="1"/>
        <v>6</v>
      </c>
      <c r="N59" s="18" t="str">
        <f ca="1" t="shared" si="2"/>
        <v>Experienced</v>
      </c>
    </row>
    <row r="60" spans="1:14">
      <c r="A60" s="13" t="s">
        <v>218</v>
      </c>
      <c r="B60" s="14" t="s">
        <v>219</v>
      </c>
      <c r="C60" s="14" t="s">
        <v>19</v>
      </c>
      <c r="D60" s="14" t="s">
        <v>38</v>
      </c>
      <c r="E60" s="14" t="s">
        <v>140</v>
      </c>
      <c r="F60" s="14" t="s">
        <v>15</v>
      </c>
      <c r="G60" s="14" t="s">
        <v>28</v>
      </c>
      <c r="H60" s="14">
        <v>45605</v>
      </c>
      <c r="I60" s="14">
        <v>165688</v>
      </c>
      <c r="J60" s="14" t="s">
        <v>220</v>
      </c>
      <c r="K60" s="14" t="str">
        <f>A60&amp;B60&amp;C60&amp;D60&amp;E60&amp;F60&amp;G60&amp;H60&amp;I60&amp;J60&amp;[1]Sheet1!$G$5</f>
        <v>E0059Sadia MiahMaleEngineeringSenior Software EngineerFull-timeRemote45605165688E0184Sylhet</v>
      </c>
      <c r="L60" s="14">
        <f t="shared" si="0"/>
        <v>133779.5</v>
      </c>
      <c r="M60" s="14">
        <f ca="1" t="shared" si="1"/>
        <v>1</v>
      </c>
      <c r="N60" s="15" t="str">
        <f ca="1" t="shared" si="2"/>
        <v>New</v>
      </c>
    </row>
    <row r="61" spans="1:14">
      <c r="A61" s="16" t="s">
        <v>221</v>
      </c>
      <c r="B61" s="17" t="s">
        <v>222</v>
      </c>
      <c r="C61" s="17" t="s">
        <v>19</v>
      </c>
      <c r="D61" s="17" t="s">
        <v>13</v>
      </c>
      <c r="E61" s="17" t="s">
        <v>223</v>
      </c>
      <c r="F61" s="17" t="s">
        <v>15</v>
      </c>
      <c r="G61" s="17" t="s">
        <v>28</v>
      </c>
      <c r="H61" s="17">
        <v>45599</v>
      </c>
      <c r="I61" s="17">
        <v>95553</v>
      </c>
      <c r="J61" s="17" t="s">
        <v>224</v>
      </c>
      <c r="K61" s="17" t="str">
        <f>A61&amp;B61&amp;C61&amp;D61&amp;E61&amp;F61&amp;G61&amp;H61&amp;I61&amp;J61&amp;[1]Sheet1!$G$5</f>
        <v>E0060Nafiz MorshedMaleSalesSenior Account ExecutiveFull-timeRemote4559995553E0839Sylhet</v>
      </c>
      <c r="L61" s="17">
        <f t="shared" si="0"/>
        <v>133746</v>
      </c>
      <c r="M61" s="17">
        <f ca="1" t="shared" si="1"/>
        <v>1</v>
      </c>
      <c r="N61" s="18" t="str">
        <f ca="1" t="shared" si="2"/>
        <v>New</v>
      </c>
    </row>
    <row r="62" spans="1:14">
      <c r="A62" s="13" t="s">
        <v>225</v>
      </c>
      <c r="B62" s="14" t="s">
        <v>150</v>
      </c>
      <c r="C62" s="14" t="s">
        <v>146</v>
      </c>
      <c r="D62" s="14" t="s">
        <v>13</v>
      </c>
      <c r="E62" s="14" t="s">
        <v>98</v>
      </c>
      <c r="F62" s="14" t="s">
        <v>15</v>
      </c>
      <c r="G62" s="14" t="s">
        <v>40</v>
      </c>
      <c r="H62" s="14">
        <v>43344</v>
      </c>
      <c r="I62" s="14">
        <v>225796</v>
      </c>
      <c r="J62" s="14" t="s">
        <v>226</v>
      </c>
      <c r="K62" s="14" t="str">
        <f>A62&amp;B62&amp;C62&amp;D62&amp;E62&amp;F62&amp;G62&amp;H62&amp;I62&amp;J62&amp;[1]Sheet1!$G$5</f>
        <v>E0061Fahim BiswasNon-binarySalesSales ManagerFull-timeDhaka43344225796E0453Sylhet</v>
      </c>
      <c r="L62" s="14">
        <f t="shared" si="0"/>
        <v>133779.5</v>
      </c>
      <c r="M62" s="14">
        <f ca="1" t="shared" si="1"/>
        <v>7</v>
      </c>
      <c r="N62" s="15" t="str">
        <f ca="1" t="shared" si="2"/>
        <v>Experienced</v>
      </c>
    </row>
    <row r="63" spans="1:14">
      <c r="A63" s="16" t="s">
        <v>227</v>
      </c>
      <c r="B63" s="17" t="s">
        <v>228</v>
      </c>
      <c r="C63" s="17" t="s">
        <v>12</v>
      </c>
      <c r="D63" s="17" t="s">
        <v>87</v>
      </c>
      <c r="E63" s="17" t="s">
        <v>111</v>
      </c>
      <c r="F63" s="17" t="s">
        <v>15</v>
      </c>
      <c r="G63" s="17" t="s">
        <v>28</v>
      </c>
      <c r="H63" s="17">
        <v>44781</v>
      </c>
      <c r="I63" s="17">
        <v>164207</v>
      </c>
      <c r="J63" s="17" t="s">
        <v>229</v>
      </c>
      <c r="K63" s="17" t="str">
        <f>A63&amp;B63&amp;C63&amp;D63&amp;E63&amp;F63&amp;G63&amp;H63&amp;I63&amp;J63&amp;[1]Sheet1!$G$5</f>
        <v>E0062Fahim HasanFemaleProductSenior Product ManagerFull-timeRemote44781164207E0980Sylhet</v>
      </c>
      <c r="L63" s="17">
        <f t="shared" si="0"/>
        <v>133746</v>
      </c>
      <c r="M63" s="17">
        <f ca="1" t="shared" si="1"/>
        <v>3</v>
      </c>
      <c r="N63" s="18" t="str">
        <f ca="1" t="shared" si="2"/>
        <v>Mid level</v>
      </c>
    </row>
    <row r="64" spans="1:14">
      <c r="A64" s="13" t="s">
        <v>230</v>
      </c>
      <c r="B64" s="14" t="s">
        <v>231</v>
      </c>
      <c r="C64" s="14" t="s">
        <v>12</v>
      </c>
      <c r="D64" s="14" t="s">
        <v>52</v>
      </c>
      <c r="E64" s="14" t="s">
        <v>53</v>
      </c>
      <c r="F64" s="14" t="s">
        <v>15</v>
      </c>
      <c r="G64" s="14" t="s">
        <v>94</v>
      </c>
      <c r="H64" s="14">
        <v>43696</v>
      </c>
      <c r="I64" s="14">
        <v>157208</v>
      </c>
      <c r="J64" s="14" t="s">
        <v>117</v>
      </c>
      <c r="K64" s="14" t="str">
        <f>A64&amp;B64&amp;C64&amp;D64&amp;E64&amp;F64&amp;G64&amp;H64&amp;I64&amp;J64&amp;[1]Sheet1!$G$5</f>
        <v>E0063Tasnim AlamFemaleOperationsOperations ManagerFull-timeRajshahi43696157208E0756Sylhet</v>
      </c>
      <c r="L64" s="14">
        <f t="shared" si="0"/>
        <v>133741</v>
      </c>
      <c r="M64" s="14">
        <f ca="1" t="shared" si="1"/>
        <v>6</v>
      </c>
      <c r="N64" s="15" t="str">
        <f ca="1" t="shared" si="2"/>
        <v>Experienced</v>
      </c>
    </row>
    <row r="65" spans="1:14">
      <c r="A65" s="16" t="s">
        <v>232</v>
      </c>
      <c r="B65" s="17" t="s">
        <v>233</v>
      </c>
      <c r="C65" s="17" t="s">
        <v>12</v>
      </c>
      <c r="D65" s="17" t="s">
        <v>13</v>
      </c>
      <c r="E65" s="17" t="s">
        <v>165</v>
      </c>
      <c r="F65" s="17" t="s">
        <v>15</v>
      </c>
      <c r="G65" s="17" t="s">
        <v>34</v>
      </c>
      <c r="H65" s="17">
        <v>42434</v>
      </c>
      <c r="I65" s="17">
        <v>205545</v>
      </c>
      <c r="J65" s="17" t="s">
        <v>234</v>
      </c>
      <c r="K65" s="17" t="str">
        <f>A65&amp;B65&amp;C65&amp;D65&amp;E65&amp;F65&amp;G65&amp;H65&amp;I65&amp;J65&amp;[1]Sheet1!$G$5</f>
        <v>E0064Lamia BiswasFemaleSalesAccount ExecutiveFull-timeSylhet42434205545E0797Sylhet</v>
      </c>
      <c r="L65" s="17">
        <f t="shared" si="0"/>
        <v>133736</v>
      </c>
      <c r="M65" s="17">
        <f ca="1" t="shared" si="1"/>
        <v>10</v>
      </c>
      <c r="N65" s="18" t="str">
        <f ca="1" t="shared" si="2"/>
        <v>Experienced</v>
      </c>
    </row>
    <row r="66" spans="1:14">
      <c r="A66" s="13" t="s">
        <v>235</v>
      </c>
      <c r="B66" s="14" t="s">
        <v>236</v>
      </c>
      <c r="C66" s="14" t="s">
        <v>12</v>
      </c>
      <c r="D66" s="14" t="s">
        <v>87</v>
      </c>
      <c r="E66" s="14" t="s">
        <v>156</v>
      </c>
      <c r="F66" s="14" t="s">
        <v>48</v>
      </c>
      <c r="G66" s="14" t="s">
        <v>16</v>
      </c>
      <c r="H66" s="14">
        <v>43083</v>
      </c>
      <c r="I66" s="14">
        <v>331486</v>
      </c>
      <c r="J66" s="14" t="s">
        <v>237</v>
      </c>
      <c r="K66" s="14" t="str">
        <f>A66&amp;B66&amp;C66&amp;D66&amp;E66&amp;F66&amp;G66&amp;H66&amp;I66&amp;J66&amp;[1]Sheet1!$G$5</f>
        <v>E0065Sadia AkterFemaleProductAssociate Product ManagerContractKhulna43083331486E0782Sylhet</v>
      </c>
      <c r="L66" s="14">
        <f t="shared" si="0"/>
        <v>133493.5</v>
      </c>
      <c r="M66" s="14">
        <f ca="1" t="shared" si="1"/>
        <v>8</v>
      </c>
      <c r="N66" s="15" t="str">
        <f ca="1" t="shared" si="2"/>
        <v>Experienced</v>
      </c>
    </row>
    <row r="67" spans="1:14">
      <c r="A67" s="16" t="s">
        <v>238</v>
      </c>
      <c r="B67" s="17" t="s">
        <v>239</v>
      </c>
      <c r="C67" s="17" t="s">
        <v>12</v>
      </c>
      <c r="D67" s="17" t="s">
        <v>92</v>
      </c>
      <c r="E67" s="17" t="s">
        <v>126</v>
      </c>
      <c r="F67" s="17" t="s">
        <v>22</v>
      </c>
      <c r="G67" s="17" t="s">
        <v>16</v>
      </c>
      <c r="H67" s="17">
        <v>43456</v>
      </c>
      <c r="I67" s="17">
        <v>134863</v>
      </c>
      <c r="J67" s="17" t="s">
        <v>240</v>
      </c>
      <c r="K67" s="17" t="str">
        <f>A67&amp;B67&amp;C67&amp;D67&amp;E67&amp;F67&amp;G67&amp;H67&amp;I67&amp;J67&amp;[1]Sheet1!$G$5</f>
        <v>E0066Ovi KhanFemaleMarketingSEO SpecialistInternKhulna43456134863E0831Sylhet</v>
      </c>
      <c r="L67" s="17">
        <f t="shared" ref="L67:L130" si="3">MEDIAN(I67:I1066)</f>
        <v>133251</v>
      </c>
      <c r="M67" s="17">
        <f ca="1" t="shared" ref="M67:M130" si="4">DATEDIF(H67,TODAY(),"Y")</f>
        <v>7</v>
      </c>
      <c r="N67" s="18" t="str">
        <f ca="1" t="shared" ref="N67:N130" si="5">IF(M67&lt;=2,"New",IF(M67&lt;=5,"Mid level",IF(M67&lt;=10,"Experienced","Long term")))</f>
        <v>Experienced</v>
      </c>
    </row>
    <row r="68" spans="1:14">
      <c r="A68" s="13" t="s">
        <v>241</v>
      </c>
      <c r="B68" s="14" t="s">
        <v>242</v>
      </c>
      <c r="C68" s="14" t="s">
        <v>19</v>
      </c>
      <c r="D68" s="14" t="s">
        <v>38</v>
      </c>
      <c r="E68" s="14" t="s">
        <v>66</v>
      </c>
      <c r="F68" s="14" t="s">
        <v>15</v>
      </c>
      <c r="G68" s="14" t="s">
        <v>28</v>
      </c>
      <c r="H68" s="14">
        <v>42584</v>
      </c>
      <c r="I68" s="14">
        <v>96418</v>
      </c>
      <c r="J68" s="14" t="s">
        <v>243</v>
      </c>
      <c r="K68" s="14" t="str">
        <f>A68&amp;B68&amp;C68&amp;D68&amp;E68&amp;F68&amp;G68&amp;H68&amp;I68&amp;J68&amp;[1]Sheet1!$G$5</f>
        <v>E0067Imran IslamMaleEngineeringSoftware EngineerFull-timeRemote4258496418E0179Sylhet</v>
      </c>
      <c r="L68" s="14">
        <f t="shared" si="3"/>
        <v>133075.5</v>
      </c>
      <c r="M68" s="14">
        <f ca="1" t="shared" si="4"/>
        <v>9</v>
      </c>
      <c r="N68" s="15" t="str">
        <f ca="1" t="shared" si="5"/>
        <v>Experienced</v>
      </c>
    </row>
    <row r="69" spans="1:14">
      <c r="A69" s="16" t="s">
        <v>244</v>
      </c>
      <c r="B69" s="17" t="s">
        <v>245</v>
      </c>
      <c r="C69" s="17" t="s">
        <v>19</v>
      </c>
      <c r="D69" s="17" t="s">
        <v>52</v>
      </c>
      <c r="E69" s="17" t="s">
        <v>246</v>
      </c>
      <c r="F69" s="17" t="s">
        <v>15</v>
      </c>
      <c r="G69" s="17" t="s">
        <v>16</v>
      </c>
      <c r="H69" s="17">
        <v>42889</v>
      </c>
      <c r="I69" s="17">
        <v>117217</v>
      </c>
      <c r="J69" s="17" t="s">
        <v>121</v>
      </c>
      <c r="K69" s="17" t="str">
        <f>A69&amp;B69&amp;C69&amp;D69&amp;E69&amp;F69&amp;G69&amp;H69&amp;I69&amp;J69&amp;[1]Sheet1!$G$5</f>
        <v>E0068Sumaiya AlamMaleOperationsOperations AssociateFull-timeKhulna42889117217E0161Sylhet</v>
      </c>
      <c r="L69" s="17">
        <f t="shared" si="3"/>
        <v>133251</v>
      </c>
      <c r="M69" s="17">
        <f ca="1" t="shared" si="4"/>
        <v>8</v>
      </c>
      <c r="N69" s="18" t="str">
        <f ca="1" t="shared" si="5"/>
        <v>Experienced</v>
      </c>
    </row>
    <row r="70" spans="1:14">
      <c r="A70" s="13" t="s">
        <v>247</v>
      </c>
      <c r="B70" s="14" t="s">
        <v>188</v>
      </c>
      <c r="C70" s="14" t="s">
        <v>19</v>
      </c>
      <c r="D70" s="14" t="s">
        <v>38</v>
      </c>
      <c r="E70" s="14" t="s">
        <v>66</v>
      </c>
      <c r="F70" s="14" t="s">
        <v>15</v>
      </c>
      <c r="G70" s="14" t="s">
        <v>40</v>
      </c>
      <c r="H70" s="14">
        <v>45408</v>
      </c>
      <c r="I70" s="14">
        <v>119297</v>
      </c>
      <c r="J70" s="14" t="s">
        <v>235</v>
      </c>
      <c r="K70" s="14" t="str">
        <f>A70&amp;B70&amp;C70&amp;D70&amp;E70&amp;F70&amp;G70&amp;H70&amp;I70&amp;J70&amp;[1]Sheet1!$G$5</f>
        <v>E0069Tania AhmedMaleEngineeringSoftware EngineerFull-timeDhaka45408119297E0065Sylhet</v>
      </c>
      <c r="L70" s="14">
        <f t="shared" si="3"/>
        <v>133493.5</v>
      </c>
      <c r="M70" s="14">
        <f ca="1" t="shared" si="4"/>
        <v>1</v>
      </c>
      <c r="N70" s="15" t="str">
        <f ca="1" t="shared" si="5"/>
        <v>New</v>
      </c>
    </row>
    <row r="71" spans="1:14">
      <c r="A71" s="16" t="s">
        <v>248</v>
      </c>
      <c r="B71" s="17" t="s">
        <v>249</v>
      </c>
      <c r="C71" s="17" t="s">
        <v>19</v>
      </c>
      <c r="D71" s="17" t="s">
        <v>20</v>
      </c>
      <c r="E71" s="17" t="s">
        <v>147</v>
      </c>
      <c r="F71" s="17" t="s">
        <v>15</v>
      </c>
      <c r="G71" s="17" t="s">
        <v>40</v>
      </c>
      <c r="H71" s="17">
        <v>44094</v>
      </c>
      <c r="I71" s="17">
        <v>96180</v>
      </c>
      <c r="J71" s="17" t="s">
        <v>250</v>
      </c>
      <c r="K71" s="17" t="str">
        <f>A71&amp;B71&amp;C71&amp;D71&amp;E71&amp;F71&amp;G71&amp;H71&amp;I71&amp;J71&amp;[1]Sheet1!$G$5</f>
        <v>E0070Priya TalukderMaleCustomer SuccessSupport AssociateFull-timeDhaka4409496180E0159Sylhet</v>
      </c>
      <c r="L71" s="17">
        <f t="shared" si="3"/>
        <v>133736</v>
      </c>
      <c r="M71" s="17">
        <f ca="1" t="shared" si="4"/>
        <v>5</v>
      </c>
      <c r="N71" s="18" t="str">
        <f ca="1" t="shared" si="5"/>
        <v>Mid level</v>
      </c>
    </row>
    <row r="72" spans="1:14">
      <c r="A72" s="13" t="s">
        <v>251</v>
      </c>
      <c r="B72" s="14" t="s">
        <v>252</v>
      </c>
      <c r="C72" s="14" t="s">
        <v>19</v>
      </c>
      <c r="D72" s="14" t="s">
        <v>52</v>
      </c>
      <c r="E72" s="14" t="s">
        <v>246</v>
      </c>
      <c r="F72" s="14" t="s">
        <v>15</v>
      </c>
      <c r="G72" s="14" t="s">
        <v>62</v>
      </c>
      <c r="H72" s="14">
        <v>44524</v>
      </c>
      <c r="I72" s="14">
        <v>69424</v>
      </c>
      <c r="J72" s="14" t="s">
        <v>253</v>
      </c>
      <c r="K72" s="14" t="str">
        <f>A72&amp;B72&amp;C72&amp;D72&amp;E72&amp;F72&amp;G72&amp;H72&amp;I72&amp;J72&amp;[1]Sheet1!$G$5</f>
        <v>E0071Mahin KhanMaleOperationsOperations AssociateFull-timeChattogram4452469424E0109Sylhet</v>
      </c>
      <c r="L72" s="14">
        <f t="shared" si="3"/>
        <v>133741</v>
      </c>
      <c r="M72" s="14">
        <f ca="1" t="shared" si="4"/>
        <v>4</v>
      </c>
      <c r="N72" s="15" t="str">
        <f ca="1" t="shared" si="5"/>
        <v>Mid level</v>
      </c>
    </row>
    <row r="73" spans="1:14">
      <c r="A73" s="16" t="s">
        <v>254</v>
      </c>
      <c r="B73" s="17" t="s">
        <v>255</v>
      </c>
      <c r="C73" s="17" t="s">
        <v>12</v>
      </c>
      <c r="D73" s="17" t="s">
        <v>38</v>
      </c>
      <c r="E73" s="17" t="s">
        <v>66</v>
      </c>
      <c r="F73" s="17" t="s">
        <v>15</v>
      </c>
      <c r="G73" s="17" t="s">
        <v>40</v>
      </c>
      <c r="H73" s="17">
        <v>42835</v>
      </c>
      <c r="I73" s="17">
        <v>125767</v>
      </c>
      <c r="J73" s="17" t="s">
        <v>256</v>
      </c>
      <c r="K73" s="17" t="str">
        <f>A73&amp;B73&amp;C73&amp;D73&amp;E73&amp;F73&amp;G73&amp;H73&amp;I73&amp;J73&amp;[1]Sheet1!$G$5</f>
        <v>E0072Fahim TalukderFemaleEngineeringSoftware EngineerFull-timeDhaka42835125767E0428Sylhet</v>
      </c>
      <c r="L73" s="17">
        <f t="shared" si="3"/>
        <v>133746</v>
      </c>
      <c r="M73" s="17">
        <f ca="1" t="shared" si="4"/>
        <v>8</v>
      </c>
      <c r="N73" s="18" t="str">
        <f ca="1" t="shared" si="5"/>
        <v>Experienced</v>
      </c>
    </row>
    <row r="74" spans="1:14">
      <c r="A74" s="13" t="s">
        <v>257</v>
      </c>
      <c r="B74" s="14" t="s">
        <v>258</v>
      </c>
      <c r="C74" s="14" t="s">
        <v>12</v>
      </c>
      <c r="D74" s="14" t="s">
        <v>38</v>
      </c>
      <c r="E74" s="14" t="s">
        <v>77</v>
      </c>
      <c r="F74" s="14" t="s">
        <v>15</v>
      </c>
      <c r="G74" s="14" t="s">
        <v>40</v>
      </c>
      <c r="H74" s="14">
        <v>45424</v>
      </c>
      <c r="I74" s="14">
        <v>171120</v>
      </c>
      <c r="J74" s="14" t="s">
        <v>259</v>
      </c>
      <c r="K74" s="14" t="str">
        <f>A74&amp;B74&amp;C74&amp;D74&amp;E74&amp;F74&amp;G74&amp;H74&amp;I74&amp;J74&amp;[1]Sheet1!$G$5</f>
        <v>E0073Arif TalukderFemaleEngineeringJunior Software EngineerFull-timeDhaka45424171120E0239Sylhet</v>
      </c>
      <c r="L74" s="14">
        <f t="shared" si="3"/>
        <v>133779.5</v>
      </c>
      <c r="M74" s="14">
        <f ca="1" t="shared" si="4"/>
        <v>1</v>
      </c>
      <c r="N74" s="15" t="str">
        <f ca="1" t="shared" si="5"/>
        <v>New</v>
      </c>
    </row>
    <row r="75" spans="1:14">
      <c r="A75" s="16" t="s">
        <v>260</v>
      </c>
      <c r="B75" s="17" t="s">
        <v>261</v>
      </c>
      <c r="C75" s="17" t="s">
        <v>19</v>
      </c>
      <c r="D75" s="17" t="s">
        <v>52</v>
      </c>
      <c r="E75" s="17" t="s">
        <v>246</v>
      </c>
      <c r="F75" s="17" t="s">
        <v>15</v>
      </c>
      <c r="G75" s="17" t="s">
        <v>16</v>
      </c>
      <c r="H75" s="17">
        <v>42630</v>
      </c>
      <c r="I75" s="17">
        <v>73342</v>
      </c>
      <c r="J75" s="17" t="s">
        <v>134</v>
      </c>
      <c r="K75" s="17" t="str">
        <f>A75&amp;B75&amp;C75&amp;D75&amp;E75&amp;F75&amp;G75&amp;H75&amp;I75&amp;J75&amp;[1]Sheet1!$G$5</f>
        <v>E0074Shawon AlamMaleOperationsOperations AssociateFull-timeKhulna4263073342E0630Sylhet</v>
      </c>
      <c r="L75" s="17">
        <f t="shared" si="3"/>
        <v>133746</v>
      </c>
      <c r="M75" s="17">
        <f ca="1" t="shared" si="4"/>
        <v>9</v>
      </c>
      <c r="N75" s="18" t="str">
        <f ca="1" t="shared" si="5"/>
        <v>Experienced</v>
      </c>
    </row>
    <row r="76" spans="1:14">
      <c r="A76" s="13" t="s">
        <v>262</v>
      </c>
      <c r="B76" s="14" t="s">
        <v>263</v>
      </c>
      <c r="C76" s="14" t="s">
        <v>12</v>
      </c>
      <c r="D76" s="14" t="s">
        <v>26</v>
      </c>
      <c r="E76" s="14" t="s">
        <v>27</v>
      </c>
      <c r="F76" s="14" t="s">
        <v>15</v>
      </c>
      <c r="G76" s="14" t="s">
        <v>94</v>
      </c>
      <c r="H76" s="14">
        <v>44320</v>
      </c>
      <c r="I76" s="14">
        <v>126028</v>
      </c>
      <c r="J76" s="14" t="s">
        <v>50</v>
      </c>
      <c r="K76" s="14" t="str">
        <f>A76&amp;B76&amp;C76&amp;D76&amp;E76&amp;F76&amp;G76&amp;H76&amp;I76&amp;J76&amp;[1]Sheet1!$G$5</f>
        <v>E0075Shafiq SharminFemaleFinanceFinance ManagerFull-timeRajshahi44320126028E0008Sylhet</v>
      </c>
      <c r="L76" s="14">
        <f t="shared" si="3"/>
        <v>133779.5</v>
      </c>
      <c r="M76" s="14">
        <f ca="1" t="shared" si="4"/>
        <v>4</v>
      </c>
      <c r="N76" s="15" t="str">
        <f ca="1" t="shared" si="5"/>
        <v>Mid level</v>
      </c>
    </row>
    <row r="77" spans="1:14">
      <c r="A77" s="16" t="s">
        <v>264</v>
      </c>
      <c r="B77" s="17" t="s">
        <v>265</v>
      </c>
      <c r="C77" s="17" t="s">
        <v>19</v>
      </c>
      <c r="D77" s="17" t="s">
        <v>26</v>
      </c>
      <c r="E77" s="17" t="s">
        <v>61</v>
      </c>
      <c r="F77" s="17" t="s">
        <v>15</v>
      </c>
      <c r="G77" s="17" t="s">
        <v>94</v>
      </c>
      <c r="H77" s="17">
        <v>44206</v>
      </c>
      <c r="I77" s="17">
        <v>84403</v>
      </c>
      <c r="J77" s="17" t="s">
        <v>127</v>
      </c>
      <c r="K77" s="17" t="str">
        <f>A77&amp;B77&amp;C77&amp;D77&amp;E77&amp;F77&amp;G77&amp;H77&amp;I77&amp;J77&amp;[1]Sheet1!$G$5</f>
        <v>E0076Rashed MiahMaleFinanceFinancial AnalystFull-timeRajshahi4420684403E0755Sylhet</v>
      </c>
      <c r="L77" s="17">
        <f t="shared" si="3"/>
        <v>133813</v>
      </c>
      <c r="M77" s="17">
        <f ca="1" t="shared" si="4"/>
        <v>5</v>
      </c>
      <c r="N77" s="18" t="str">
        <f ca="1" t="shared" si="5"/>
        <v>Mid level</v>
      </c>
    </row>
    <row r="78" spans="1:14">
      <c r="A78" s="13" t="s">
        <v>266</v>
      </c>
      <c r="B78" s="14" t="s">
        <v>267</v>
      </c>
      <c r="C78" s="14" t="s">
        <v>12</v>
      </c>
      <c r="D78" s="14" t="s">
        <v>52</v>
      </c>
      <c r="E78" s="14" t="s">
        <v>120</v>
      </c>
      <c r="F78" s="14" t="s">
        <v>15</v>
      </c>
      <c r="G78" s="14" t="s">
        <v>94</v>
      </c>
      <c r="H78" s="14">
        <v>45556</v>
      </c>
      <c r="I78" s="14">
        <v>58098</v>
      </c>
      <c r="J78" s="14" t="s">
        <v>179</v>
      </c>
      <c r="K78" s="14" t="str">
        <f>A78&amp;B78&amp;C78&amp;D78&amp;E78&amp;F78&amp;G78&amp;H78&amp;I78&amp;J78&amp;[1]Sheet1!$G$5</f>
        <v>E0077Sajid SarkerFemaleOperationsSupply Chain AnalystFull-timeRajshahi4555658098E0045Sylhet</v>
      </c>
      <c r="L78" s="14">
        <f t="shared" si="3"/>
        <v>133901</v>
      </c>
      <c r="M78" s="14">
        <f ca="1" t="shared" si="4"/>
        <v>1</v>
      </c>
      <c r="N78" s="15" t="str">
        <f ca="1" t="shared" si="5"/>
        <v>New</v>
      </c>
    </row>
    <row r="79" spans="1:14">
      <c r="A79" s="16" t="s">
        <v>268</v>
      </c>
      <c r="B79" s="17" t="s">
        <v>269</v>
      </c>
      <c r="C79" s="17" t="s">
        <v>19</v>
      </c>
      <c r="D79" s="17" t="s">
        <v>38</v>
      </c>
      <c r="E79" s="17" t="s">
        <v>44</v>
      </c>
      <c r="F79" s="17" t="s">
        <v>15</v>
      </c>
      <c r="G79" s="17" t="s">
        <v>34</v>
      </c>
      <c r="H79" s="17">
        <v>43852</v>
      </c>
      <c r="I79" s="17">
        <v>173927</v>
      </c>
      <c r="J79" s="17" t="s">
        <v>58</v>
      </c>
      <c r="K79" s="17" t="str">
        <f>A79&amp;B79&amp;C79&amp;D79&amp;E79&amp;F79&amp;G79&amp;H79&amp;I79&amp;J79&amp;[1]Sheet1!$G$5</f>
        <v>E0078Sumaiya HossainMaleEngineeringQA EngineerFull-timeSylhet43852173927E0314Sylhet</v>
      </c>
      <c r="L79" s="17">
        <f t="shared" si="3"/>
        <v>133989</v>
      </c>
      <c r="M79" s="17">
        <f ca="1" t="shared" si="4"/>
        <v>6</v>
      </c>
      <c r="N79" s="18" t="str">
        <f ca="1" t="shared" si="5"/>
        <v>Experienced</v>
      </c>
    </row>
    <row r="80" spans="1:14">
      <c r="A80" s="13" t="s">
        <v>270</v>
      </c>
      <c r="B80" s="14" t="s">
        <v>271</v>
      </c>
      <c r="C80" s="14" t="s">
        <v>19</v>
      </c>
      <c r="D80" s="14" t="s">
        <v>13</v>
      </c>
      <c r="E80" s="14" t="s">
        <v>14</v>
      </c>
      <c r="F80" s="14" t="s">
        <v>48</v>
      </c>
      <c r="G80" s="14" t="s">
        <v>16</v>
      </c>
      <c r="H80" s="14">
        <v>44472</v>
      </c>
      <c r="I80" s="14">
        <v>149187</v>
      </c>
      <c r="J80" s="14" t="s">
        <v>240</v>
      </c>
      <c r="K80" s="14" t="str">
        <f>A80&amp;B80&amp;C80&amp;D80&amp;E80&amp;F80&amp;G80&amp;H80&amp;I80&amp;J80&amp;[1]Sheet1!$G$5</f>
        <v>E0079Tasnim SultanaMaleSalesSales AssociateContractKhulna44472149187E0831Sylhet</v>
      </c>
      <c r="L80" s="14">
        <f t="shared" si="3"/>
        <v>133901</v>
      </c>
      <c r="M80" s="14">
        <f ca="1" t="shared" si="4"/>
        <v>4</v>
      </c>
      <c r="N80" s="15" t="str">
        <f ca="1" t="shared" si="5"/>
        <v>Mid level</v>
      </c>
    </row>
    <row r="81" spans="1:14">
      <c r="A81" s="16" t="s">
        <v>272</v>
      </c>
      <c r="B81" s="17" t="s">
        <v>273</v>
      </c>
      <c r="C81" s="17" t="s">
        <v>19</v>
      </c>
      <c r="D81" s="17" t="s">
        <v>38</v>
      </c>
      <c r="E81" s="17" t="s">
        <v>84</v>
      </c>
      <c r="F81" s="17" t="s">
        <v>15</v>
      </c>
      <c r="G81" s="17" t="s">
        <v>40</v>
      </c>
      <c r="H81" s="17">
        <v>44801</v>
      </c>
      <c r="I81" s="17">
        <v>278581</v>
      </c>
      <c r="J81" s="17" t="s">
        <v>274</v>
      </c>
      <c r="K81" s="17" t="str">
        <f>A81&amp;B81&amp;C81&amp;D81&amp;E81&amp;F81&amp;G81&amp;H81&amp;I81&amp;J81&amp;[1]Sheet1!$G$5</f>
        <v>E0080Tamanna BiswasMaleEngineeringEngineering ManagerFull-timeDhaka44801278581E0657Sylhet</v>
      </c>
      <c r="L81" s="17">
        <f t="shared" si="3"/>
        <v>133813</v>
      </c>
      <c r="M81" s="17">
        <f ca="1" t="shared" si="4"/>
        <v>3</v>
      </c>
      <c r="N81" s="18" t="str">
        <f ca="1" t="shared" si="5"/>
        <v>Mid level</v>
      </c>
    </row>
    <row r="82" spans="1:14">
      <c r="A82" s="13" t="s">
        <v>275</v>
      </c>
      <c r="B82" s="14" t="s">
        <v>276</v>
      </c>
      <c r="C82" s="14" t="s">
        <v>12</v>
      </c>
      <c r="D82" s="14" t="s">
        <v>52</v>
      </c>
      <c r="E82" s="14" t="s">
        <v>53</v>
      </c>
      <c r="F82" s="14" t="s">
        <v>15</v>
      </c>
      <c r="G82" s="14" t="s">
        <v>94</v>
      </c>
      <c r="H82" s="14">
        <v>42816</v>
      </c>
      <c r="I82" s="14">
        <v>75559</v>
      </c>
      <c r="J82" s="14" t="s">
        <v>277</v>
      </c>
      <c r="K82" s="14" t="str">
        <f>A82&amp;B82&amp;C82&amp;D82&amp;E82&amp;F82&amp;G82&amp;H82&amp;I82&amp;J82&amp;[1]Sheet1!$G$5</f>
        <v>E0081Lamia AkterFemaleOperationsOperations ManagerFull-timeRajshahi4281675559E0278Sylhet</v>
      </c>
      <c r="L82" s="14">
        <f t="shared" si="3"/>
        <v>133779.5</v>
      </c>
      <c r="M82" s="14">
        <f ca="1" t="shared" si="4"/>
        <v>8</v>
      </c>
      <c r="N82" s="15" t="str">
        <f ca="1" t="shared" si="5"/>
        <v>Experienced</v>
      </c>
    </row>
    <row r="83" spans="1:14">
      <c r="A83" s="16" t="s">
        <v>278</v>
      </c>
      <c r="B83" s="17" t="s">
        <v>279</v>
      </c>
      <c r="C83" s="17" t="s">
        <v>19</v>
      </c>
      <c r="D83" s="17" t="s">
        <v>32</v>
      </c>
      <c r="E83" s="17" t="s">
        <v>57</v>
      </c>
      <c r="F83" s="17" t="s">
        <v>15</v>
      </c>
      <c r="G83" s="17" t="s">
        <v>94</v>
      </c>
      <c r="H83" s="17">
        <v>44221</v>
      </c>
      <c r="I83" s="17">
        <v>84502</v>
      </c>
      <c r="J83" s="17" t="s">
        <v>280</v>
      </c>
      <c r="K83" s="17" t="str">
        <f>A83&amp;B83&amp;C83&amp;D83&amp;E83&amp;F83&amp;G83&amp;H83&amp;I83&amp;J83&amp;[1]Sheet1!$G$5</f>
        <v>E0082Rahim IslamMaleHRHR AssociateFull-timeRajshahi4422184502E0617Sylhet</v>
      </c>
      <c r="L83" s="17">
        <f t="shared" si="3"/>
        <v>133813</v>
      </c>
      <c r="M83" s="17">
        <f ca="1" t="shared" si="4"/>
        <v>5</v>
      </c>
      <c r="N83" s="18" t="str">
        <f ca="1" t="shared" si="5"/>
        <v>Mid level</v>
      </c>
    </row>
    <row r="84" spans="1:14">
      <c r="A84" s="13" t="s">
        <v>281</v>
      </c>
      <c r="B84" s="14" t="s">
        <v>282</v>
      </c>
      <c r="C84" s="14" t="s">
        <v>12</v>
      </c>
      <c r="D84" s="14" t="s">
        <v>13</v>
      </c>
      <c r="E84" s="14" t="s">
        <v>165</v>
      </c>
      <c r="F84" s="14" t="s">
        <v>15</v>
      </c>
      <c r="G84" s="14" t="s">
        <v>62</v>
      </c>
      <c r="H84" s="14">
        <v>44433</v>
      </c>
      <c r="I84" s="14">
        <v>152331</v>
      </c>
      <c r="J84" s="14" t="s">
        <v>230</v>
      </c>
      <c r="K84" s="14" t="str">
        <f>A84&amp;B84&amp;C84&amp;D84&amp;E84&amp;F84&amp;G84&amp;H84&amp;I84&amp;J84&amp;[1]Sheet1!$G$5</f>
        <v>E0083Ayesha BanuFemaleSalesAccount ExecutiveFull-timeChattogram44433152331E0063Sylhet</v>
      </c>
      <c r="L84" s="14">
        <f t="shared" si="3"/>
        <v>133901</v>
      </c>
      <c r="M84" s="14">
        <f ca="1" t="shared" si="4"/>
        <v>4</v>
      </c>
      <c r="N84" s="15" t="str">
        <f ca="1" t="shared" si="5"/>
        <v>Mid level</v>
      </c>
    </row>
    <row r="85" spans="1:14">
      <c r="A85" s="16" t="s">
        <v>283</v>
      </c>
      <c r="B85" s="17" t="s">
        <v>284</v>
      </c>
      <c r="C85" s="17" t="s">
        <v>12</v>
      </c>
      <c r="D85" s="17" t="s">
        <v>38</v>
      </c>
      <c r="E85" s="17" t="s">
        <v>39</v>
      </c>
      <c r="F85" s="17" t="s">
        <v>15</v>
      </c>
      <c r="G85" s="17" t="s">
        <v>62</v>
      </c>
      <c r="H85" s="17">
        <v>43277</v>
      </c>
      <c r="I85" s="17">
        <v>195944</v>
      </c>
      <c r="J85" s="17" t="s">
        <v>285</v>
      </c>
      <c r="K85" s="17" t="str">
        <f>A85&amp;B85&amp;C85&amp;D85&amp;E85&amp;F85&amp;G85&amp;H85&amp;I85&amp;J85&amp;[1]Sheet1!$G$5</f>
        <v>E0084Tamanna RasheedFemaleEngineeringDevOps EngineerFull-timeChattogram43277195944E0310Sylhet</v>
      </c>
      <c r="L85" s="17">
        <f t="shared" si="3"/>
        <v>133813</v>
      </c>
      <c r="M85" s="17">
        <f ca="1" t="shared" si="4"/>
        <v>7</v>
      </c>
      <c r="N85" s="18" t="str">
        <f ca="1" t="shared" si="5"/>
        <v>Experienced</v>
      </c>
    </row>
    <row r="86" spans="1:14">
      <c r="A86" s="13" t="s">
        <v>286</v>
      </c>
      <c r="B86" s="14" t="s">
        <v>287</v>
      </c>
      <c r="C86" s="14" t="s">
        <v>19</v>
      </c>
      <c r="D86" s="14" t="s">
        <v>87</v>
      </c>
      <c r="E86" s="14" t="s">
        <v>111</v>
      </c>
      <c r="F86" s="14" t="s">
        <v>15</v>
      </c>
      <c r="G86" s="14" t="s">
        <v>94</v>
      </c>
      <c r="H86" s="14">
        <v>44889</v>
      </c>
      <c r="I86" s="14">
        <v>268922</v>
      </c>
      <c r="J86" s="14" t="s">
        <v>288</v>
      </c>
      <c r="K86" s="14" t="str">
        <f>A86&amp;B86&amp;C86&amp;D86&amp;E86&amp;F86&amp;G86&amp;H86&amp;I86&amp;J86&amp;[1]Sheet1!$G$5</f>
        <v>E0085Rahim KhanMaleProductSenior Product ManagerFull-timeRajshahi44889268922E0172Sylhet</v>
      </c>
      <c r="L86" s="14">
        <f t="shared" si="3"/>
        <v>133779.5</v>
      </c>
      <c r="M86" s="14">
        <f ca="1" t="shared" si="4"/>
        <v>3</v>
      </c>
      <c r="N86" s="15" t="str">
        <f ca="1" t="shared" si="5"/>
        <v>Mid level</v>
      </c>
    </row>
    <row r="87" spans="1:14">
      <c r="A87" s="16" t="s">
        <v>289</v>
      </c>
      <c r="B87" s="17" t="s">
        <v>290</v>
      </c>
      <c r="C87" s="17" t="s">
        <v>19</v>
      </c>
      <c r="D87" s="17" t="s">
        <v>13</v>
      </c>
      <c r="E87" s="17" t="s">
        <v>165</v>
      </c>
      <c r="F87" s="17" t="s">
        <v>15</v>
      </c>
      <c r="G87" s="17" t="s">
        <v>62</v>
      </c>
      <c r="H87" s="17">
        <v>42547</v>
      </c>
      <c r="I87" s="17">
        <v>198013</v>
      </c>
      <c r="J87" s="17" t="s">
        <v>166</v>
      </c>
      <c r="K87" s="17" t="str">
        <f>A87&amp;B87&amp;C87&amp;D87&amp;E87&amp;F87&amp;G87&amp;H87&amp;I87&amp;J87&amp;[1]Sheet1!$G$5</f>
        <v>E0086Mitu RahmanMaleSalesAccount ExecutiveFull-timeChattogram42547198013E0849Sylhet</v>
      </c>
      <c r="L87" s="17">
        <f t="shared" si="3"/>
        <v>133746</v>
      </c>
      <c r="M87" s="17">
        <f ca="1" t="shared" si="4"/>
        <v>9</v>
      </c>
      <c r="N87" s="18" t="str">
        <f ca="1" t="shared" si="5"/>
        <v>Experienced</v>
      </c>
    </row>
    <row r="88" spans="1:14">
      <c r="A88" s="13" t="s">
        <v>291</v>
      </c>
      <c r="B88" s="14" t="s">
        <v>292</v>
      </c>
      <c r="C88" s="14" t="s">
        <v>293</v>
      </c>
      <c r="D88" s="14" t="s">
        <v>26</v>
      </c>
      <c r="E88" s="14" t="s">
        <v>294</v>
      </c>
      <c r="F88" s="14" t="s">
        <v>15</v>
      </c>
      <c r="G88" s="14" t="s">
        <v>16</v>
      </c>
      <c r="H88" s="14">
        <v>45348</v>
      </c>
      <c r="I88" s="14">
        <v>266602</v>
      </c>
      <c r="J88" s="14" t="s">
        <v>295</v>
      </c>
      <c r="K88" s="14" t="str">
        <f>A88&amp;B88&amp;C88&amp;D88&amp;E88&amp;F88&amp;G88&amp;H88&amp;I88&amp;J88&amp;[1]Sheet1!$G$5</f>
        <v>E0087Karim KabirPrefer not to sayFinanceSenior Financial AnalystFull-timeKhulna45348266602E0420Sylhet</v>
      </c>
      <c r="L88" s="14">
        <f t="shared" si="3"/>
        <v>133741</v>
      </c>
      <c r="M88" s="14">
        <f ca="1" t="shared" si="4"/>
        <v>2</v>
      </c>
      <c r="N88" s="15" t="str">
        <f ca="1" t="shared" si="5"/>
        <v>New</v>
      </c>
    </row>
    <row r="89" spans="1:14">
      <c r="A89" s="16" t="s">
        <v>296</v>
      </c>
      <c r="B89" s="17" t="s">
        <v>297</v>
      </c>
      <c r="C89" s="17" t="s">
        <v>19</v>
      </c>
      <c r="D89" s="17" t="s">
        <v>32</v>
      </c>
      <c r="E89" s="17" t="s">
        <v>57</v>
      </c>
      <c r="F89" s="17" t="s">
        <v>15</v>
      </c>
      <c r="G89" s="17" t="s">
        <v>94</v>
      </c>
      <c r="H89" s="17">
        <v>45578</v>
      </c>
      <c r="I89" s="17">
        <v>136974</v>
      </c>
      <c r="J89" s="17" t="s">
        <v>298</v>
      </c>
      <c r="K89" s="17" t="str">
        <f>A89&amp;B89&amp;C89&amp;D89&amp;E89&amp;F89&amp;G89&amp;H89&amp;I89&amp;J89&amp;[1]Sheet1!$G$5</f>
        <v>E0088Mitu ChowdhuryMaleHRHR AssociateFull-timeRajshahi45578136974E0404Sylhet</v>
      </c>
      <c r="L89" s="17">
        <f t="shared" si="3"/>
        <v>133736</v>
      </c>
      <c r="M89" s="17">
        <f ca="1" t="shared" si="4"/>
        <v>1</v>
      </c>
      <c r="N89" s="18" t="str">
        <f ca="1" t="shared" si="5"/>
        <v>New</v>
      </c>
    </row>
    <row r="90" spans="1:14">
      <c r="A90" s="13" t="s">
        <v>299</v>
      </c>
      <c r="B90" s="14" t="s">
        <v>300</v>
      </c>
      <c r="C90" s="14" t="s">
        <v>19</v>
      </c>
      <c r="D90" s="14" t="s">
        <v>52</v>
      </c>
      <c r="E90" s="14" t="s">
        <v>53</v>
      </c>
      <c r="F90" s="14" t="s">
        <v>15</v>
      </c>
      <c r="G90" s="14" t="s">
        <v>34</v>
      </c>
      <c r="H90" s="14">
        <v>45068</v>
      </c>
      <c r="I90" s="14">
        <v>127230</v>
      </c>
      <c r="J90" s="14"/>
      <c r="K90" s="14" t="str">
        <f>A90&amp;B90&amp;C90&amp;D90&amp;E90&amp;F90&amp;G90&amp;H90&amp;I90&amp;J90&amp;[1]Sheet1!$G$5</f>
        <v>E0089Nabila SultanaMaleOperationsOperations ManagerFull-timeSylhet45068127230Sylhet</v>
      </c>
      <c r="L90" s="14">
        <f t="shared" si="3"/>
        <v>133493.5</v>
      </c>
      <c r="M90" s="14">
        <f ca="1" t="shared" si="4"/>
        <v>2</v>
      </c>
      <c r="N90" s="15" t="str">
        <f ca="1" t="shared" si="5"/>
        <v>New</v>
      </c>
    </row>
    <row r="91" spans="1:14">
      <c r="A91" s="16" t="s">
        <v>301</v>
      </c>
      <c r="B91" s="17" t="s">
        <v>302</v>
      </c>
      <c r="C91" s="17" t="s">
        <v>19</v>
      </c>
      <c r="D91" s="17" t="s">
        <v>92</v>
      </c>
      <c r="E91" s="17" t="s">
        <v>189</v>
      </c>
      <c r="F91" s="17" t="s">
        <v>48</v>
      </c>
      <c r="G91" s="17" t="s">
        <v>94</v>
      </c>
      <c r="H91" s="17">
        <v>44505</v>
      </c>
      <c r="I91" s="17">
        <v>147356</v>
      </c>
      <c r="J91" s="17" t="s">
        <v>303</v>
      </c>
      <c r="K91" s="17" t="str">
        <f>A91&amp;B91&amp;C91&amp;D91&amp;E91&amp;F91&amp;G91&amp;H91&amp;I91&amp;J91&amp;[1]Sheet1!$G$5</f>
        <v>E0090Tamanna ParvinMaleMarketingMarketing AssociateContractRajshahi44505147356E0196Sylhet</v>
      </c>
      <c r="L91" s="17">
        <f t="shared" si="3"/>
        <v>133736</v>
      </c>
      <c r="M91" s="17">
        <f ca="1" t="shared" si="4"/>
        <v>4</v>
      </c>
      <c r="N91" s="18" t="str">
        <f ca="1" t="shared" si="5"/>
        <v>Mid level</v>
      </c>
    </row>
    <row r="92" spans="1:14">
      <c r="A92" s="13" t="s">
        <v>304</v>
      </c>
      <c r="B92" s="14" t="s">
        <v>305</v>
      </c>
      <c r="C92" s="14" t="s">
        <v>19</v>
      </c>
      <c r="D92" s="14" t="s">
        <v>38</v>
      </c>
      <c r="E92" s="14" t="s">
        <v>84</v>
      </c>
      <c r="F92" s="14" t="s">
        <v>15</v>
      </c>
      <c r="G92" s="14" t="s">
        <v>28</v>
      </c>
      <c r="H92" s="14">
        <v>43605</v>
      </c>
      <c r="I92" s="14">
        <v>161402</v>
      </c>
      <c r="J92" s="14" t="s">
        <v>306</v>
      </c>
      <c r="K92" s="14" t="str">
        <f>A92&amp;B92&amp;C92&amp;D92&amp;E92&amp;F92&amp;G92&amp;H92&amp;I92&amp;J92&amp;[1]Sheet1!$G$5</f>
        <v>E0091Nafiz FerdousMaleEngineeringEngineering ManagerFull-timeRemote43605161402E0330Sylhet</v>
      </c>
      <c r="L92" s="14">
        <f t="shared" si="3"/>
        <v>133493.5</v>
      </c>
      <c r="M92" s="14">
        <f ca="1" t="shared" si="4"/>
        <v>6</v>
      </c>
      <c r="N92" s="15" t="str">
        <f ca="1" t="shared" si="5"/>
        <v>Experienced</v>
      </c>
    </row>
    <row r="93" spans="1:14">
      <c r="A93" s="16" t="s">
        <v>307</v>
      </c>
      <c r="B93" s="17" t="s">
        <v>308</v>
      </c>
      <c r="C93" s="17" t="s">
        <v>12</v>
      </c>
      <c r="D93" s="17" t="s">
        <v>26</v>
      </c>
      <c r="E93" s="17" t="s">
        <v>294</v>
      </c>
      <c r="F93" s="17" t="s">
        <v>22</v>
      </c>
      <c r="G93" s="17" t="s">
        <v>16</v>
      </c>
      <c r="H93" s="17">
        <v>44246</v>
      </c>
      <c r="I93" s="17">
        <v>233536</v>
      </c>
      <c r="J93" s="17" t="s">
        <v>309</v>
      </c>
      <c r="K93" s="17" t="str">
        <f>A93&amp;B93&amp;C93&amp;D93&amp;E93&amp;F93&amp;G93&amp;H93&amp;I93&amp;J93&amp;[1]Sheet1!$G$5</f>
        <v>E0092Nabila SharminFemaleFinanceSenior Financial AnalystInternKhulna44246233536E0197Sylhet</v>
      </c>
      <c r="L93" s="17">
        <f t="shared" si="3"/>
        <v>133251</v>
      </c>
      <c r="M93" s="17">
        <f ca="1" t="shared" si="4"/>
        <v>5</v>
      </c>
      <c r="N93" s="18" t="str">
        <f ca="1" t="shared" si="5"/>
        <v>Mid level</v>
      </c>
    </row>
    <row r="94" spans="1:14">
      <c r="A94" s="13" t="s">
        <v>310</v>
      </c>
      <c r="B94" s="14" t="s">
        <v>311</v>
      </c>
      <c r="C94" s="14" t="s">
        <v>12</v>
      </c>
      <c r="D94" s="14" t="s">
        <v>26</v>
      </c>
      <c r="E94" s="14" t="s">
        <v>294</v>
      </c>
      <c r="F94" s="14" t="s">
        <v>15</v>
      </c>
      <c r="G94" s="14" t="s">
        <v>40</v>
      </c>
      <c r="H94" s="14">
        <v>45005</v>
      </c>
      <c r="I94" s="14">
        <v>257374</v>
      </c>
      <c r="J94" s="14" t="s">
        <v>274</v>
      </c>
      <c r="K94" s="14" t="str">
        <f>A94&amp;B94&amp;C94&amp;D94&amp;E94&amp;F94&amp;G94&amp;H94&amp;I94&amp;J94&amp;[1]Sheet1!$G$5</f>
        <v>E0093Rafi SultanaFemaleFinanceSenior Financial AnalystFull-timeDhaka45005257374E0657Sylhet</v>
      </c>
      <c r="L94" s="14">
        <f t="shared" si="3"/>
        <v>133075.5</v>
      </c>
      <c r="M94" s="14">
        <f ca="1" t="shared" si="4"/>
        <v>2</v>
      </c>
      <c r="N94" s="15" t="str">
        <f ca="1" t="shared" si="5"/>
        <v>New</v>
      </c>
    </row>
    <row r="95" spans="1:14">
      <c r="A95" s="16" t="s">
        <v>312</v>
      </c>
      <c r="B95" s="17" t="s">
        <v>313</v>
      </c>
      <c r="C95" s="17" t="s">
        <v>19</v>
      </c>
      <c r="D95" s="17" t="s">
        <v>92</v>
      </c>
      <c r="E95" s="17" t="s">
        <v>93</v>
      </c>
      <c r="F95" s="17" t="s">
        <v>15</v>
      </c>
      <c r="G95" s="17" t="s">
        <v>16</v>
      </c>
      <c r="H95" s="17">
        <v>42497</v>
      </c>
      <c r="I95" s="17">
        <v>91158</v>
      </c>
      <c r="J95" s="17" t="s">
        <v>190</v>
      </c>
      <c r="K95" s="17" t="str">
        <f>A95&amp;B95&amp;C95&amp;D95&amp;E95&amp;F95&amp;G95&amp;H95&amp;I95&amp;J95&amp;[1]Sheet1!$G$5</f>
        <v>E0094Arif MiahMaleMarketingGrowth MarketerFull-timeKhulna4249791158E0592Sylhet</v>
      </c>
      <c r="L95" s="17">
        <f t="shared" si="3"/>
        <v>132900</v>
      </c>
      <c r="M95" s="17">
        <f ca="1" t="shared" si="4"/>
        <v>9</v>
      </c>
      <c r="N95" s="18" t="str">
        <f ca="1" t="shared" si="5"/>
        <v>Experienced</v>
      </c>
    </row>
    <row r="96" spans="1:14">
      <c r="A96" s="13" t="s">
        <v>314</v>
      </c>
      <c r="B96" s="14" t="s">
        <v>315</v>
      </c>
      <c r="C96" s="14" t="s">
        <v>19</v>
      </c>
      <c r="D96" s="14" t="s">
        <v>52</v>
      </c>
      <c r="E96" s="14" t="s">
        <v>246</v>
      </c>
      <c r="F96" s="14" t="s">
        <v>15</v>
      </c>
      <c r="G96" s="14" t="s">
        <v>16</v>
      </c>
      <c r="H96" s="14">
        <v>42619</v>
      </c>
      <c r="I96" s="14">
        <v>106333</v>
      </c>
      <c r="J96" s="14" t="s">
        <v>316</v>
      </c>
      <c r="K96" s="14" t="str">
        <f>A96&amp;B96&amp;C96&amp;D96&amp;E96&amp;F96&amp;G96&amp;H96&amp;I96&amp;J96&amp;[1]Sheet1!$G$5</f>
        <v>E0095Shawon FerdousMaleOperationsOperations AssociateFull-timeKhulna42619106333E0684Sylhet</v>
      </c>
      <c r="L96" s="14">
        <f t="shared" si="3"/>
        <v>133075.5</v>
      </c>
      <c r="M96" s="14">
        <f ca="1" t="shared" si="4"/>
        <v>9</v>
      </c>
      <c r="N96" s="15" t="str">
        <f ca="1" t="shared" si="5"/>
        <v>Experienced</v>
      </c>
    </row>
    <row r="97" spans="1:14">
      <c r="A97" s="16" t="s">
        <v>317</v>
      </c>
      <c r="B97" s="17" t="s">
        <v>318</v>
      </c>
      <c r="C97" s="17" t="s">
        <v>19</v>
      </c>
      <c r="D97" s="17" t="s">
        <v>92</v>
      </c>
      <c r="E97" s="17" t="s">
        <v>189</v>
      </c>
      <c r="F97" s="17" t="s">
        <v>15</v>
      </c>
      <c r="G97" s="17" t="s">
        <v>28</v>
      </c>
      <c r="H97" s="17">
        <v>44331</v>
      </c>
      <c r="I97" s="17">
        <v>75235</v>
      </c>
      <c r="J97" s="17"/>
      <c r="K97" s="17" t="str">
        <f>A97&amp;B97&amp;C97&amp;D97&amp;E97&amp;F97&amp;G97&amp;H97&amp;I97&amp;J97&amp;[1]Sheet1!$G$5</f>
        <v>E0096Fahim SharminMaleMarketingMarketing AssociateFull-timeRemote4433175235Sylhet</v>
      </c>
      <c r="L97" s="17">
        <f t="shared" si="3"/>
        <v>133251</v>
      </c>
      <c r="M97" s="17">
        <f ca="1" t="shared" si="4"/>
        <v>4</v>
      </c>
      <c r="N97" s="18" t="str">
        <f ca="1" t="shared" si="5"/>
        <v>Mid level</v>
      </c>
    </row>
    <row r="98" spans="1:14">
      <c r="A98" s="13" t="s">
        <v>319</v>
      </c>
      <c r="B98" s="14" t="s">
        <v>211</v>
      </c>
      <c r="C98" s="14" t="s">
        <v>293</v>
      </c>
      <c r="D98" s="14" t="s">
        <v>92</v>
      </c>
      <c r="E98" s="14" t="s">
        <v>189</v>
      </c>
      <c r="F98" s="14" t="s">
        <v>48</v>
      </c>
      <c r="G98" s="14" t="s">
        <v>40</v>
      </c>
      <c r="H98" s="14">
        <v>45840</v>
      </c>
      <c r="I98" s="14">
        <v>60785</v>
      </c>
      <c r="J98" s="14" t="s">
        <v>226</v>
      </c>
      <c r="K98" s="14" t="str">
        <f>A98&amp;B98&amp;C98&amp;D98&amp;E98&amp;F98&amp;G98&amp;H98&amp;I98&amp;J98&amp;[1]Sheet1!$G$5</f>
        <v>E0097Sadia RasheedPrefer not to sayMarketingMarketing AssociateContractDhaka4584060785E0453Sylhet</v>
      </c>
      <c r="L98" s="14">
        <f t="shared" si="3"/>
        <v>133493.5</v>
      </c>
      <c r="M98" s="14">
        <f ca="1" t="shared" si="4"/>
        <v>0</v>
      </c>
      <c r="N98" s="15" t="str">
        <f ca="1" t="shared" si="5"/>
        <v>New</v>
      </c>
    </row>
    <row r="99" spans="1:14">
      <c r="A99" s="16" t="s">
        <v>320</v>
      </c>
      <c r="B99" s="17" t="s">
        <v>321</v>
      </c>
      <c r="C99" s="17" t="s">
        <v>19</v>
      </c>
      <c r="D99" s="17" t="s">
        <v>13</v>
      </c>
      <c r="E99" s="17" t="s">
        <v>14</v>
      </c>
      <c r="F99" s="17" t="s">
        <v>15</v>
      </c>
      <c r="G99" s="17" t="s">
        <v>40</v>
      </c>
      <c r="H99" s="17">
        <v>44015</v>
      </c>
      <c r="I99" s="17">
        <v>55786</v>
      </c>
      <c r="J99" s="17" t="s">
        <v>322</v>
      </c>
      <c r="K99" s="17" t="str">
        <f>A99&amp;B99&amp;C99&amp;D99&amp;E99&amp;F99&amp;G99&amp;H99&amp;I99&amp;J99&amp;[1]Sheet1!$G$5</f>
        <v>E0098Rashed TalukderMaleSalesSales AssociateFull-timeDhaka4401555786E0672Sylhet</v>
      </c>
      <c r="L99" s="17">
        <f t="shared" si="3"/>
        <v>133736</v>
      </c>
      <c r="M99" s="17">
        <f ca="1" t="shared" si="4"/>
        <v>5</v>
      </c>
      <c r="N99" s="18" t="str">
        <f ca="1" t="shared" si="5"/>
        <v>Mid level</v>
      </c>
    </row>
    <row r="100" spans="1:14">
      <c r="A100" s="13" t="s">
        <v>323</v>
      </c>
      <c r="B100" s="14" t="s">
        <v>324</v>
      </c>
      <c r="C100" s="14" t="s">
        <v>146</v>
      </c>
      <c r="D100" s="14" t="s">
        <v>38</v>
      </c>
      <c r="E100" s="14" t="s">
        <v>39</v>
      </c>
      <c r="F100" s="14" t="s">
        <v>15</v>
      </c>
      <c r="G100" s="14" t="s">
        <v>34</v>
      </c>
      <c r="H100" s="14">
        <v>44116</v>
      </c>
      <c r="I100" s="14">
        <v>134271</v>
      </c>
      <c r="J100" s="14" t="s">
        <v>325</v>
      </c>
      <c r="K100" s="14" t="str">
        <f>A100&amp;B100&amp;C100&amp;D100&amp;E100&amp;F100&amp;G100&amp;H100&amp;I100&amp;J100&amp;[1]Sheet1!$G$5</f>
        <v>E0099Karim ShahNon-binaryEngineeringDevOps EngineerFull-timeSylhet44116134271E0663Sylhet</v>
      </c>
      <c r="L100" s="14">
        <f t="shared" si="3"/>
        <v>133741</v>
      </c>
      <c r="M100" s="14">
        <f ca="1" t="shared" si="4"/>
        <v>5</v>
      </c>
      <c r="N100" s="15" t="str">
        <f ca="1" t="shared" si="5"/>
        <v>Mid level</v>
      </c>
    </row>
    <row r="101" spans="1:14">
      <c r="A101" s="16" t="s">
        <v>326</v>
      </c>
      <c r="B101" s="17" t="s">
        <v>327</v>
      </c>
      <c r="C101" s="17" t="s">
        <v>12</v>
      </c>
      <c r="D101" s="17" t="s">
        <v>38</v>
      </c>
      <c r="E101" s="17" t="s">
        <v>66</v>
      </c>
      <c r="F101" s="17" t="s">
        <v>15</v>
      </c>
      <c r="G101" s="17" t="s">
        <v>34</v>
      </c>
      <c r="H101" s="17">
        <v>45180</v>
      </c>
      <c r="I101" s="17">
        <v>156178</v>
      </c>
      <c r="J101" s="17" t="s">
        <v>179</v>
      </c>
      <c r="K101" s="17" t="str">
        <f>A101&amp;B101&amp;C101&amp;D101&amp;E101&amp;F101&amp;G101&amp;H101&amp;I101&amp;J101&amp;[1]Sheet1!$G$5</f>
        <v>E0100Sadia SadiqFemaleEngineeringSoftware EngineerFull-timeSylhet45180156178E0045Sylhet</v>
      </c>
      <c r="L101" s="17">
        <f t="shared" si="3"/>
        <v>133736</v>
      </c>
      <c r="M101" s="17">
        <f ca="1" t="shared" si="4"/>
        <v>2</v>
      </c>
      <c r="N101" s="18" t="str">
        <f ca="1" t="shared" si="5"/>
        <v>New</v>
      </c>
    </row>
    <row r="102" spans="1:14">
      <c r="A102" s="13" t="s">
        <v>328</v>
      </c>
      <c r="B102" s="14" t="s">
        <v>329</v>
      </c>
      <c r="C102" s="14" t="s">
        <v>19</v>
      </c>
      <c r="D102" s="14" t="s">
        <v>38</v>
      </c>
      <c r="E102" s="14" t="s">
        <v>77</v>
      </c>
      <c r="F102" s="14" t="s">
        <v>48</v>
      </c>
      <c r="G102" s="14" t="s">
        <v>94</v>
      </c>
      <c r="H102" s="14">
        <v>42812</v>
      </c>
      <c r="I102" s="14">
        <v>131877</v>
      </c>
      <c r="J102" s="14" t="s">
        <v>58</v>
      </c>
      <c r="K102" s="14" t="str">
        <f>A102&amp;B102&amp;C102&amp;D102&amp;E102&amp;F102&amp;G102&amp;H102&amp;I102&amp;J102&amp;[1]Sheet1!$G$5</f>
        <v>E0101Rafi ParvinMaleEngineeringJunior Software EngineerContractRajshahi42812131877E0314Sylhet</v>
      </c>
      <c r="L102" s="14">
        <f t="shared" si="3"/>
        <v>133493.5</v>
      </c>
      <c r="M102" s="14">
        <f ca="1" t="shared" si="4"/>
        <v>8</v>
      </c>
      <c r="N102" s="15" t="str">
        <f ca="1" t="shared" si="5"/>
        <v>Experienced</v>
      </c>
    </row>
    <row r="103" spans="1:14">
      <c r="A103" s="16" t="s">
        <v>49</v>
      </c>
      <c r="B103" s="17" t="s">
        <v>330</v>
      </c>
      <c r="C103" s="17" t="s">
        <v>12</v>
      </c>
      <c r="D103" s="17" t="s">
        <v>32</v>
      </c>
      <c r="E103" s="17" t="s">
        <v>208</v>
      </c>
      <c r="F103" s="17" t="s">
        <v>15</v>
      </c>
      <c r="G103" s="17" t="s">
        <v>62</v>
      </c>
      <c r="H103" s="17">
        <v>44378</v>
      </c>
      <c r="I103" s="17">
        <v>138408</v>
      </c>
      <c r="J103" s="17" t="s">
        <v>331</v>
      </c>
      <c r="K103" s="17" t="str">
        <f>A103&amp;B103&amp;C103&amp;D103&amp;E103&amp;F103&amp;G103&amp;H103&amp;I103&amp;J103&amp;[1]Sheet1!$G$5</f>
        <v>E0102Shafiq HossainFemaleHRHR ManagerFull-timeChattogram44378138408E0855Sylhet</v>
      </c>
      <c r="L103" s="17">
        <f t="shared" si="3"/>
        <v>133736</v>
      </c>
      <c r="M103" s="17">
        <f ca="1" t="shared" si="4"/>
        <v>4</v>
      </c>
      <c r="N103" s="18" t="str">
        <f ca="1" t="shared" si="5"/>
        <v>Mid level</v>
      </c>
    </row>
    <row r="104" spans="1:14">
      <c r="A104" s="13" t="s">
        <v>332</v>
      </c>
      <c r="B104" s="14" t="s">
        <v>333</v>
      </c>
      <c r="C104" s="14" t="s">
        <v>12</v>
      </c>
      <c r="D104" s="14" t="s">
        <v>87</v>
      </c>
      <c r="E104" s="14" t="s">
        <v>111</v>
      </c>
      <c r="F104" s="14" t="s">
        <v>48</v>
      </c>
      <c r="G104" s="14" t="s">
        <v>16</v>
      </c>
      <c r="H104" s="14">
        <v>45287</v>
      </c>
      <c r="I104" s="14">
        <v>253791</v>
      </c>
      <c r="J104" s="14" t="s">
        <v>196</v>
      </c>
      <c r="K104" s="14" t="str">
        <f>A104&amp;B104&amp;C104&amp;D104&amp;E104&amp;F104&amp;G104&amp;H104&amp;I104&amp;J104&amp;[1]Sheet1!$G$5</f>
        <v>E0103Esha RanaFemaleProductSenior Product ManagerContractKhulna45287253791E0383Sylhet</v>
      </c>
      <c r="L104" s="14">
        <f t="shared" si="3"/>
        <v>133493.5</v>
      </c>
      <c r="M104" s="14">
        <f ca="1" t="shared" si="4"/>
        <v>2</v>
      </c>
      <c r="N104" s="15" t="str">
        <f ca="1" t="shared" si="5"/>
        <v>New</v>
      </c>
    </row>
    <row r="105" spans="1:14">
      <c r="A105" s="16" t="s">
        <v>334</v>
      </c>
      <c r="B105" s="17" t="s">
        <v>335</v>
      </c>
      <c r="C105" s="17" t="s">
        <v>19</v>
      </c>
      <c r="D105" s="17" t="s">
        <v>92</v>
      </c>
      <c r="E105" s="17" t="s">
        <v>193</v>
      </c>
      <c r="F105" s="17" t="s">
        <v>15</v>
      </c>
      <c r="G105" s="17" t="s">
        <v>16</v>
      </c>
      <c r="H105" s="17">
        <v>44186</v>
      </c>
      <c r="I105" s="17">
        <v>234882</v>
      </c>
      <c r="J105" s="17" t="s">
        <v>336</v>
      </c>
      <c r="K105" s="17" t="str">
        <f>A105&amp;B105&amp;C105&amp;D105&amp;E105&amp;F105&amp;G105&amp;H105&amp;I105&amp;J105&amp;[1]Sheet1!$G$5</f>
        <v>E0104Zahid SharminMaleMarketingMarketing ManagerFull-timeKhulna44186234882E0774Sylhet</v>
      </c>
      <c r="L105" s="17">
        <f t="shared" si="3"/>
        <v>133251</v>
      </c>
      <c r="M105" s="17">
        <f ca="1" t="shared" si="4"/>
        <v>5</v>
      </c>
      <c r="N105" s="18" t="str">
        <f ca="1" t="shared" si="5"/>
        <v>Mid level</v>
      </c>
    </row>
    <row r="106" spans="1:14">
      <c r="A106" s="13" t="s">
        <v>337</v>
      </c>
      <c r="B106" s="14" t="s">
        <v>338</v>
      </c>
      <c r="C106" s="14" t="s">
        <v>19</v>
      </c>
      <c r="D106" s="14" t="s">
        <v>20</v>
      </c>
      <c r="E106" s="14" t="s">
        <v>70</v>
      </c>
      <c r="F106" s="14" t="s">
        <v>15</v>
      </c>
      <c r="G106" s="14" t="s">
        <v>40</v>
      </c>
      <c r="H106" s="14">
        <v>42671</v>
      </c>
      <c r="I106" s="14">
        <v>171732</v>
      </c>
      <c r="J106" s="14" t="s">
        <v>229</v>
      </c>
      <c r="K106" s="14" t="str">
        <f>A106&amp;B106&amp;C106&amp;D106&amp;E106&amp;F106&amp;G106&amp;H106&amp;I106&amp;J106&amp;[1]Sheet1!$G$5</f>
        <v>E0105Rafi KhanMaleCustomer SuccessCustomer Success ManagerFull-timeDhaka42671171732E0980Sylhet</v>
      </c>
      <c r="L106" s="14">
        <f t="shared" si="3"/>
        <v>133075.5</v>
      </c>
      <c r="M106" s="14">
        <f ca="1" t="shared" si="4"/>
        <v>9</v>
      </c>
      <c r="N106" s="15" t="str">
        <f ca="1" t="shared" si="5"/>
        <v>Experienced</v>
      </c>
    </row>
    <row r="107" spans="1:14">
      <c r="A107" s="16" t="s">
        <v>339</v>
      </c>
      <c r="B107" s="17" t="s">
        <v>340</v>
      </c>
      <c r="C107" s="17" t="s">
        <v>12</v>
      </c>
      <c r="D107" s="17" t="s">
        <v>87</v>
      </c>
      <c r="E107" s="17" t="s">
        <v>88</v>
      </c>
      <c r="F107" s="17" t="s">
        <v>15</v>
      </c>
      <c r="G107" s="17" t="s">
        <v>16</v>
      </c>
      <c r="H107" s="17">
        <v>42700</v>
      </c>
      <c r="I107" s="17">
        <v>124374</v>
      </c>
      <c r="J107" s="17" t="s">
        <v>341</v>
      </c>
      <c r="K107" s="17" t="str">
        <f>A107&amp;B107&amp;C107&amp;D107&amp;E107&amp;F107&amp;G107&amp;H107&amp;I107&amp;J107&amp;[1]Sheet1!$G$5</f>
        <v>E0106Rafi MiahFemaleProductProduct AnalystFull-timeKhulna42700124374E0828Sylhet</v>
      </c>
      <c r="L107" s="17">
        <f t="shared" si="3"/>
        <v>132900</v>
      </c>
      <c r="M107" s="17">
        <f ca="1" t="shared" si="4"/>
        <v>9</v>
      </c>
      <c r="N107" s="18" t="str">
        <f ca="1" t="shared" si="5"/>
        <v>Experienced</v>
      </c>
    </row>
    <row r="108" spans="1:14">
      <c r="A108" s="13" t="s">
        <v>342</v>
      </c>
      <c r="B108" s="14" t="s">
        <v>343</v>
      </c>
      <c r="C108" s="14" t="s">
        <v>19</v>
      </c>
      <c r="D108" s="14" t="s">
        <v>13</v>
      </c>
      <c r="E108" s="14" t="s">
        <v>165</v>
      </c>
      <c r="F108" s="14" t="s">
        <v>15</v>
      </c>
      <c r="G108" s="14" t="s">
        <v>16</v>
      </c>
      <c r="H108" s="14">
        <v>43689</v>
      </c>
      <c r="I108" s="14">
        <v>180577</v>
      </c>
      <c r="J108" s="14" t="s">
        <v>344</v>
      </c>
      <c r="K108" s="14" t="str">
        <f>A108&amp;B108&amp;C108&amp;D108&amp;E108&amp;F108&amp;G108&amp;H108&amp;I108&amp;J108&amp;[1]Sheet1!$G$5</f>
        <v>E0107Ovi HaiderMaleSalesAccount ExecutiveFull-timeKhulna43689180577E0861Sylhet</v>
      </c>
      <c r="L108" s="14">
        <f t="shared" si="3"/>
        <v>133075.5</v>
      </c>
      <c r="M108" s="14">
        <f ca="1" t="shared" si="4"/>
        <v>6</v>
      </c>
      <c r="N108" s="15" t="str">
        <f ca="1" t="shared" si="5"/>
        <v>Experienced</v>
      </c>
    </row>
    <row r="109" spans="1:14">
      <c r="A109" s="16" t="s">
        <v>345</v>
      </c>
      <c r="B109" s="17" t="s">
        <v>346</v>
      </c>
      <c r="C109" s="17" t="s">
        <v>19</v>
      </c>
      <c r="D109" s="17" t="s">
        <v>26</v>
      </c>
      <c r="E109" s="17" t="s">
        <v>294</v>
      </c>
      <c r="F109" s="17" t="s">
        <v>15</v>
      </c>
      <c r="G109" s="17" t="s">
        <v>40</v>
      </c>
      <c r="H109" s="17">
        <v>44861</v>
      </c>
      <c r="I109" s="17">
        <v>214709</v>
      </c>
      <c r="J109" s="17" t="s">
        <v>347</v>
      </c>
      <c r="K109" s="17" t="str">
        <f>A109&amp;B109&amp;C109&amp;D109&amp;E109&amp;F109&amp;G109&amp;H109&amp;I109&amp;J109&amp;[1]Sheet1!$G$5</f>
        <v>E0108Nabila SadiqMaleFinanceSenior Financial AnalystFull-timeDhaka44861214709E0500Sylhet</v>
      </c>
      <c r="L109" s="17">
        <f t="shared" si="3"/>
        <v>132900</v>
      </c>
      <c r="M109" s="17">
        <f ca="1" t="shared" si="4"/>
        <v>3</v>
      </c>
      <c r="N109" s="18" t="str">
        <f ca="1" t="shared" si="5"/>
        <v>Mid level</v>
      </c>
    </row>
    <row r="110" spans="1:14">
      <c r="A110" s="13" t="s">
        <v>253</v>
      </c>
      <c r="B110" s="14" t="s">
        <v>348</v>
      </c>
      <c r="C110" s="14" t="s">
        <v>19</v>
      </c>
      <c r="D110" s="14" t="s">
        <v>87</v>
      </c>
      <c r="E110" s="14" t="s">
        <v>349</v>
      </c>
      <c r="F110" s="14" t="s">
        <v>15</v>
      </c>
      <c r="G110" s="14" t="s">
        <v>28</v>
      </c>
      <c r="H110" s="14">
        <v>42977</v>
      </c>
      <c r="I110" s="14">
        <v>272489</v>
      </c>
      <c r="J110" s="14"/>
      <c r="K110" s="14" t="str">
        <f>A110&amp;B110&amp;C110&amp;D110&amp;E110&amp;F110&amp;G110&amp;H110&amp;I110&amp;J110&amp;[1]Sheet1!$G$5</f>
        <v>E0109Rafi BanuMaleProductProduct ManagerFull-timeRemote42977272489Sylhet</v>
      </c>
      <c r="L110" s="14">
        <f t="shared" si="3"/>
        <v>132820</v>
      </c>
      <c r="M110" s="14">
        <f ca="1" t="shared" si="4"/>
        <v>8</v>
      </c>
      <c r="N110" s="15" t="str">
        <f ca="1" t="shared" si="5"/>
        <v>Experienced</v>
      </c>
    </row>
    <row r="111" spans="1:14">
      <c r="A111" s="16" t="s">
        <v>350</v>
      </c>
      <c r="B111" s="17" t="s">
        <v>351</v>
      </c>
      <c r="C111" s="17" t="s">
        <v>12</v>
      </c>
      <c r="D111" s="17" t="s">
        <v>38</v>
      </c>
      <c r="E111" s="17" t="s">
        <v>77</v>
      </c>
      <c r="F111" s="17" t="s">
        <v>15</v>
      </c>
      <c r="G111" s="17" t="s">
        <v>94</v>
      </c>
      <c r="H111" s="17">
        <v>42639</v>
      </c>
      <c r="I111" s="17">
        <v>179920</v>
      </c>
      <c r="J111" s="17" t="s">
        <v>243</v>
      </c>
      <c r="K111" s="17" t="str">
        <f>A111&amp;B111&amp;C111&amp;D111&amp;E111&amp;F111&amp;G111&amp;H111&amp;I111&amp;J111&amp;[1]Sheet1!$G$5</f>
        <v>E0110Nadia SarkerFemaleEngineeringJunior Software EngineerFull-timeRajshahi42639179920E0179Sylhet</v>
      </c>
      <c r="L111" s="17">
        <f t="shared" si="3"/>
        <v>132740</v>
      </c>
      <c r="M111" s="17">
        <f ca="1" t="shared" si="4"/>
        <v>9</v>
      </c>
      <c r="N111" s="18" t="str">
        <f ca="1" t="shared" si="5"/>
        <v>Experienced</v>
      </c>
    </row>
    <row r="112" spans="1:14">
      <c r="A112" s="13" t="s">
        <v>352</v>
      </c>
      <c r="B112" s="14" t="s">
        <v>353</v>
      </c>
      <c r="C112" s="14" t="s">
        <v>12</v>
      </c>
      <c r="D112" s="14" t="s">
        <v>87</v>
      </c>
      <c r="E112" s="14" t="s">
        <v>111</v>
      </c>
      <c r="F112" s="14" t="s">
        <v>15</v>
      </c>
      <c r="G112" s="14" t="s">
        <v>16</v>
      </c>
      <c r="H112" s="14">
        <v>42886</v>
      </c>
      <c r="I112" s="14">
        <v>274622</v>
      </c>
      <c r="J112" s="14" t="s">
        <v>272</v>
      </c>
      <c r="K112" s="14" t="str">
        <f>A112&amp;B112&amp;C112&amp;D112&amp;E112&amp;F112&amp;G112&amp;H112&amp;I112&amp;J112&amp;[1]Sheet1!$G$5</f>
        <v>E0111Shafiq AnjumFemaleProductSenior Product ManagerFull-timeKhulna42886274622E0080Sylhet</v>
      </c>
      <c r="L112" s="14">
        <f t="shared" si="3"/>
        <v>132553</v>
      </c>
      <c r="M112" s="14">
        <f ca="1" t="shared" si="4"/>
        <v>8</v>
      </c>
      <c r="N112" s="15" t="str">
        <f ca="1" t="shared" si="5"/>
        <v>Experienced</v>
      </c>
    </row>
    <row r="113" spans="1:14">
      <c r="A113" s="16" t="s">
        <v>354</v>
      </c>
      <c r="B113" s="17" t="s">
        <v>355</v>
      </c>
      <c r="C113" s="17" t="s">
        <v>19</v>
      </c>
      <c r="D113" s="17" t="s">
        <v>38</v>
      </c>
      <c r="E113" s="17" t="s">
        <v>66</v>
      </c>
      <c r="F113" s="17" t="s">
        <v>15</v>
      </c>
      <c r="G113" s="17" t="s">
        <v>16</v>
      </c>
      <c r="H113" s="17">
        <v>43496</v>
      </c>
      <c r="I113" s="17">
        <v>115486</v>
      </c>
      <c r="J113" s="17" t="s">
        <v>356</v>
      </c>
      <c r="K113" s="17" t="str">
        <f>A113&amp;B113&amp;C113&amp;D113&amp;E113&amp;F113&amp;G113&amp;H113&amp;I113&amp;J113&amp;[1]Sheet1!$G$5</f>
        <v>E0112Tamanna SultanaMaleEngineeringSoftware EngineerFull-timeKhulna43496115486E0156Sylhet</v>
      </c>
      <c r="L113" s="17">
        <f t="shared" si="3"/>
        <v>132366</v>
      </c>
      <c r="M113" s="17">
        <f ca="1" t="shared" si="4"/>
        <v>7</v>
      </c>
      <c r="N113" s="18" t="str">
        <f ca="1" t="shared" si="5"/>
        <v>Experienced</v>
      </c>
    </row>
    <row r="114" spans="1:14">
      <c r="A114" s="13" t="s">
        <v>357</v>
      </c>
      <c r="B114" s="14" t="s">
        <v>358</v>
      </c>
      <c r="C114" s="14" t="s">
        <v>19</v>
      </c>
      <c r="D114" s="14" t="s">
        <v>20</v>
      </c>
      <c r="E114" s="14" t="s">
        <v>147</v>
      </c>
      <c r="F114" s="14" t="s">
        <v>15</v>
      </c>
      <c r="G114" s="14" t="s">
        <v>62</v>
      </c>
      <c r="H114" s="14">
        <v>44927</v>
      </c>
      <c r="I114" s="14">
        <v>47847</v>
      </c>
      <c r="J114" s="14" t="s">
        <v>341</v>
      </c>
      <c r="K114" s="14" t="str">
        <f>A114&amp;B114&amp;C114&amp;D114&amp;E114&amp;F114&amp;G114&amp;H114&amp;I114&amp;J114&amp;[1]Sheet1!$G$5</f>
        <v>E0113Imran ShahMaleCustomer SuccessSupport AssociateFull-timeChattogram4492747847E0828Sylhet</v>
      </c>
      <c r="L114" s="14">
        <f t="shared" si="3"/>
        <v>132553</v>
      </c>
      <c r="M114" s="14">
        <f ca="1" t="shared" si="4"/>
        <v>3</v>
      </c>
      <c r="N114" s="15" t="str">
        <f ca="1" t="shared" si="5"/>
        <v>Mid level</v>
      </c>
    </row>
    <row r="115" spans="1:14">
      <c r="A115" s="16" t="s">
        <v>359</v>
      </c>
      <c r="B115" s="17" t="s">
        <v>360</v>
      </c>
      <c r="C115" s="17" t="s">
        <v>19</v>
      </c>
      <c r="D115" s="17" t="s">
        <v>52</v>
      </c>
      <c r="E115" s="17" t="s">
        <v>120</v>
      </c>
      <c r="F115" s="17" t="s">
        <v>15</v>
      </c>
      <c r="G115" s="17" t="s">
        <v>40</v>
      </c>
      <c r="H115" s="17">
        <v>44963</v>
      </c>
      <c r="I115" s="17">
        <v>150407</v>
      </c>
      <c r="J115" s="17" t="s">
        <v>50</v>
      </c>
      <c r="K115" s="17" t="str">
        <f>A115&amp;B115&amp;C115&amp;D115&amp;E115&amp;F115&amp;G115&amp;H115&amp;I115&amp;J115&amp;[1]Sheet1!$G$5</f>
        <v>E0114Arif MahmudMaleOperationsSupply Chain AnalystFull-timeDhaka44963150407E0008Sylhet</v>
      </c>
      <c r="L115" s="17">
        <f t="shared" si="3"/>
        <v>132740</v>
      </c>
      <c r="M115" s="17">
        <f ca="1" t="shared" si="4"/>
        <v>3</v>
      </c>
      <c r="N115" s="18" t="str">
        <f ca="1" t="shared" si="5"/>
        <v>Mid level</v>
      </c>
    </row>
    <row r="116" spans="1:14">
      <c r="A116" s="13" t="s">
        <v>361</v>
      </c>
      <c r="B116" s="14" t="s">
        <v>362</v>
      </c>
      <c r="C116" s="14" t="s">
        <v>12</v>
      </c>
      <c r="D116" s="14" t="s">
        <v>32</v>
      </c>
      <c r="E116" s="14" t="s">
        <v>33</v>
      </c>
      <c r="F116" s="14" t="s">
        <v>22</v>
      </c>
      <c r="G116" s="14" t="s">
        <v>16</v>
      </c>
      <c r="H116" s="14">
        <v>44767</v>
      </c>
      <c r="I116" s="14">
        <v>75402</v>
      </c>
      <c r="J116" s="14" t="s">
        <v>108</v>
      </c>
      <c r="K116" s="14" t="str">
        <f>A116&amp;B116&amp;C116&amp;D116&amp;E116&amp;F116&amp;G116&amp;H116&amp;I116&amp;J116&amp;[1]Sheet1!$G$5</f>
        <v>E0115Sumaiya SharminFemaleHRHR Business PartnerInternKhulna4476775402E0190Sylhet</v>
      </c>
      <c r="L116" s="14">
        <f t="shared" si="3"/>
        <v>132553</v>
      </c>
      <c r="M116" s="14">
        <f ca="1" t="shared" si="4"/>
        <v>3</v>
      </c>
      <c r="N116" s="15" t="str">
        <f ca="1" t="shared" si="5"/>
        <v>Mid level</v>
      </c>
    </row>
    <row r="117" spans="1:14">
      <c r="A117" s="16" t="s">
        <v>363</v>
      </c>
      <c r="B117" s="17" t="s">
        <v>364</v>
      </c>
      <c r="C117" s="17" t="s">
        <v>12</v>
      </c>
      <c r="D117" s="17" t="s">
        <v>52</v>
      </c>
      <c r="E117" s="17" t="s">
        <v>120</v>
      </c>
      <c r="F117" s="17" t="s">
        <v>15</v>
      </c>
      <c r="G117" s="17" t="s">
        <v>62</v>
      </c>
      <c r="H117" s="17">
        <v>44616</v>
      </c>
      <c r="I117" s="17">
        <v>90308</v>
      </c>
      <c r="J117" s="17" t="s">
        <v>240</v>
      </c>
      <c r="K117" s="17" t="str">
        <f>A117&amp;B117&amp;C117&amp;D117&amp;E117&amp;F117&amp;G117&amp;H117&amp;I117&amp;J117&amp;[1]Sheet1!$G$5</f>
        <v>E0116Zahid RasheedFemaleOperationsSupply Chain AnalystFull-timeChattogram4461690308E0831Sylhet</v>
      </c>
      <c r="L117" s="17">
        <f t="shared" si="3"/>
        <v>132740</v>
      </c>
      <c r="M117" s="17">
        <f ca="1" t="shared" si="4"/>
        <v>4</v>
      </c>
      <c r="N117" s="18" t="str">
        <f ca="1" t="shared" si="5"/>
        <v>Mid level</v>
      </c>
    </row>
    <row r="118" spans="1:14">
      <c r="A118" s="13" t="s">
        <v>365</v>
      </c>
      <c r="B118" s="14" t="s">
        <v>31</v>
      </c>
      <c r="C118" s="14" t="s">
        <v>19</v>
      </c>
      <c r="D118" s="14" t="s">
        <v>52</v>
      </c>
      <c r="E118" s="14" t="s">
        <v>246</v>
      </c>
      <c r="F118" s="14" t="s">
        <v>15</v>
      </c>
      <c r="G118" s="14" t="s">
        <v>28</v>
      </c>
      <c r="H118" s="14">
        <v>45286</v>
      </c>
      <c r="I118" s="14">
        <v>93271</v>
      </c>
      <c r="J118" s="14" t="s">
        <v>212</v>
      </c>
      <c r="K118" s="14" t="str">
        <f>A118&amp;B118&amp;C118&amp;D118&amp;E118&amp;F118&amp;G118&amp;H118&amp;I118&amp;J118&amp;[1]Sheet1!$G$5</f>
        <v>E0117Shawon RanaMaleOperationsOperations AssociateFull-timeRemote4528693271E0728Sylhet</v>
      </c>
      <c r="L118" s="14">
        <f t="shared" si="3"/>
        <v>132820</v>
      </c>
      <c r="M118" s="14">
        <f ca="1" t="shared" si="4"/>
        <v>2</v>
      </c>
      <c r="N118" s="15" t="str">
        <f ca="1" t="shared" si="5"/>
        <v>New</v>
      </c>
    </row>
    <row r="119" spans="1:14">
      <c r="A119" s="16" t="s">
        <v>366</v>
      </c>
      <c r="B119" s="17" t="s">
        <v>367</v>
      </c>
      <c r="C119" s="17" t="s">
        <v>12</v>
      </c>
      <c r="D119" s="17" t="s">
        <v>38</v>
      </c>
      <c r="E119" s="17" t="s">
        <v>39</v>
      </c>
      <c r="F119" s="17" t="s">
        <v>22</v>
      </c>
      <c r="G119" s="17" t="s">
        <v>16</v>
      </c>
      <c r="H119" s="17">
        <v>43701</v>
      </c>
      <c r="I119" s="17">
        <v>166489</v>
      </c>
      <c r="J119" s="17" t="s">
        <v>49</v>
      </c>
      <c r="K119" s="17" t="str">
        <f>A119&amp;B119&amp;C119&amp;D119&amp;E119&amp;F119&amp;G119&amp;H119&amp;I119&amp;J119&amp;[1]Sheet1!$G$5</f>
        <v>E0118Noman MorshedFemaleEngineeringDevOps EngineerInternKhulna43701166489E0102Sylhet</v>
      </c>
      <c r="L119" s="17">
        <f t="shared" si="3"/>
        <v>132900</v>
      </c>
      <c r="M119" s="17">
        <f ca="1" t="shared" si="4"/>
        <v>6</v>
      </c>
      <c r="N119" s="18" t="str">
        <f ca="1" t="shared" si="5"/>
        <v>Experienced</v>
      </c>
    </row>
    <row r="120" spans="1:14">
      <c r="A120" s="13" t="s">
        <v>368</v>
      </c>
      <c r="B120" s="14" t="s">
        <v>203</v>
      </c>
      <c r="C120" s="14" t="s">
        <v>12</v>
      </c>
      <c r="D120" s="14" t="s">
        <v>52</v>
      </c>
      <c r="E120" s="14" t="s">
        <v>246</v>
      </c>
      <c r="F120" s="14" t="s">
        <v>15</v>
      </c>
      <c r="G120" s="14" t="s">
        <v>40</v>
      </c>
      <c r="H120" s="14">
        <v>43930</v>
      </c>
      <c r="I120" s="14">
        <v>127253</v>
      </c>
      <c r="J120" s="14" t="s">
        <v>369</v>
      </c>
      <c r="K120" s="14" t="str">
        <f>A120&amp;B120&amp;C120&amp;D120&amp;E120&amp;F120&amp;G120&amp;H120&amp;I120&amp;J120&amp;[1]Sheet1!$G$5</f>
        <v>E0119Shawon AkterFemaleOperationsOperations AssociateFull-timeDhaka43930127253E0881Sylhet</v>
      </c>
      <c r="L120" s="14">
        <f t="shared" si="3"/>
        <v>132820</v>
      </c>
      <c r="M120" s="14">
        <f ca="1" t="shared" si="4"/>
        <v>5</v>
      </c>
      <c r="N120" s="15" t="str">
        <f ca="1" t="shared" si="5"/>
        <v>Mid level</v>
      </c>
    </row>
    <row r="121" spans="1:14">
      <c r="A121" s="16" t="s">
        <v>370</v>
      </c>
      <c r="B121" s="17" t="s">
        <v>371</v>
      </c>
      <c r="C121" s="17" t="s">
        <v>19</v>
      </c>
      <c r="D121" s="17" t="s">
        <v>92</v>
      </c>
      <c r="E121" s="17" t="s">
        <v>189</v>
      </c>
      <c r="F121" s="17" t="s">
        <v>15</v>
      </c>
      <c r="G121" s="17" t="s">
        <v>16</v>
      </c>
      <c r="H121" s="17">
        <v>44816</v>
      </c>
      <c r="I121" s="17">
        <v>156698</v>
      </c>
      <c r="J121" s="17" t="s">
        <v>372</v>
      </c>
      <c r="K121" s="17" t="str">
        <f>A121&amp;B121&amp;C121&amp;D121&amp;E121&amp;F121&amp;G121&amp;H121&amp;I121&amp;J121&amp;[1]Sheet1!$G$5</f>
        <v>E0120Jannat AhmedMaleMarketingMarketing AssociateFull-timeKhulna44816156698E0780Sylhet</v>
      </c>
      <c r="L121" s="17">
        <f t="shared" si="3"/>
        <v>132900</v>
      </c>
      <c r="M121" s="17">
        <f ca="1" t="shared" si="4"/>
        <v>3</v>
      </c>
      <c r="N121" s="18" t="str">
        <f ca="1" t="shared" si="5"/>
        <v>Mid level</v>
      </c>
    </row>
    <row r="122" spans="1:14">
      <c r="A122" s="13" t="s">
        <v>373</v>
      </c>
      <c r="B122" s="14" t="s">
        <v>104</v>
      </c>
      <c r="C122" s="14" t="s">
        <v>12</v>
      </c>
      <c r="D122" s="14" t="s">
        <v>52</v>
      </c>
      <c r="E122" s="14" t="s">
        <v>53</v>
      </c>
      <c r="F122" s="14" t="s">
        <v>15</v>
      </c>
      <c r="G122" s="14" t="s">
        <v>62</v>
      </c>
      <c r="H122" s="14">
        <v>44543</v>
      </c>
      <c r="I122" s="14">
        <v>105032</v>
      </c>
      <c r="J122" s="14" t="s">
        <v>316</v>
      </c>
      <c r="K122" s="14" t="str">
        <f>A122&amp;B122&amp;C122&amp;D122&amp;E122&amp;F122&amp;G122&amp;H122&amp;I122&amp;J122&amp;[1]Sheet1!$G$5</f>
        <v>E0121Karim BanuFemaleOperationsOperations ManagerFull-timeChattogram44543105032E0684Sylhet</v>
      </c>
      <c r="L122" s="14">
        <f t="shared" si="3"/>
        <v>132820</v>
      </c>
      <c r="M122" s="14">
        <f ca="1" t="shared" si="4"/>
        <v>4</v>
      </c>
      <c r="N122" s="15" t="str">
        <f ca="1" t="shared" si="5"/>
        <v>Mid level</v>
      </c>
    </row>
    <row r="123" spans="1:14">
      <c r="A123" s="16" t="s">
        <v>374</v>
      </c>
      <c r="B123" s="17" t="s">
        <v>123</v>
      </c>
      <c r="C123" s="17" t="s">
        <v>19</v>
      </c>
      <c r="D123" s="17" t="s">
        <v>52</v>
      </c>
      <c r="E123" s="17" t="s">
        <v>53</v>
      </c>
      <c r="F123" s="17" t="s">
        <v>48</v>
      </c>
      <c r="G123" s="17" t="s">
        <v>40</v>
      </c>
      <c r="H123" s="17">
        <v>43577</v>
      </c>
      <c r="I123" s="17">
        <v>194473</v>
      </c>
      <c r="J123" s="17" t="s">
        <v>230</v>
      </c>
      <c r="K123" s="17" t="str">
        <f>A123&amp;B123&amp;C123&amp;D123&amp;E123&amp;F123&amp;G123&amp;H123&amp;I123&amp;J123&amp;[1]Sheet1!$G$5</f>
        <v>E0122Tania UddinMaleOperationsOperations ManagerContractDhaka43577194473E0063Sylhet</v>
      </c>
      <c r="L123" s="17">
        <f t="shared" si="3"/>
        <v>132900</v>
      </c>
      <c r="M123" s="17">
        <f ca="1" t="shared" si="4"/>
        <v>6</v>
      </c>
      <c r="N123" s="18" t="str">
        <f ca="1" t="shared" si="5"/>
        <v>Experienced</v>
      </c>
    </row>
    <row r="124" spans="1:14">
      <c r="A124" s="13" t="s">
        <v>81</v>
      </c>
      <c r="B124" s="14" t="s">
        <v>375</v>
      </c>
      <c r="C124" s="14" t="s">
        <v>12</v>
      </c>
      <c r="D124" s="14" t="s">
        <v>87</v>
      </c>
      <c r="E124" s="14" t="s">
        <v>111</v>
      </c>
      <c r="F124" s="14" t="s">
        <v>15</v>
      </c>
      <c r="G124" s="14" t="s">
        <v>16</v>
      </c>
      <c r="H124" s="14">
        <v>44228</v>
      </c>
      <c r="I124" s="14">
        <v>223604</v>
      </c>
      <c r="J124" s="14" t="s">
        <v>376</v>
      </c>
      <c r="K124" s="14" t="str">
        <f>A124&amp;B124&amp;C124&amp;D124&amp;E124&amp;F124&amp;G124&amp;H124&amp;I124&amp;J124&amp;[1]Sheet1!$G$5</f>
        <v>E0123Jannat AkterFemaleProductSenior Product ManagerFull-timeKhulna44228223604E0150Sylhet</v>
      </c>
      <c r="L124" s="14">
        <f t="shared" si="3"/>
        <v>132820</v>
      </c>
      <c r="M124" s="14">
        <f ca="1" t="shared" si="4"/>
        <v>5</v>
      </c>
      <c r="N124" s="15" t="str">
        <f ca="1" t="shared" si="5"/>
        <v>Mid level</v>
      </c>
    </row>
    <row r="125" spans="1:14">
      <c r="A125" s="16" t="s">
        <v>377</v>
      </c>
      <c r="B125" s="17" t="s">
        <v>378</v>
      </c>
      <c r="C125" s="17" t="s">
        <v>19</v>
      </c>
      <c r="D125" s="17" t="s">
        <v>38</v>
      </c>
      <c r="E125" s="17" t="s">
        <v>39</v>
      </c>
      <c r="F125" s="17" t="s">
        <v>15</v>
      </c>
      <c r="G125" s="17" t="s">
        <v>94</v>
      </c>
      <c r="H125" s="17">
        <v>44440</v>
      </c>
      <c r="I125" s="17">
        <v>116353</v>
      </c>
      <c r="J125" s="17"/>
      <c r="K125" s="17" t="str">
        <f>A125&amp;B125&amp;C125&amp;D125&amp;E125&amp;F125&amp;G125&amp;H125&amp;I125&amp;J125&amp;[1]Sheet1!$G$5</f>
        <v>E0124Noman ChowdhuryMaleEngineeringDevOps EngineerFull-timeRajshahi44440116353Sylhet</v>
      </c>
      <c r="L125" s="17">
        <f t="shared" si="3"/>
        <v>132740</v>
      </c>
      <c r="M125" s="17">
        <f ca="1" t="shared" si="4"/>
        <v>4</v>
      </c>
      <c r="N125" s="18" t="str">
        <f ca="1" t="shared" si="5"/>
        <v>Mid level</v>
      </c>
    </row>
    <row r="126" spans="1:14">
      <c r="A126" s="13" t="s">
        <v>379</v>
      </c>
      <c r="B126" s="14" t="s">
        <v>380</v>
      </c>
      <c r="C126" s="14" t="s">
        <v>19</v>
      </c>
      <c r="D126" s="14" t="s">
        <v>87</v>
      </c>
      <c r="E126" s="14" t="s">
        <v>349</v>
      </c>
      <c r="F126" s="14" t="s">
        <v>15</v>
      </c>
      <c r="G126" s="14" t="s">
        <v>40</v>
      </c>
      <c r="H126" s="14">
        <v>44849</v>
      </c>
      <c r="I126" s="14">
        <v>323393</v>
      </c>
      <c r="J126" s="14" t="s">
        <v>154</v>
      </c>
      <c r="K126" s="14" t="str">
        <f>A126&amp;B126&amp;C126&amp;D126&amp;E126&amp;F126&amp;G126&amp;H126&amp;I126&amp;J126&amp;[1]Sheet1!$G$5</f>
        <v>E0125Tasnim SadiqMaleProductProduct ManagerFull-timeDhaka44849323393E0037Sylhet</v>
      </c>
      <c r="L126" s="14">
        <f t="shared" si="3"/>
        <v>132820</v>
      </c>
      <c r="M126" s="14">
        <f ca="1" t="shared" si="4"/>
        <v>3</v>
      </c>
      <c r="N126" s="15" t="str">
        <f ca="1" t="shared" si="5"/>
        <v>Mid level</v>
      </c>
    </row>
    <row r="127" spans="1:14">
      <c r="A127" s="16" t="s">
        <v>381</v>
      </c>
      <c r="B127" s="17" t="s">
        <v>382</v>
      </c>
      <c r="C127" s="17" t="s">
        <v>19</v>
      </c>
      <c r="D127" s="17" t="s">
        <v>13</v>
      </c>
      <c r="E127" s="17" t="s">
        <v>165</v>
      </c>
      <c r="F127" s="17" t="s">
        <v>15</v>
      </c>
      <c r="G127" s="17" t="s">
        <v>34</v>
      </c>
      <c r="H127" s="17">
        <v>44132</v>
      </c>
      <c r="I127" s="17">
        <v>204089</v>
      </c>
      <c r="J127" s="17"/>
      <c r="K127" s="17" t="str">
        <f>A127&amp;B127&amp;C127&amp;D127&amp;E127&amp;F127&amp;G127&amp;H127&amp;I127&amp;J127&amp;[1]Sheet1!$G$5</f>
        <v>E0126Arif SultanaMaleSalesAccount ExecutiveFull-timeSylhet44132204089Sylhet</v>
      </c>
      <c r="L127" s="17">
        <f t="shared" si="3"/>
        <v>132740</v>
      </c>
      <c r="M127" s="17">
        <f ca="1" t="shared" si="4"/>
        <v>5</v>
      </c>
      <c r="N127" s="18" t="str">
        <f ca="1" t="shared" si="5"/>
        <v>Mid level</v>
      </c>
    </row>
    <row r="128" spans="1:14">
      <c r="A128" s="13" t="s">
        <v>383</v>
      </c>
      <c r="B128" s="14" t="s">
        <v>384</v>
      </c>
      <c r="C128" s="14" t="s">
        <v>19</v>
      </c>
      <c r="D128" s="14" t="s">
        <v>52</v>
      </c>
      <c r="E128" s="14" t="s">
        <v>246</v>
      </c>
      <c r="F128" s="14" t="s">
        <v>15</v>
      </c>
      <c r="G128" s="14" t="s">
        <v>34</v>
      </c>
      <c r="H128" s="14">
        <v>42776</v>
      </c>
      <c r="I128" s="14">
        <v>115492</v>
      </c>
      <c r="J128" s="14"/>
      <c r="K128" s="14" t="str">
        <f>A128&amp;B128&amp;C128&amp;D128&amp;E128&amp;F128&amp;G128&amp;H128&amp;I128&amp;J128&amp;[1]Sheet1!$G$5</f>
        <v>E0127Sajid IslamMaleOperationsOperations AssociateFull-timeSylhet42776115492Sylhet</v>
      </c>
      <c r="L128" s="14">
        <f t="shared" si="3"/>
        <v>132553</v>
      </c>
      <c r="M128" s="14">
        <f ca="1" t="shared" si="4"/>
        <v>9</v>
      </c>
      <c r="N128" s="15" t="str">
        <f ca="1" t="shared" si="5"/>
        <v>Experienced</v>
      </c>
    </row>
    <row r="129" spans="1:14">
      <c r="A129" s="16" t="s">
        <v>385</v>
      </c>
      <c r="B129" s="17" t="s">
        <v>252</v>
      </c>
      <c r="C129" s="17" t="s">
        <v>12</v>
      </c>
      <c r="D129" s="17" t="s">
        <v>52</v>
      </c>
      <c r="E129" s="17" t="s">
        <v>120</v>
      </c>
      <c r="F129" s="17" t="s">
        <v>15</v>
      </c>
      <c r="G129" s="17" t="s">
        <v>34</v>
      </c>
      <c r="H129" s="17">
        <v>45618</v>
      </c>
      <c r="I129" s="17">
        <v>63509</v>
      </c>
      <c r="J129" s="17" t="s">
        <v>386</v>
      </c>
      <c r="K129" s="17" t="str">
        <f>A129&amp;B129&amp;C129&amp;D129&amp;E129&amp;F129&amp;G129&amp;H129&amp;I129&amp;J129&amp;[1]Sheet1!$G$5</f>
        <v>E0128Mahin KhanFemaleOperationsSupply Chain AnalystFull-timeSylhet4561863509E0585Sylhet</v>
      </c>
      <c r="L129" s="17">
        <f t="shared" si="3"/>
        <v>132740</v>
      </c>
      <c r="M129" s="17">
        <f ca="1" t="shared" si="4"/>
        <v>1</v>
      </c>
      <c r="N129" s="18" t="str">
        <f ca="1" t="shared" si="5"/>
        <v>New</v>
      </c>
    </row>
    <row r="130" spans="1:14">
      <c r="A130" s="13" t="s">
        <v>387</v>
      </c>
      <c r="B130" s="14" t="s">
        <v>388</v>
      </c>
      <c r="C130" s="14" t="s">
        <v>12</v>
      </c>
      <c r="D130" s="14" t="s">
        <v>38</v>
      </c>
      <c r="E130" s="14" t="s">
        <v>66</v>
      </c>
      <c r="F130" s="14" t="s">
        <v>15</v>
      </c>
      <c r="G130" s="14" t="s">
        <v>94</v>
      </c>
      <c r="H130" s="14">
        <v>45244</v>
      </c>
      <c r="I130" s="14">
        <v>150359</v>
      </c>
      <c r="J130" s="14"/>
      <c r="K130" s="14" t="str">
        <f>A130&amp;B130&amp;C130&amp;D130&amp;E130&amp;F130&amp;G130&amp;H130&amp;I130&amp;J130&amp;[1]Sheet1!$G$5</f>
        <v>E0129Mitu FerdousFemaleEngineeringSoftware EngineerFull-timeRajshahi45244150359Sylhet</v>
      </c>
      <c r="L130" s="14">
        <f t="shared" si="3"/>
        <v>132820</v>
      </c>
      <c r="M130" s="14">
        <f ca="1" t="shared" si="4"/>
        <v>2</v>
      </c>
      <c r="N130" s="15" t="str">
        <f ca="1" t="shared" si="5"/>
        <v>New</v>
      </c>
    </row>
    <row r="131" spans="1:14">
      <c r="A131" s="16" t="s">
        <v>389</v>
      </c>
      <c r="B131" s="17" t="s">
        <v>390</v>
      </c>
      <c r="C131" s="17" t="s">
        <v>12</v>
      </c>
      <c r="D131" s="17" t="s">
        <v>92</v>
      </c>
      <c r="E131" s="17" t="s">
        <v>391</v>
      </c>
      <c r="F131" s="17" t="s">
        <v>15</v>
      </c>
      <c r="G131" s="17" t="s">
        <v>34</v>
      </c>
      <c r="H131" s="17">
        <v>42838</v>
      </c>
      <c r="I131" s="17">
        <v>188137</v>
      </c>
      <c r="J131" s="17" t="s">
        <v>392</v>
      </c>
      <c r="K131" s="17" t="str">
        <f>A131&amp;B131&amp;C131&amp;D131&amp;E131&amp;F131&amp;G131&amp;H131&amp;I131&amp;J131&amp;[1]Sheet1!$G$5</f>
        <v>E0130Nabila RanaFemaleMarketingContent SpecialistFull-timeSylhet42838188137E0979Sylhet</v>
      </c>
      <c r="L131" s="17">
        <f t="shared" ref="L131:L194" si="6">MEDIAN(I131:I1130)</f>
        <v>132740</v>
      </c>
      <c r="M131" s="17">
        <f ca="1" t="shared" ref="M131:M194" si="7">DATEDIF(H131,TODAY(),"Y")</f>
        <v>8</v>
      </c>
      <c r="N131" s="18" t="str">
        <f ca="1" t="shared" ref="N131:N194" si="8">IF(M131&lt;=2,"New",IF(M131&lt;=5,"Mid level",IF(M131&lt;=10,"Experienced","Long term")))</f>
        <v>Experienced</v>
      </c>
    </row>
    <row r="132" spans="1:14">
      <c r="A132" s="13" t="s">
        <v>393</v>
      </c>
      <c r="B132" s="14" t="s">
        <v>394</v>
      </c>
      <c r="C132" s="14" t="s">
        <v>19</v>
      </c>
      <c r="D132" s="14" t="s">
        <v>13</v>
      </c>
      <c r="E132" s="14" t="s">
        <v>223</v>
      </c>
      <c r="F132" s="14" t="s">
        <v>15</v>
      </c>
      <c r="G132" s="14" t="s">
        <v>62</v>
      </c>
      <c r="H132" s="14">
        <v>45863</v>
      </c>
      <c r="I132" s="14">
        <v>180052</v>
      </c>
      <c r="J132" s="14" t="s">
        <v>196</v>
      </c>
      <c r="K132" s="14" t="str">
        <f>A132&amp;B132&amp;C132&amp;D132&amp;E132&amp;F132&amp;G132&amp;H132&amp;I132&amp;J132&amp;[1]Sheet1!$G$5</f>
        <v>E0131Tania BiswasMaleSalesSenior Account ExecutiveFull-timeChattogram45863180052E0383Sylhet</v>
      </c>
      <c r="L132" s="14">
        <f t="shared" si="6"/>
        <v>132553</v>
      </c>
      <c r="M132" s="14">
        <f ca="1" t="shared" si="7"/>
        <v>0</v>
      </c>
      <c r="N132" s="15" t="str">
        <f ca="1" t="shared" si="8"/>
        <v>New</v>
      </c>
    </row>
    <row r="133" spans="1:14">
      <c r="A133" s="16" t="s">
        <v>395</v>
      </c>
      <c r="B133" s="17" t="s">
        <v>396</v>
      </c>
      <c r="C133" s="17" t="s">
        <v>19</v>
      </c>
      <c r="D133" s="17" t="s">
        <v>87</v>
      </c>
      <c r="E133" s="17" t="s">
        <v>156</v>
      </c>
      <c r="F133" s="17" t="s">
        <v>15</v>
      </c>
      <c r="G133" s="17" t="s">
        <v>40</v>
      </c>
      <c r="H133" s="17">
        <v>45051</v>
      </c>
      <c r="I133" s="17">
        <v>331014</v>
      </c>
      <c r="J133" s="17" t="s">
        <v>397</v>
      </c>
      <c r="K133" s="17" t="str">
        <f>A133&amp;B133&amp;C133&amp;D133&amp;E133&amp;F133&amp;G133&amp;H133&amp;I133&amp;J133&amp;[1]Sheet1!$G$5</f>
        <v>E0132Lamia HaiderMaleProductAssociate Product ManagerFull-timeDhaka45051331014E0407Sylhet</v>
      </c>
      <c r="L133" s="17">
        <f t="shared" si="6"/>
        <v>132366</v>
      </c>
      <c r="M133" s="17">
        <f ca="1" t="shared" si="7"/>
        <v>2</v>
      </c>
      <c r="N133" s="18" t="str">
        <f ca="1" t="shared" si="8"/>
        <v>New</v>
      </c>
    </row>
    <row r="134" spans="1:14">
      <c r="A134" s="13" t="s">
        <v>398</v>
      </c>
      <c r="B134" s="14" t="s">
        <v>399</v>
      </c>
      <c r="C134" s="14" t="s">
        <v>12</v>
      </c>
      <c r="D134" s="14" t="s">
        <v>38</v>
      </c>
      <c r="E134" s="14" t="s">
        <v>77</v>
      </c>
      <c r="F134" s="14" t="s">
        <v>15</v>
      </c>
      <c r="G134" s="14" t="s">
        <v>94</v>
      </c>
      <c r="H134" s="14">
        <v>45036</v>
      </c>
      <c r="I134" s="14">
        <v>150872</v>
      </c>
      <c r="J134" s="14" t="s">
        <v>82</v>
      </c>
      <c r="K134" s="14" t="str">
        <f>A134&amp;B134&amp;C134&amp;D134&amp;E134&amp;F134&amp;G134&amp;H134&amp;I134&amp;J134&amp;[1]Sheet1!$G$5</f>
        <v>E0133Karim RanaFemaleEngineeringJunior Software EngineerFull-timeRajshahi45036150872E0016Sylhet</v>
      </c>
      <c r="L134" s="14">
        <f t="shared" si="6"/>
        <v>132359</v>
      </c>
      <c r="M134" s="14">
        <f ca="1" t="shared" si="7"/>
        <v>2</v>
      </c>
      <c r="N134" s="15" t="str">
        <f ca="1" t="shared" si="8"/>
        <v>New</v>
      </c>
    </row>
    <row r="135" spans="1:14">
      <c r="A135" s="16" t="s">
        <v>400</v>
      </c>
      <c r="B135" s="17" t="s">
        <v>401</v>
      </c>
      <c r="C135" s="17" t="s">
        <v>12</v>
      </c>
      <c r="D135" s="17" t="s">
        <v>13</v>
      </c>
      <c r="E135" s="17" t="s">
        <v>14</v>
      </c>
      <c r="F135" s="17" t="s">
        <v>15</v>
      </c>
      <c r="G135" s="17" t="s">
        <v>16</v>
      </c>
      <c r="H135" s="17">
        <v>45519</v>
      </c>
      <c r="I135" s="17">
        <v>74066</v>
      </c>
      <c r="J135" s="17" t="s">
        <v>253</v>
      </c>
      <c r="K135" s="17" t="str">
        <f>A135&amp;B135&amp;C135&amp;D135&amp;E135&amp;F135&amp;G135&amp;H135&amp;I135&amp;J135&amp;[1]Sheet1!$G$5</f>
        <v>E0134Tasnim TalukderFemaleSalesSales AssociateFull-timeKhulna4551974066E0109Sylhet</v>
      </c>
      <c r="L135" s="17">
        <f t="shared" si="6"/>
        <v>132352</v>
      </c>
      <c r="M135" s="17">
        <f ca="1" t="shared" si="7"/>
        <v>1</v>
      </c>
      <c r="N135" s="18" t="str">
        <f ca="1" t="shared" si="8"/>
        <v>New</v>
      </c>
    </row>
    <row r="136" spans="1:14">
      <c r="A136" s="13" t="s">
        <v>402</v>
      </c>
      <c r="B136" s="14" t="s">
        <v>403</v>
      </c>
      <c r="C136" s="14" t="s">
        <v>19</v>
      </c>
      <c r="D136" s="14" t="s">
        <v>20</v>
      </c>
      <c r="E136" s="14" t="s">
        <v>21</v>
      </c>
      <c r="F136" s="14" t="s">
        <v>15</v>
      </c>
      <c r="G136" s="14" t="s">
        <v>62</v>
      </c>
      <c r="H136" s="14">
        <v>44628</v>
      </c>
      <c r="I136" s="14">
        <v>71853</v>
      </c>
      <c r="J136" s="14" t="s">
        <v>322</v>
      </c>
      <c r="K136" s="14" t="str">
        <f>A136&amp;B136&amp;C136&amp;D136&amp;E136&amp;F136&amp;G136&amp;H136&amp;I136&amp;J136&amp;[1]Sheet1!$G$5</f>
        <v>E0135Rafi MahmudMaleCustomer SuccessSupport SpecialistFull-timeChattogram4462871853E0672Sylhet</v>
      </c>
      <c r="L136" s="14">
        <f t="shared" si="6"/>
        <v>132359</v>
      </c>
      <c r="M136" s="14">
        <f ca="1" t="shared" si="7"/>
        <v>4</v>
      </c>
      <c r="N136" s="15" t="str">
        <f ca="1" t="shared" si="8"/>
        <v>Mid level</v>
      </c>
    </row>
    <row r="137" spans="1:14">
      <c r="A137" s="16" t="s">
        <v>404</v>
      </c>
      <c r="B137" s="17" t="s">
        <v>405</v>
      </c>
      <c r="C137" s="17" t="s">
        <v>19</v>
      </c>
      <c r="D137" s="17" t="s">
        <v>13</v>
      </c>
      <c r="E137" s="17" t="s">
        <v>14</v>
      </c>
      <c r="F137" s="17" t="s">
        <v>15</v>
      </c>
      <c r="G137" s="17" t="s">
        <v>94</v>
      </c>
      <c r="H137" s="17">
        <v>45322</v>
      </c>
      <c r="I137" s="17">
        <v>145378</v>
      </c>
      <c r="J137" s="17" t="s">
        <v>225</v>
      </c>
      <c r="K137" s="17" t="str">
        <f>A137&amp;B137&amp;C137&amp;D137&amp;E137&amp;F137&amp;G137&amp;H137&amp;I137&amp;J137&amp;[1]Sheet1!$G$5</f>
        <v>E0136Sajid KabirMaleSalesSales AssociateFull-timeRajshahi45322145378E0061Sylhet</v>
      </c>
      <c r="L137" s="17">
        <f t="shared" si="6"/>
        <v>132366</v>
      </c>
      <c r="M137" s="17">
        <f ca="1" t="shared" si="7"/>
        <v>2</v>
      </c>
      <c r="N137" s="18" t="str">
        <f ca="1" t="shared" si="8"/>
        <v>New</v>
      </c>
    </row>
    <row r="138" spans="1:14">
      <c r="A138" s="13" t="s">
        <v>406</v>
      </c>
      <c r="B138" s="14" t="s">
        <v>407</v>
      </c>
      <c r="C138" s="14" t="s">
        <v>19</v>
      </c>
      <c r="D138" s="14" t="s">
        <v>92</v>
      </c>
      <c r="E138" s="14" t="s">
        <v>126</v>
      </c>
      <c r="F138" s="14" t="s">
        <v>22</v>
      </c>
      <c r="G138" s="14" t="s">
        <v>40</v>
      </c>
      <c r="H138" s="14">
        <v>43250</v>
      </c>
      <c r="I138" s="14">
        <v>80214</v>
      </c>
      <c r="J138" s="14" t="s">
        <v>134</v>
      </c>
      <c r="K138" s="14" t="str">
        <f>A138&amp;B138&amp;C138&amp;D138&amp;E138&amp;F138&amp;G138&amp;H138&amp;I138&amp;J138&amp;[1]Sheet1!$G$5</f>
        <v>E0137Nadia SultanaMaleMarketingSEO SpecialistInternDhaka4325080214E0630Sylhet</v>
      </c>
      <c r="L138" s="14">
        <f t="shared" si="6"/>
        <v>132359</v>
      </c>
      <c r="M138" s="14">
        <f ca="1" t="shared" si="7"/>
        <v>7</v>
      </c>
      <c r="N138" s="15" t="str">
        <f ca="1" t="shared" si="8"/>
        <v>Experienced</v>
      </c>
    </row>
    <row r="139" spans="1:14">
      <c r="A139" s="16" t="s">
        <v>408</v>
      </c>
      <c r="B139" s="17" t="s">
        <v>409</v>
      </c>
      <c r="C139" s="17" t="s">
        <v>12</v>
      </c>
      <c r="D139" s="17" t="s">
        <v>26</v>
      </c>
      <c r="E139" s="17" t="s">
        <v>61</v>
      </c>
      <c r="F139" s="17" t="s">
        <v>15</v>
      </c>
      <c r="G139" s="17" t="s">
        <v>28</v>
      </c>
      <c r="H139" s="17">
        <v>44131</v>
      </c>
      <c r="I139" s="17">
        <v>153114</v>
      </c>
      <c r="J139" s="17"/>
      <c r="K139" s="17" t="str">
        <f>A139&amp;B139&amp;C139&amp;D139&amp;E139&amp;F139&amp;G139&amp;H139&amp;I139&amp;J139&amp;[1]Sheet1!$G$5</f>
        <v>E0138Nadia TalukderFemaleFinanceFinancial AnalystFull-timeRemote44131153114Sylhet</v>
      </c>
      <c r="L139" s="17">
        <f t="shared" si="6"/>
        <v>132366</v>
      </c>
      <c r="M139" s="17">
        <f ca="1" t="shared" si="7"/>
        <v>5</v>
      </c>
      <c r="N139" s="18" t="str">
        <f ca="1" t="shared" si="8"/>
        <v>Mid level</v>
      </c>
    </row>
    <row r="140" spans="1:14">
      <c r="A140" s="13" t="s">
        <v>410</v>
      </c>
      <c r="B140" s="14" t="s">
        <v>411</v>
      </c>
      <c r="C140" s="14" t="s">
        <v>12</v>
      </c>
      <c r="D140" s="14" t="s">
        <v>13</v>
      </c>
      <c r="E140" s="14" t="s">
        <v>165</v>
      </c>
      <c r="F140" s="14" t="s">
        <v>15</v>
      </c>
      <c r="G140" s="14" t="s">
        <v>62</v>
      </c>
      <c r="H140" s="14">
        <v>44219</v>
      </c>
      <c r="I140" s="14">
        <v>107540</v>
      </c>
      <c r="J140" s="14" t="s">
        <v>412</v>
      </c>
      <c r="K140" s="14" t="str">
        <f>A140&amp;B140&amp;C140&amp;D140&amp;E140&amp;F140&amp;G140&amp;H140&amp;I140&amp;J140&amp;[1]Sheet1!$G$5</f>
        <v>E0139Sumaiya BanuFemaleSalesAccount ExecutiveFull-timeChattogram44219107540E0357Sylhet</v>
      </c>
      <c r="L140" s="14">
        <f t="shared" si="6"/>
        <v>132359</v>
      </c>
      <c r="M140" s="14">
        <f ca="1" t="shared" si="7"/>
        <v>5</v>
      </c>
      <c r="N140" s="15" t="str">
        <f ca="1" t="shared" si="8"/>
        <v>Mid level</v>
      </c>
    </row>
    <row r="141" spans="1:14">
      <c r="A141" s="16" t="s">
        <v>413</v>
      </c>
      <c r="B141" s="17" t="s">
        <v>414</v>
      </c>
      <c r="C141" s="17" t="s">
        <v>19</v>
      </c>
      <c r="D141" s="17" t="s">
        <v>20</v>
      </c>
      <c r="E141" s="17" t="s">
        <v>21</v>
      </c>
      <c r="F141" s="17" t="s">
        <v>15</v>
      </c>
      <c r="G141" s="17" t="s">
        <v>34</v>
      </c>
      <c r="H141" s="17">
        <v>43305</v>
      </c>
      <c r="I141" s="17">
        <v>133736</v>
      </c>
      <c r="J141" s="17" t="s">
        <v>332</v>
      </c>
      <c r="K141" s="17" t="str">
        <f>A141&amp;B141&amp;C141&amp;D141&amp;E141&amp;F141&amp;G141&amp;H141&amp;I141&amp;J141&amp;[1]Sheet1!$G$5</f>
        <v>E0140Mitu HossainMaleCustomer SuccessSupport SpecialistFull-timeSylhet43305133736E0103Sylhet</v>
      </c>
      <c r="L141" s="17">
        <f t="shared" si="6"/>
        <v>132366</v>
      </c>
      <c r="M141" s="17">
        <f ca="1" t="shared" si="7"/>
        <v>7</v>
      </c>
      <c r="N141" s="18" t="str">
        <f ca="1" t="shared" si="8"/>
        <v>Experienced</v>
      </c>
    </row>
    <row r="142" spans="1:14">
      <c r="A142" s="13" t="s">
        <v>172</v>
      </c>
      <c r="B142" s="14" t="s">
        <v>415</v>
      </c>
      <c r="C142" s="14" t="s">
        <v>19</v>
      </c>
      <c r="D142" s="14" t="s">
        <v>20</v>
      </c>
      <c r="E142" s="14" t="s">
        <v>70</v>
      </c>
      <c r="F142" s="14" t="s">
        <v>48</v>
      </c>
      <c r="G142" s="14" t="s">
        <v>34</v>
      </c>
      <c r="H142" s="14">
        <v>44064</v>
      </c>
      <c r="I142" s="14">
        <v>193662</v>
      </c>
      <c r="J142" s="14" t="s">
        <v>175</v>
      </c>
      <c r="K142" s="14" t="str">
        <f>A142&amp;B142&amp;C142&amp;D142&amp;E142&amp;F142&amp;G142&amp;H142&amp;I142&amp;J142&amp;[1]Sheet1!$G$5</f>
        <v>E0141Shawon HasanMaleCustomer SuccessCustomer Success ManagerContractSylhet44064193662E0736Sylhet</v>
      </c>
      <c r="L142" s="14">
        <f t="shared" si="6"/>
        <v>132359</v>
      </c>
      <c r="M142" s="14">
        <f ca="1" t="shared" si="7"/>
        <v>5</v>
      </c>
      <c r="N142" s="15" t="str">
        <f ca="1" t="shared" si="8"/>
        <v>Mid level</v>
      </c>
    </row>
    <row r="143" spans="1:14">
      <c r="A143" s="16" t="s">
        <v>416</v>
      </c>
      <c r="B143" s="17" t="s">
        <v>417</v>
      </c>
      <c r="C143" s="17" t="s">
        <v>19</v>
      </c>
      <c r="D143" s="17" t="s">
        <v>87</v>
      </c>
      <c r="E143" s="17" t="s">
        <v>156</v>
      </c>
      <c r="F143" s="17" t="s">
        <v>15</v>
      </c>
      <c r="G143" s="17" t="s">
        <v>40</v>
      </c>
      <c r="H143" s="17">
        <v>43758</v>
      </c>
      <c r="I143" s="17">
        <v>214124</v>
      </c>
      <c r="J143" s="17" t="s">
        <v>275</v>
      </c>
      <c r="K143" s="17" t="str">
        <f>A143&amp;B143&amp;C143&amp;D143&amp;E143&amp;F143&amp;G143&amp;H143&amp;I143&amp;J143&amp;[1]Sheet1!$G$5</f>
        <v>E0142Esha SharminMaleProductAssociate Product ManagerFull-timeDhaka43758214124E0081Sylhet</v>
      </c>
      <c r="L143" s="17">
        <f t="shared" si="6"/>
        <v>132352</v>
      </c>
      <c r="M143" s="17">
        <f ca="1" t="shared" si="7"/>
        <v>6</v>
      </c>
      <c r="N143" s="18" t="str">
        <f ca="1" t="shared" si="8"/>
        <v>Experienced</v>
      </c>
    </row>
    <row r="144" spans="1:14">
      <c r="A144" s="13" t="s">
        <v>418</v>
      </c>
      <c r="B144" s="14" t="s">
        <v>405</v>
      </c>
      <c r="C144" s="14" t="s">
        <v>19</v>
      </c>
      <c r="D144" s="14" t="s">
        <v>92</v>
      </c>
      <c r="E144" s="14" t="s">
        <v>93</v>
      </c>
      <c r="F144" s="14" t="s">
        <v>15</v>
      </c>
      <c r="G144" s="14" t="s">
        <v>28</v>
      </c>
      <c r="H144" s="14">
        <v>45759</v>
      </c>
      <c r="I144" s="14">
        <v>160401</v>
      </c>
      <c r="J144" s="14" t="s">
        <v>29</v>
      </c>
      <c r="K144" s="14" t="str">
        <f>A144&amp;B144&amp;C144&amp;D144&amp;E144&amp;F144&amp;G144&amp;H144&amp;I144&amp;J144&amp;[1]Sheet1!$G$5</f>
        <v>E0143Sajid KabirMaleMarketingGrowth MarketerFull-timeRemote45759160401E0990Sylhet</v>
      </c>
      <c r="L144" s="14">
        <f t="shared" si="6"/>
        <v>132269</v>
      </c>
      <c r="M144" s="14">
        <f ca="1" t="shared" si="7"/>
        <v>0</v>
      </c>
      <c r="N144" s="15" t="str">
        <f ca="1" t="shared" si="8"/>
        <v>New</v>
      </c>
    </row>
    <row r="145" spans="1:14">
      <c r="A145" s="16" t="s">
        <v>419</v>
      </c>
      <c r="B145" s="17" t="s">
        <v>420</v>
      </c>
      <c r="C145" s="17" t="s">
        <v>12</v>
      </c>
      <c r="D145" s="17" t="s">
        <v>87</v>
      </c>
      <c r="E145" s="17" t="s">
        <v>156</v>
      </c>
      <c r="F145" s="17" t="s">
        <v>15</v>
      </c>
      <c r="G145" s="17" t="s">
        <v>28</v>
      </c>
      <c r="H145" s="17">
        <v>44227</v>
      </c>
      <c r="I145" s="17">
        <v>292950</v>
      </c>
      <c r="J145" s="17" t="s">
        <v>74</v>
      </c>
      <c r="K145" s="17" t="str">
        <f>A145&amp;B145&amp;C145&amp;D145&amp;E145&amp;F145&amp;G145&amp;H145&amp;I145&amp;J145&amp;[1]Sheet1!$G$5</f>
        <v>E0144Rashed KabirFemaleProductAssociate Product ManagerFull-timeRemote44227292950E0396Sylhet</v>
      </c>
      <c r="L145" s="17">
        <f t="shared" si="6"/>
        <v>132186</v>
      </c>
      <c r="M145" s="17">
        <f ca="1" t="shared" si="7"/>
        <v>5</v>
      </c>
      <c r="N145" s="18" t="str">
        <f ca="1" t="shared" si="8"/>
        <v>Mid level</v>
      </c>
    </row>
    <row r="146" spans="1:14">
      <c r="A146" s="13" t="s">
        <v>421</v>
      </c>
      <c r="B146" s="14" t="s">
        <v>422</v>
      </c>
      <c r="C146" s="14" t="s">
        <v>19</v>
      </c>
      <c r="D146" s="14" t="s">
        <v>87</v>
      </c>
      <c r="E146" s="14" t="s">
        <v>88</v>
      </c>
      <c r="F146" s="14" t="s">
        <v>15</v>
      </c>
      <c r="G146" s="14" t="s">
        <v>94</v>
      </c>
      <c r="H146" s="14">
        <v>44003</v>
      </c>
      <c r="I146" s="14">
        <v>156121</v>
      </c>
      <c r="J146" s="14" t="s">
        <v>112</v>
      </c>
      <c r="K146" s="14" t="str">
        <f>A146&amp;B146&amp;C146&amp;D146&amp;E146&amp;F146&amp;G146&amp;H146&amp;I146&amp;J146&amp;[1]Sheet1!$G$5</f>
        <v>E0145Sajid RanaMaleProductProduct AnalystFull-timeRajshahi44003156121E0024Sylhet</v>
      </c>
      <c r="L146" s="14">
        <f t="shared" si="6"/>
        <v>132145</v>
      </c>
      <c r="M146" s="14">
        <f ca="1" t="shared" si="7"/>
        <v>5</v>
      </c>
      <c r="N146" s="15" t="str">
        <f ca="1" t="shared" si="8"/>
        <v>Mid level</v>
      </c>
    </row>
    <row r="147" spans="1:14">
      <c r="A147" s="16" t="s">
        <v>423</v>
      </c>
      <c r="B147" s="17" t="s">
        <v>424</v>
      </c>
      <c r="C147" s="17" t="s">
        <v>19</v>
      </c>
      <c r="D147" s="17" t="s">
        <v>38</v>
      </c>
      <c r="E147" s="17" t="s">
        <v>39</v>
      </c>
      <c r="F147" s="17" t="s">
        <v>15</v>
      </c>
      <c r="G147" s="17" t="s">
        <v>28</v>
      </c>
      <c r="H147" s="17">
        <v>44073</v>
      </c>
      <c r="I147" s="17">
        <v>144739</v>
      </c>
      <c r="J147" s="17" t="s">
        <v>425</v>
      </c>
      <c r="K147" s="17" t="str">
        <f>A147&amp;B147&amp;C147&amp;D147&amp;E147&amp;F147&amp;G147&amp;H147&amp;I147&amp;J147&amp;[1]Sheet1!$G$5</f>
        <v>E0146Shawon TalukderMaleEngineeringDevOps EngineerFull-timeRemote44073144739E0554Sylhet</v>
      </c>
      <c r="L147" s="17">
        <f t="shared" si="6"/>
        <v>132104</v>
      </c>
      <c r="M147" s="17">
        <f ca="1" t="shared" si="7"/>
        <v>5</v>
      </c>
      <c r="N147" s="18" t="str">
        <f ca="1" t="shared" si="8"/>
        <v>Mid level</v>
      </c>
    </row>
    <row r="148" spans="1:14">
      <c r="A148" s="13" t="s">
        <v>426</v>
      </c>
      <c r="B148" s="14" t="s">
        <v>427</v>
      </c>
      <c r="C148" s="14" t="s">
        <v>19</v>
      </c>
      <c r="D148" s="14" t="s">
        <v>32</v>
      </c>
      <c r="E148" s="14" t="s">
        <v>33</v>
      </c>
      <c r="F148" s="14" t="s">
        <v>15</v>
      </c>
      <c r="G148" s="14" t="s">
        <v>16</v>
      </c>
      <c r="H148" s="14">
        <v>45358</v>
      </c>
      <c r="I148" s="14">
        <v>66930</v>
      </c>
      <c r="J148" s="14" t="s">
        <v>89</v>
      </c>
      <c r="K148" s="14" t="str">
        <f>A148&amp;B148&amp;C148&amp;D148&amp;E148&amp;F148&amp;G148&amp;H148&amp;I148&amp;J148&amp;[1]Sheet1!$G$5</f>
        <v>E0147Nabila SarkerMaleHRHR Business PartnerFull-timeKhulna4535866930E0783Sylhet</v>
      </c>
      <c r="L148" s="14">
        <f t="shared" si="6"/>
        <v>132031</v>
      </c>
      <c r="M148" s="14">
        <f ca="1" t="shared" si="7"/>
        <v>2</v>
      </c>
      <c r="N148" s="15" t="str">
        <f ca="1" t="shared" si="8"/>
        <v>New</v>
      </c>
    </row>
    <row r="149" spans="1:14">
      <c r="A149" s="16" t="s">
        <v>428</v>
      </c>
      <c r="B149" s="17" t="s">
        <v>429</v>
      </c>
      <c r="C149" s="17" t="s">
        <v>12</v>
      </c>
      <c r="D149" s="17" t="s">
        <v>92</v>
      </c>
      <c r="E149" s="17" t="s">
        <v>93</v>
      </c>
      <c r="F149" s="17" t="s">
        <v>22</v>
      </c>
      <c r="G149" s="17" t="s">
        <v>34</v>
      </c>
      <c r="H149" s="17">
        <v>42759</v>
      </c>
      <c r="I149" s="17">
        <v>66367</v>
      </c>
      <c r="J149" s="17" t="s">
        <v>331</v>
      </c>
      <c r="K149" s="17" t="str">
        <f>A149&amp;B149&amp;C149&amp;D149&amp;E149&amp;F149&amp;G149&amp;H149&amp;I149&amp;J149&amp;[1]Sheet1!$G$5</f>
        <v>E0148Sumaiya RasheedFemaleMarketingGrowth MarketerInternSylhet4275966367E0855Sylhet</v>
      </c>
      <c r="L149" s="17">
        <f t="shared" si="6"/>
        <v>132104</v>
      </c>
      <c r="M149" s="17">
        <f ca="1" t="shared" si="7"/>
        <v>9</v>
      </c>
      <c r="N149" s="18" t="str">
        <f ca="1" t="shared" si="8"/>
        <v>Experienced</v>
      </c>
    </row>
    <row r="150" spans="1:14">
      <c r="A150" s="13" t="s">
        <v>430</v>
      </c>
      <c r="B150" s="14" t="s">
        <v>431</v>
      </c>
      <c r="C150" s="14" t="s">
        <v>19</v>
      </c>
      <c r="D150" s="14" t="s">
        <v>38</v>
      </c>
      <c r="E150" s="14" t="s">
        <v>39</v>
      </c>
      <c r="F150" s="14" t="s">
        <v>15</v>
      </c>
      <c r="G150" s="14" t="s">
        <v>62</v>
      </c>
      <c r="H150" s="14">
        <v>43650</v>
      </c>
      <c r="I150" s="14">
        <v>125613</v>
      </c>
      <c r="J150" s="14" t="s">
        <v>78</v>
      </c>
      <c r="K150" s="14" t="str">
        <f>A150&amp;B150&amp;C150&amp;D150&amp;E150&amp;F150&amp;G150&amp;H150&amp;I150&amp;J150&amp;[1]Sheet1!$G$5</f>
        <v>E0149Ovi HossainMaleEngineeringDevOps EngineerFull-timeChattogram43650125613E0270Sylhet</v>
      </c>
      <c r="L150" s="14">
        <f t="shared" si="6"/>
        <v>132145</v>
      </c>
      <c r="M150" s="14">
        <f ca="1" t="shared" si="7"/>
        <v>6</v>
      </c>
      <c r="N150" s="15" t="str">
        <f ca="1" t="shared" si="8"/>
        <v>Experienced</v>
      </c>
    </row>
    <row r="151" spans="1:14">
      <c r="A151" s="16" t="s">
        <v>376</v>
      </c>
      <c r="B151" s="17" t="s">
        <v>432</v>
      </c>
      <c r="C151" s="17" t="s">
        <v>19</v>
      </c>
      <c r="D151" s="17" t="s">
        <v>87</v>
      </c>
      <c r="E151" s="17" t="s">
        <v>111</v>
      </c>
      <c r="F151" s="17" t="s">
        <v>15</v>
      </c>
      <c r="G151" s="17" t="s">
        <v>34</v>
      </c>
      <c r="H151" s="17">
        <v>44118</v>
      </c>
      <c r="I151" s="17">
        <v>235298</v>
      </c>
      <c r="J151" s="17" t="s">
        <v>395</v>
      </c>
      <c r="K151" s="17" t="str">
        <f>A151&amp;B151&amp;C151&amp;D151&amp;E151&amp;F151&amp;G151&amp;H151&amp;I151&amp;J151&amp;[1]Sheet1!$G$5</f>
        <v>E0150Shawon ShahMaleProductSenior Product ManagerFull-timeSylhet44118235298E0132Sylhet</v>
      </c>
      <c r="L151" s="17">
        <f t="shared" si="6"/>
        <v>132186</v>
      </c>
      <c r="M151" s="17">
        <f ca="1" t="shared" si="7"/>
        <v>5</v>
      </c>
      <c r="N151" s="18" t="str">
        <f ca="1" t="shared" si="8"/>
        <v>Mid level</v>
      </c>
    </row>
    <row r="152" spans="1:14">
      <c r="A152" s="13" t="s">
        <v>433</v>
      </c>
      <c r="B152" s="14" t="s">
        <v>434</v>
      </c>
      <c r="C152" s="14" t="s">
        <v>293</v>
      </c>
      <c r="D152" s="14" t="s">
        <v>20</v>
      </c>
      <c r="E152" s="14" t="s">
        <v>21</v>
      </c>
      <c r="F152" s="14" t="s">
        <v>15</v>
      </c>
      <c r="G152" s="14" t="s">
        <v>16</v>
      </c>
      <c r="H152" s="14">
        <v>43650</v>
      </c>
      <c r="I152" s="14">
        <v>90082</v>
      </c>
      <c r="J152" s="14" t="s">
        <v>435</v>
      </c>
      <c r="K152" s="14" t="str">
        <f>A152&amp;B152&amp;C152&amp;D152&amp;E152&amp;F152&amp;G152&amp;H152&amp;I152&amp;J152&amp;[1]Sheet1!$G$5</f>
        <v>E0151Nabila ParvinPrefer not to sayCustomer SuccessSupport SpecialistFull-timeKhulna4365090082E0956Sylhet</v>
      </c>
      <c r="L152" s="14">
        <f t="shared" si="6"/>
        <v>132145</v>
      </c>
      <c r="M152" s="14">
        <f ca="1" t="shared" si="7"/>
        <v>6</v>
      </c>
      <c r="N152" s="15" t="str">
        <f ca="1" t="shared" si="8"/>
        <v>Experienced</v>
      </c>
    </row>
    <row r="153" spans="1:14">
      <c r="A153" s="16" t="s">
        <v>436</v>
      </c>
      <c r="B153" s="17" t="s">
        <v>437</v>
      </c>
      <c r="C153" s="17" t="s">
        <v>12</v>
      </c>
      <c r="D153" s="17" t="s">
        <v>87</v>
      </c>
      <c r="E153" s="17" t="s">
        <v>111</v>
      </c>
      <c r="F153" s="17" t="s">
        <v>15</v>
      </c>
      <c r="G153" s="17" t="s">
        <v>62</v>
      </c>
      <c r="H153" s="17">
        <v>45094</v>
      </c>
      <c r="I153" s="17">
        <v>229275</v>
      </c>
      <c r="J153" s="17" t="s">
        <v>331</v>
      </c>
      <c r="K153" s="17" t="str">
        <f>A153&amp;B153&amp;C153&amp;D153&amp;E153&amp;F153&amp;G153&amp;H153&amp;I153&amp;J153&amp;[1]Sheet1!$G$5</f>
        <v>E0152Esha BanuFemaleProductSenior Product ManagerFull-timeChattogram45094229275E0855Sylhet</v>
      </c>
      <c r="L153" s="17">
        <f t="shared" si="6"/>
        <v>132186</v>
      </c>
      <c r="M153" s="17">
        <f ca="1" t="shared" si="7"/>
        <v>2</v>
      </c>
      <c r="N153" s="18" t="str">
        <f ca="1" t="shared" si="8"/>
        <v>New</v>
      </c>
    </row>
    <row r="154" spans="1:14">
      <c r="A154" s="13" t="s">
        <v>438</v>
      </c>
      <c r="B154" s="14" t="s">
        <v>439</v>
      </c>
      <c r="C154" s="14" t="s">
        <v>19</v>
      </c>
      <c r="D154" s="14" t="s">
        <v>38</v>
      </c>
      <c r="E154" s="14" t="s">
        <v>44</v>
      </c>
      <c r="F154" s="14" t="s">
        <v>15</v>
      </c>
      <c r="G154" s="14" t="s">
        <v>40</v>
      </c>
      <c r="H154" s="14">
        <v>43414</v>
      </c>
      <c r="I154" s="14">
        <v>122342</v>
      </c>
      <c r="J154" s="14" t="s">
        <v>440</v>
      </c>
      <c r="K154" s="14" t="str">
        <f>A154&amp;B154&amp;C154&amp;D154&amp;E154&amp;F154&amp;G154&amp;H154&amp;I154&amp;J154&amp;[1]Sheet1!$G$5</f>
        <v>E0153Tania ParvinMaleEngineeringQA EngineerFull-timeDhaka43414122342E0682Sylhet</v>
      </c>
      <c r="L154" s="14">
        <f t="shared" si="6"/>
        <v>132145</v>
      </c>
      <c r="M154" s="14">
        <f ca="1" t="shared" si="7"/>
        <v>7</v>
      </c>
      <c r="N154" s="15" t="str">
        <f ca="1" t="shared" si="8"/>
        <v>Experienced</v>
      </c>
    </row>
    <row r="155" spans="1:14">
      <c r="A155" s="16" t="s">
        <v>441</v>
      </c>
      <c r="B155" s="17" t="s">
        <v>442</v>
      </c>
      <c r="C155" s="17" t="s">
        <v>19</v>
      </c>
      <c r="D155" s="17" t="s">
        <v>92</v>
      </c>
      <c r="E155" s="17" t="s">
        <v>93</v>
      </c>
      <c r="F155" s="17" t="s">
        <v>15</v>
      </c>
      <c r="G155" s="17" t="s">
        <v>34</v>
      </c>
      <c r="H155" s="17">
        <v>43903</v>
      </c>
      <c r="I155" s="17">
        <v>153272</v>
      </c>
      <c r="J155" s="17" t="s">
        <v>68</v>
      </c>
      <c r="K155" s="17" t="str">
        <f>A155&amp;B155&amp;C155&amp;D155&amp;E155&amp;F155&amp;G155&amp;H155&amp;I155&amp;J155&amp;[1]Sheet1!$G$5</f>
        <v>E0154Priya AkterMaleMarketingGrowth MarketerFull-timeSylhet43903153272E0012Sylhet</v>
      </c>
      <c r="L155" s="17">
        <f t="shared" si="6"/>
        <v>132186</v>
      </c>
      <c r="M155" s="17">
        <f ca="1" t="shared" si="7"/>
        <v>6</v>
      </c>
      <c r="N155" s="18" t="str">
        <f ca="1" t="shared" si="8"/>
        <v>Experienced</v>
      </c>
    </row>
    <row r="156" spans="1:14">
      <c r="A156" s="13" t="s">
        <v>443</v>
      </c>
      <c r="B156" s="14" t="s">
        <v>424</v>
      </c>
      <c r="C156" s="14" t="s">
        <v>19</v>
      </c>
      <c r="D156" s="14" t="s">
        <v>20</v>
      </c>
      <c r="E156" s="14" t="s">
        <v>21</v>
      </c>
      <c r="F156" s="14" t="s">
        <v>22</v>
      </c>
      <c r="G156" s="14" t="s">
        <v>94</v>
      </c>
      <c r="H156" s="14">
        <v>42995</v>
      </c>
      <c r="I156" s="14">
        <v>76212</v>
      </c>
      <c r="J156" s="14" t="s">
        <v>386</v>
      </c>
      <c r="K156" s="14" t="str">
        <f>A156&amp;B156&amp;C156&amp;D156&amp;E156&amp;F156&amp;G156&amp;H156&amp;I156&amp;J156&amp;[1]Sheet1!$G$5</f>
        <v>E0155Shawon TalukderMaleCustomer SuccessSupport SpecialistInternRajshahi4299576212E0585Sylhet</v>
      </c>
      <c r="L156" s="14">
        <f t="shared" si="6"/>
        <v>132145</v>
      </c>
      <c r="M156" s="14">
        <f ca="1" t="shared" si="7"/>
        <v>8</v>
      </c>
      <c r="N156" s="15" t="str">
        <f ca="1" t="shared" si="8"/>
        <v>Experienced</v>
      </c>
    </row>
    <row r="157" spans="1:14">
      <c r="A157" s="16" t="s">
        <v>356</v>
      </c>
      <c r="B157" s="17" t="s">
        <v>444</v>
      </c>
      <c r="C157" s="17" t="s">
        <v>19</v>
      </c>
      <c r="D157" s="17" t="s">
        <v>87</v>
      </c>
      <c r="E157" s="17" t="s">
        <v>349</v>
      </c>
      <c r="F157" s="17" t="s">
        <v>15</v>
      </c>
      <c r="G157" s="17" t="s">
        <v>28</v>
      </c>
      <c r="H157" s="17">
        <v>45183</v>
      </c>
      <c r="I157" s="17">
        <v>204194</v>
      </c>
      <c r="J157" s="17" t="s">
        <v>179</v>
      </c>
      <c r="K157" s="17" t="str">
        <f>A157&amp;B157&amp;C157&amp;D157&amp;E157&amp;F157&amp;G157&amp;H157&amp;I157&amp;J157&amp;[1]Sheet1!$G$5</f>
        <v>E0156Tania FerdousMaleProductProduct ManagerFull-timeRemote45183204194E0045Sylhet</v>
      </c>
      <c r="L157" s="17">
        <f t="shared" si="6"/>
        <v>132186</v>
      </c>
      <c r="M157" s="17">
        <f ca="1" t="shared" si="7"/>
        <v>2</v>
      </c>
      <c r="N157" s="18" t="str">
        <f ca="1" t="shared" si="8"/>
        <v>New</v>
      </c>
    </row>
    <row r="158" spans="1:14">
      <c r="A158" s="13" t="s">
        <v>445</v>
      </c>
      <c r="B158" s="14" t="s">
        <v>446</v>
      </c>
      <c r="C158" s="14" t="s">
        <v>19</v>
      </c>
      <c r="D158" s="14" t="s">
        <v>26</v>
      </c>
      <c r="E158" s="14" t="s">
        <v>162</v>
      </c>
      <c r="F158" s="14" t="s">
        <v>15</v>
      </c>
      <c r="G158" s="14" t="s">
        <v>62</v>
      </c>
      <c r="H158" s="14">
        <v>44312</v>
      </c>
      <c r="I158" s="14">
        <v>163259</v>
      </c>
      <c r="J158" s="14"/>
      <c r="K158" s="14" t="str">
        <f>A158&amp;B158&amp;C158&amp;D158&amp;E158&amp;F158&amp;G158&amp;H158&amp;I158&amp;J158&amp;[1]Sheet1!$G$5</f>
        <v>E0157Rafi ChowdhuryMaleFinanceAccounts ExecutiveFull-timeChattogram44312163259Sylhet</v>
      </c>
      <c r="L158" s="14">
        <f t="shared" si="6"/>
        <v>132145</v>
      </c>
      <c r="M158" s="14">
        <f ca="1" t="shared" si="7"/>
        <v>4</v>
      </c>
      <c r="N158" s="15" t="str">
        <f ca="1" t="shared" si="8"/>
        <v>Mid level</v>
      </c>
    </row>
    <row r="159" spans="1:14">
      <c r="A159" s="16" t="s">
        <v>447</v>
      </c>
      <c r="B159" s="17" t="s">
        <v>448</v>
      </c>
      <c r="C159" s="17" t="s">
        <v>12</v>
      </c>
      <c r="D159" s="17" t="s">
        <v>26</v>
      </c>
      <c r="E159" s="17" t="s">
        <v>27</v>
      </c>
      <c r="F159" s="17" t="s">
        <v>15</v>
      </c>
      <c r="G159" s="17" t="s">
        <v>16</v>
      </c>
      <c r="H159" s="17">
        <v>42644</v>
      </c>
      <c r="I159" s="17">
        <v>191622</v>
      </c>
      <c r="J159" s="17" t="s">
        <v>449</v>
      </c>
      <c r="K159" s="17" t="str">
        <f>A159&amp;B159&amp;C159&amp;D159&amp;E159&amp;F159&amp;G159&amp;H159&amp;I159&amp;J159&amp;[1]Sheet1!$G$5</f>
        <v>E0158Tasnim MahmudFemaleFinanceFinance ManagerFull-timeKhulna42644191622E0560Sylhet</v>
      </c>
      <c r="L159" s="17">
        <f t="shared" si="6"/>
        <v>132104</v>
      </c>
      <c r="M159" s="17">
        <f ca="1" t="shared" si="7"/>
        <v>9</v>
      </c>
      <c r="N159" s="18" t="str">
        <f ca="1" t="shared" si="8"/>
        <v>Experienced</v>
      </c>
    </row>
    <row r="160" spans="1:14">
      <c r="A160" s="13" t="s">
        <v>250</v>
      </c>
      <c r="B160" s="14" t="s">
        <v>450</v>
      </c>
      <c r="C160" s="14" t="s">
        <v>19</v>
      </c>
      <c r="D160" s="14" t="s">
        <v>87</v>
      </c>
      <c r="E160" s="14" t="s">
        <v>111</v>
      </c>
      <c r="F160" s="14" t="s">
        <v>15</v>
      </c>
      <c r="G160" s="14" t="s">
        <v>28</v>
      </c>
      <c r="H160" s="14">
        <v>42743</v>
      </c>
      <c r="I160" s="14">
        <v>254146</v>
      </c>
      <c r="J160" s="14" t="s">
        <v>272</v>
      </c>
      <c r="K160" s="14" t="str">
        <f>A160&amp;B160&amp;C160&amp;D160&amp;E160&amp;F160&amp;G160&amp;H160&amp;I160&amp;J160&amp;[1]Sheet1!$G$5</f>
        <v>E0159Karim SultanaMaleProductSenior Product ManagerFull-timeRemote42743254146E0080Sylhet</v>
      </c>
      <c r="L160" s="14">
        <f t="shared" si="6"/>
        <v>132031</v>
      </c>
      <c r="M160" s="14">
        <f ca="1" t="shared" si="7"/>
        <v>9</v>
      </c>
      <c r="N160" s="15" t="str">
        <f ca="1" t="shared" si="8"/>
        <v>Experienced</v>
      </c>
    </row>
    <row r="161" spans="1:14">
      <c r="A161" s="16" t="s">
        <v>451</v>
      </c>
      <c r="B161" s="17" t="s">
        <v>452</v>
      </c>
      <c r="C161" s="17" t="s">
        <v>19</v>
      </c>
      <c r="D161" s="17" t="s">
        <v>26</v>
      </c>
      <c r="E161" s="17" t="s">
        <v>162</v>
      </c>
      <c r="F161" s="17" t="s">
        <v>15</v>
      </c>
      <c r="G161" s="17" t="s">
        <v>28</v>
      </c>
      <c r="H161" s="17">
        <v>45776</v>
      </c>
      <c r="I161" s="17">
        <v>114415</v>
      </c>
      <c r="J161" s="17" t="s">
        <v>89</v>
      </c>
      <c r="K161" s="17" t="str">
        <f>A161&amp;B161&amp;C161&amp;D161&amp;E161&amp;F161&amp;G161&amp;H161&amp;I161&amp;J161&amp;[1]Sheet1!$G$5</f>
        <v>E0160Tania RasheedMaleFinanceAccounts ExecutiveFull-timeRemote45776114415E0783Sylhet</v>
      </c>
      <c r="L161" s="17">
        <f t="shared" si="6"/>
        <v>131958</v>
      </c>
      <c r="M161" s="17">
        <f ca="1" t="shared" si="7"/>
        <v>0</v>
      </c>
      <c r="N161" s="18" t="str">
        <f ca="1" t="shared" si="8"/>
        <v>New</v>
      </c>
    </row>
    <row r="162" spans="1:14">
      <c r="A162" s="13" t="s">
        <v>121</v>
      </c>
      <c r="B162" s="14" t="s">
        <v>453</v>
      </c>
      <c r="C162" s="14" t="s">
        <v>19</v>
      </c>
      <c r="D162" s="14" t="s">
        <v>13</v>
      </c>
      <c r="E162" s="14" t="s">
        <v>98</v>
      </c>
      <c r="F162" s="14" t="s">
        <v>15</v>
      </c>
      <c r="G162" s="14" t="s">
        <v>40</v>
      </c>
      <c r="H162" s="14">
        <v>42719</v>
      </c>
      <c r="I162" s="14">
        <v>190248</v>
      </c>
      <c r="J162" s="14" t="s">
        <v>336</v>
      </c>
      <c r="K162" s="14" t="str">
        <f>A162&amp;B162&amp;C162&amp;D162&amp;E162&amp;F162&amp;G162&amp;H162&amp;I162&amp;J162&amp;[1]Sheet1!$G$5</f>
        <v>E0161Esha SultanaMaleSalesSales ManagerFull-timeDhaka42719190248E0774Sylhet</v>
      </c>
      <c r="L162" s="14">
        <f t="shared" si="6"/>
        <v>132031</v>
      </c>
      <c r="M162" s="14">
        <f ca="1" t="shared" si="7"/>
        <v>9</v>
      </c>
      <c r="N162" s="15" t="str">
        <f ca="1" t="shared" si="8"/>
        <v>Experienced</v>
      </c>
    </row>
    <row r="163" spans="1:14">
      <c r="A163" s="16" t="s">
        <v>454</v>
      </c>
      <c r="B163" s="17" t="s">
        <v>455</v>
      </c>
      <c r="C163" s="17" t="s">
        <v>12</v>
      </c>
      <c r="D163" s="17" t="s">
        <v>32</v>
      </c>
      <c r="E163" s="17" t="s">
        <v>57</v>
      </c>
      <c r="F163" s="17" t="s">
        <v>15</v>
      </c>
      <c r="G163" s="17" t="s">
        <v>34</v>
      </c>
      <c r="H163" s="17">
        <v>42751</v>
      </c>
      <c r="I163" s="17">
        <v>60029</v>
      </c>
      <c r="J163" s="17" t="s">
        <v>456</v>
      </c>
      <c r="K163" s="17" t="str">
        <f>A163&amp;B163&amp;C163&amp;D163&amp;E163&amp;F163&amp;G163&amp;H163&amp;I163&amp;J163&amp;[1]Sheet1!$G$5</f>
        <v>E0162Sadia FerdousFemaleHRHR AssociateFull-timeSylhet4275160029E0416Sylhet</v>
      </c>
      <c r="L163" s="17">
        <f t="shared" si="6"/>
        <v>131958</v>
      </c>
      <c r="M163" s="17">
        <f ca="1" t="shared" si="7"/>
        <v>9</v>
      </c>
      <c r="N163" s="18" t="str">
        <f ca="1" t="shared" si="8"/>
        <v>Experienced</v>
      </c>
    </row>
    <row r="164" spans="1:14">
      <c r="A164" s="13" t="s">
        <v>457</v>
      </c>
      <c r="B164" s="14" t="s">
        <v>458</v>
      </c>
      <c r="C164" s="14" t="s">
        <v>19</v>
      </c>
      <c r="D164" s="14" t="s">
        <v>32</v>
      </c>
      <c r="E164" s="14" t="s">
        <v>130</v>
      </c>
      <c r="F164" s="14" t="s">
        <v>15</v>
      </c>
      <c r="G164" s="14" t="s">
        <v>62</v>
      </c>
      <c r="H164" s="14">
        <v>44138</v>
      </c>
      <c r="I164" s="14">
        <v>132352</v>
      </c>
      <c r="J164" s="14" t="s">
        <v>459</v>
      </c>
      <c r="K164" s="14" t="str">
        <f>A164&amp;B164&amp;C164&amp;D164&amp;E164&amp;F164&amp;G164&amp;H164&amp;I164&amp;J164&amp;[1]Sheet1!$G$5</f>
        <v>E0163Mitu BiswasMaleHRRecruiterFull-timeChattogram44138132352E0907Sylhet</v>
      </c>
      <c r="L164" s="14">
        <f t="shared" si="6"/>
        <v>132031</v>
      </c>
      <c r="M164" s="14">
        <f ca="1" t="shared" si="7"/>
        <v>5</v>
      </c>
      <c r="N164" s="15" t="str">
        <f ca="1" t="shared" si="8"/>
        <v>Mid level</v>
      </c>
    </row>
    <row r="165" spans="1:14">
      <c r="A165" s="16" t="s">
        <v>460</v>
      </c>
      <c r="B165" s="17" t="s">
        <v>461</v>
      </c>
      <c r="C165" s="17" t="s">
        <v>12</v>
      </c>
      <c r="D165" s="17" t="s">
        <v>92</v>
      </c>
      <c r="E165" s="17" t="s">
        <v>126</v>
      </c>
      <c r="F165" s="17" t="s">
        <v>48</v>
      </c>
      <c r="G165" s="17" t="s">
        <v>28</v>
      </c>
      <c r="H165" s="17">
        <v>42765</v>
      </c>
      <c r="I165" s="17">
        <v>172506</v>
      </c>
      <c r="J165" s="17" t="s">
        <v>436</v>
      </c>
      <c r="K165" s="17" t="str">
        <f>A165&amp;B165&amp;C165&amp;D165&amp;E165&amp;F165&amp;G165&amp;H165&amp;I165&amp;J165&amp;[1]Sheet1!$G$5</f>
        <v>E0164Jannat HaiderFemaleMarketingSEO SpecialistContractRemote42765172506E0152Sylhet</v>
      </c>
      <c r="L165" s="17">
        <f t="shared" si="6"/>
        <v>131958</v>
      </c>
      <c r="M165" s="17">
        <f ca="1" t="shared" si="7"/>
        <v>9</v>
      </c>
      <c r="N165" s="18" t="str">
        <f ca="1" t="shared" si="8"/>
        <v>Experienced</v>
      </c>
    </row>
    <row r="166" spans="1:14">
      <c r="A166" s="13" t="s">
        <v>462</v>
      </c>
      <c r="B166" s="14" t="s">
        <v>463</v>
      </c>
      <c r="C166" s="14" t="s">
        <v>12</v>
      </c>
      <c r="D166" s="14" t="s">
        <v>38</v>
      </c>
      <c r="E166" s="14" t="s">
        <v>77</v>
      </c>
      <c r="F166" s="14" t="s">
        <v>15</v>
      </c>
      <c r="G166" s="14" t="s">
        <v>62</v>
      </c>
      <c r="H166" s="14">
        <v>45419</v>
      </c>
      <c r="I166" s="14">
        <v>112641</v>
      </c>
      <c r="J166" s="14" t="s">
        <v>464</v>
      </c>
      <c r="K166" s="14" t="str">
        <f>A166&amp;B166&amp;C166&amp;D166&amp;E166&amp;F166&amp;G166&amp;H166&amp;I166&amp;J166&amp;[1]Sheet1!$G$5</f>
        <v>E0165Ovi RahmanFemaleEngineeringJunior Software EngineerFull-timeChattogram45419112641E0656Sylhet</v>
      </c>
      <c r="L166" s="14">
        <f t="shared" si="6"/>
        <v>131899</v>
      </c>
      <c r="M166" s="14">
        <f ca="1" t="shared" si="7"/>
        <v>1</v>
      </c>
      <c r="N166" s="15" t="str">
        <f ca="1" t="shared" si="8"/>
        <v>New</v>
      </c>
    </row>
    <row r="167" spans="1:14">
      <c r="A167" s="16" t="s">
        <v>465</v>
      </c>
      <c r="B167" s="17" t="s">
        <v>466</v>
      </c>
      <c r="C167" s="17" t="s">
        <v>19</v>
      </c>
      <c r="D167" s="17" t="s">
        <v>52</v>
      </c>
      <c r="E167" s="17" t="s">
        <v>53</v>
      </c>
      <c r="F167" s="17" t="s">
        <v>15</v>
      </c>
      <c r="G167" s="17" t="s">
        <v>94</v>
      </c>
      <c r="H167" s="17">
        <v>45396</v>
      </c>
      <c r="I167" s="17">
        <v>98319</v>
      </c>
      <c r="J167" s="17" t="s">
        <v>467</v>
      </c>
      <c r="K167" s="17" t="str">
        <f>A167&amp;B167&amp;C167&amp;D167&amp;E167&amp;F167&amp;G167&amp;H167&amp;I167&amp;J167&amp;[1]Sheet1!$G$5</f>
        <v>E0166Karim HasanMaleOperationsOperations ManagerFull-timeRajshahi4539698319E0181Sylhet</v>
      </c>
      <c r="L167" s="17">
        <f t="shared" si="6"/>
        <v>131958</v>
      </c>
      <c r="M167" s="17">
        <f ca="1" t="shared" si="7"/>
        <v>1</v>
      </c>
      <c r="N167" s="18" t="str">
        <f ca="1" t="shared" si="8"/>
        <v>New</v>
      </c>
    </row>
    <row r="168" spans="1:14">
      <c r="A168" s="13" t="s">
        <v>468</v>
      </c>
      <c r="B168" s="14" t="s">
        <v>469</v>
      </c>
      <c r="C168" s="14" t="s">
        <v>19</v>
      </c>
      <c r="D168" s="14" t="s">
        <v>13</v>
      </c>
      <c r="E168" s="14" t="s">
        <v>98</v>
      </c>
      <c r="F168" s="14" t="s">
        <v>15</v>
      </c>
      <c r="G168" s="14" t="s">
        <v>40</v>
      </c>
      <c r="H168" s="14">
        <v>43896</v>
      </c>
      <c r="I168" s="14">
        <v>184159</v>
      </c>
      <c r="J168" s="14" t="s">
        <v>141</v>
      </c>
      <c r="K168" s="14" t="str">
        <f>A168&amp;B168&amp;C168&amp;D168&amp;E168&amp;F168&amp;G168&amp;H168&amp;I168&amp;J168&amp;[1]Sheet1!$G$5</f>
        <v>E0167Esha IslamMaleSalesSales ManagerFull-timeDhaka43896184159E0709Sylhet</v>
      </c>
      <c r="L168" s="14">
        <f t="shared" si="6"/>
        <v>132031</v>
      </c>
      <c r="M168" s="14">
        <f ca="1" t="shared" si="7"/>
        <v>6</v>
      </c>
      <c r="N168" s="15" t="str">
        <f ca="1" t="shared" si="8"/>
        <v>Experienced</v>
      </c>
    </row>
    <row r="169" spans="1:14">
      <c r="A169" s="16" t="s">
        <v>470</v>
      </c>
      <c r="B169" s="17" t="s">
        <v>302</v>
      </c>
      <c r="C169" s="17" t="s">
        <v>12</v>
      </c>
      <c r="D169" s="17" t="s">
        <v>38</v>
      </c>
      <c r="E169" s="17" t="s">
        <v>140</v>
      </c>
      <c r="F169" s="17" t="s">
        <v>48</v>
      </c>
      <c r="G169" s="17" t="s">
        <v>62</v>
      </c>
      <c r="H169" s="17">
        <v>45695</v>
      </c>
      <c r="I169" s="17">
        <v>176571</v>
      </c>
      <c r="J169" s="17" t="s">
        <v>471</v>
      </c>
      <c r="K169" s="17" t="str">
        <f>A169&amp;B169&amp;C169&amp;D169&amp;E169&amp;F169&amp;G169&amp;H169&amp;I169&amp;J169&amp;[1]Sheet1!$G$5</f>
        <v>E0168Tamanna ParvinFemaleEngineeringSenior Software EngineerContractChattogram45695176571E0909Sylhet</v>
      </c>
      <c r="L169" s="17">
        <f t="shared" si="6"/>
        <v>131958</v>
      </c>
      <c r="M169" s="17">
        <f ca="1" t="shared" si="7"/>
        <v>1</v>
      </c>
      <c r="N169" s="18" t="str">
        <f ca="1" t="shared" si="8"/>
        <v>New</v>
      </c>
    </row>
    <row r="170" spans="1:14">
      <c r="A170" s="13" t="s">
        <v>472</v>
      </c>
      <c r="B170" s="14" t="s">
        <v>473</v>
      </c>
      <c r="C170" s="14" t="s">
        <v>19</v>
      </c>
      <c r="D170" s="14" t="s">
        <v>38</v>
      </c>
      <c r="E170" s="14" t="s">
        <v>77</v>
      </c>
      <c r="F170" s="14" t="s">
        <v>15</v>
      </c>
      <c r="G170" s="14" t="s">
        <v>94</v>
      </c>
      <c r="H170" s="14">
        <v>42902</v>
      </c>
      <c r="I170" s="14">
        <v>109974</v>
      </c>
      <c r="J170" s="14"/>
      <c r="K170" s="14" t="str">
        <f>A170&amp;B170&amp;C170&amp;D170&amp;E170&amp;F170&amp;G170&amp;H170&amp;I170&amp;J170&amp;[1]Sheet1!$G$5</f>
        <v>E0169Tamanna SadiqMaleEngineeringJunior Software EngineerFull-timeRajshahi42902109974Sylhet</v>
      </c>
      <c r="L170" s="14">
        <f t="shared" si="6"/>
        <v>131899</v>
      </c>
      <c r="M170" s="14">
        <f ca="1" t="shared" si="7"/>
        <v>8</v>
      </c>
      <c r="N170" s="15" t="str">
        <f ca="1" t="shared" si="8"/>
        <v>Experienced</v>
      </c>
    </row>
    <row r="171" spans="1:14">
      <c r="A171" s="16" t="s">
        <v>474</v>
      </c>
      <c r="B171" s="17" t="s">
        <v>475</v>
      </c>
      <c r="C171" s="17" t="s">
        <v>19</v>
      </c>
      <c r="D171" s="17" t="s">
        <v>32</v>
      </c>
      <c r="E171" s="17" t="s">
        <v>130</v>
      </c>
      <c r="F171" s="17" t="s">
        <v>15</v>
      </c>
      <c r="G171" s="17" t="s">
        <v>62</v>
      </c>
      <c r="H171" s="17">
        <v>44648</v>
      </c>
      <c r="I171" s="17">
        <v>63596</v>
      </c>
      <c r="J171" s="17" t="s">
        <v>476</v>
      </c>
      <c r="K171" s="17" t="str">
        <f>A171&amp;B171&amp;C171&amp;D171&amp;E171&amp;F171&amp;G171&amp;H171&amp;I171&amp;J171&amp;[1]Sheet1!$G$5</f>
        <v>E0170Nafiz RanaMaleHRRecruiterFull-timeChattogram4464863596E0574Sylhet</v>
      </c>
      <c r="L171" s="17">
        <f t="shared" si="6"/>
        <v>131958</v>
      </c>
      <c r="M171" s="17">
        <f ca="1" t="shared" si="7"/>
        <v>3</v>
      </c>
      <c r="N171" s="18" t="str">
        <f ca="1" t="shared" si="8"/>
        <v>Mid level</v>
      </c>
    </row>
    <row r="172" spans="1:14">
      <c r="A172" s="13" t="s">
        <v>477</v>
      </c>
      <c r="B172" s="14" t="s">
        <v>478</v>
      </c>
      <c r="C172" s="14" t="s">
        <v>12</v>
      </c>
      <c r="D172" s="14" t="s">
        <v>26</v>
      </c>
      <c r="E172" s="14" t="s">
        <v>294</v>
      </c>
      <c r="F172" s="14" t="s">
        <v>15</v>
      </c>
      <c r="G172" s="14" t="s">
        <v>94</v>
      </c>
      <c r="H172" s="14">
        <v>42615</v>
      </c>
      <c r="I172" s="14">
        <v>164223</v>
      </c>
      <c r="J172" s="14" t="s">
        <v>476</v>
      </c>
      <c r="K172" s="14" t="str">
        <f>A172&amp;B172&amp;C172&amp;D172&amp;E172&amp;F172&amp;G172&amp;H172&amp;I172&amp;J172&amp;[1]Sheet1!$G$5</f>
        <v>E0171Ayesha SadiqFemaleFinanceSenior Financial AnalystFull-timeRajshahi42615164223E0574Sylhet</v>
      </c>
      <c r="L172" s="14">
        <f t="shared" si="6"/>
        <v>132031</v>
      </c>
      <c r="M172" s="14">
        <f ca="1" t="shared" si="7"/>
        <v>9</v>
      </c>
      <c r="N172" s="15" t="str">
        <f ca="1" t="shared" si="8"/>
        <v>Experienced</v>
      </c>
    </row>
    <row r="173" spans="1:14">
      <c r="A173" s="16" t="s">
        <v>288</v>
      </c>
      <c r="B173" s="17" t="s">
        <v>479</v>
      </c>
      <c r="C173" s="17" t="s">
        <v>12</v>
      </c>
      <c r="D173" s="17" t="s">
        <v>38</v>
      </c>
      <c r="E173" s="17" t="s">
        <v>84</v>
      </c>
      <c r="F173" s="17" t="s">
        <v>15</v>
      </c>
      <c r="G173" s="17" t="s">
        <v>34</v>
      </c>
      <c r="H173" s="17">
        <v>44772</v>
      </c>
      <c r="I173" s="17">
        <v>197542</v>
      </c>
      <c r="J173" s="17"/>
      <c r="K173" s="17" t="str">
        <f>A173&amp;B173&amp;C173&amp;D173&amp;E173&amp;F173&amp;G173&amp;H173&amp;I173&amp;J173&amp;[1]Sheet1!$G$5</f>
        <v>E0172Shafiq RasheedFemaleEngineeringEngineering ManagerFull-timeSylhet44772197542Sylhet</v>
      </c>
      <c r="L173" s="17">
        <f t="shared" si="6"/>
        <v>131958</v>
      </c>
      <c r="M173" s="17">
        <f ca="1" t="shared" si="7"/>
        <v>3</v>
      </c>
      <c r="N173" s="18" t="str">
        <f ca="1" t="shared" si="8"/>
        <v>Mid level</v>
      </c>
    </row>
    <row r="174" spans="1:14">
      <c r="A174" s="13" t="s">
        <v>480</v>
      </c>
      <c r="B174" s="14" t="s">
        <v>481</v>
      </c>
      <c r="C174" s="14" t="s">
        <v>19</v>
      </c>
      <c r="D174" s="14" t="s">
        <v>92</v>
      </c>
      <c r="E174" s="14" t="s">
        <v>93</v>
      </c>
      <c r="F174" s="14" t="s">
        <v>15</v>
      </c>
      <c r="G174" s="14" t="s">
        <v>94</v>
      </c>
      <c r="H174" s="14">
        <v>44670</v>
      </c>
      <c r="I174" s="14">
        <v>124487</v>
      </c>
      <c r="J174" s="14" t="s">
        <v>482</v>
      </c>
      <c r="K174" s="14" t="str">
        <f>A174&amp;B174&amp;C174&amp;D174&amp;E174&amp;F174&amp;G174&amp;H174&amp;I174&amp;J174&amp;[1]Sheet1!$G$5</f>
        <v>E0173Shafiq AkterMaleMarketingGrowth MarketerFull-timeRajshahi44670124487E0229Sylhet</v>
      </c>
      <c r="L174" s="14">
        <f t="shared" si="6"/>
        <v>131899</v>
      </c>
      <c r="M174" s="14">
        <f ca="1" t="shared" si="7"/>
        <v>3</v>
      </c>
      <c r="N174" s="15" t="str">
        <f ca="1" t="shared" si="8"/>
        <v>Mid level</v>
      </c>
    </row>
    <row r="175" spans="1:14">
      <c r="A175" s="16" t="s">
        <v>483</v>
      </c>
      <c r="B175" s="17" t="s">
        <v>484</v>
      </c>
      <c r="C175" s="17" t="s">
        <v>12</v>
      </c>
      <c r="D175" s="17" t="s">
        <v>87</v>
      </c>
      <c r="E175" s="17" t="s">
        <v>88</v>
      </c>
      <c r="F175" s="17" t="s">
        <v>15</v>
      </c>
      <c r="G175" s="17" t="s">
        <v>34</v>
      </c>
      <c r="H175" s="17">
        <v>44670</v>
      </c>
      <c r="I175" s="17">
        <v>170924</v>
      </c>
      <c r="J175" s="17"/>
      <c r="K175" s="17" t="str">
        <f>A175&amp;B175&amp;C175&amp;D175&amp;E175&amp;F175&amp;G175&amp;H175&amp;I175&amp;J175&amp;[1]Sheet1!$G$5</f>
        <v>E0174Lamia MiahFemaleProductProduct AnalystFull-timeSylhet44670170924Sylhet</v>
      </c>
      <c r="L175" s="17">
        <f t="shared" si="6"/>
        <v>131958</v>
      </c>
      <c r="M175" s="17">
        <f ca="1" t="shared" si="7"/>
        <v>3</v>
      </c>
      <c r="N175" s="18" t="str">
        <f ca="1" t="shared" si="8"/>
        <v>Mid level</v>
      </c>
    </row>
    <row r="176" spans="1:14">
      <c r="A176" s="13" t="s">
        <v>485</v>
      </c>
      <c r="B176" s="14" t="s">
        <v>486</v>
      </c>
      <c r="C176" s="14" t="s">
        <v>12</v>
      </c>
      <c r="D176" s="14" t="s">
        <v>32</v>
      </c>
      <c r="E176" s="14" t="s">
        <v>33</v>
      </c>
      <c r="F176" s="14" t="s">
        <v>15</v>
      </c>
      <c r="G176" s="14" t="s">
        <v>16</v>
      </c>
      <c r="H176" s="14">
        <v>43720</v>
      </c>
      <c r="I176" s="14">
        <v>89719</v>
      </c>
      <c r="J176" s="14" t="s">
        <v>347</v>
      </c>
      <c r="K176" s="14" t="str">
        <f>A176&amp;B176&amp;C176&amp;D176&amp;E176&amp;F176&amp;G176&amp;H176&amp;I176&amp;J176&amp;[1]Sheet1!$G$5</f>
        <v>E0175Mitu SultanaFemaleHRHR Business PartnerFull-timeKhulna4372089719E0500Sylhet</v>
      </c>
      <c r="L176" s="14">
        <f t="shared" si="6"/>
        <v>131899</v>
      </c>
      <c r="M176" s="14">
        <f ca="1" t="shared" si="7"/>
        <v>6</v>
      </c>
      <c r="N176" s="15" t="str">
        <f ca="1" t="shared" si="8"/>
        <v>Experienced</v>
      </c>
    </row>
    <row r="177" spans="1:14">
      <c r="A177" s="16" t="s">
        <v>487</v>
      </c>
      <c r="B177" s="17" t="s">
        <v>488</v>
      </c>
      <c r="C177" s="17" t="s">
        <v>19</v>
      </c>
      <c r="D177" s="17" t="s">
        <v>38</v>
      </c>
      <c r="E177" s="17" t="s">
        <v>140</v>
      </c>
      <c r="F177" s="17" t="s">
        <v>48</v>
      </c>
      <c r="G177" s="17" t="s">
        <v>62</v>
      </c>
      <c r="H177" s="17">
        <v>45114</v>
      </c>
      <c r="I177" s="17">
        <v>143847</v>
      </c>
      <c r="J177" s="17" t="s">
        <v>412</v>
      </c>
      <c r="K177" s="17" t="str">
        <f>A177&amp;B177&amp;C177&amp;D177&amp;E177&amp;F177&amp;G177&amp;H177&amp;I177&amp;J177&amp;[1]Sheet1!$G$5</f>
        <v>E0176Sajid AkterMaleEngineeringSenior Software EngineerContractChattogram45114143847E0357Sylhet</v>
      </c>
      <c r="L177" s="17">
        <f t="shared" si="6"/>
        <v>131958</v>
      </c>
      <c r="M177" s="17">
        <f ca="1" t="shared" si="7"/>
        <v>2</v>
      </c>
      <c r="N177" s="18" t="str">
        <f ca="1" t="shared" si="8"/>
        <v>New</v>
      </c>
    </row>
    <row r="178" spans="1:14">
      <c r="A178" s="13" t="s">
        <v>489</v>
      </c>
      <c r="B178" s="14" t="s">
        <v>228</v>
      </c>
      <c r="C178" s="14" t="s">
        <v>19</v>
      </c>
      <c r="D178" s="14" t="s">
        <v>26</v>
      </c>
      <c r="E178" s="14" t="s">
        <v>294</v>
      </c>
      <c r="F178" s="14" t="s">
        <v>48</v>
      </c>
      <c r="G178" s="14" t="s">
        <v>28</v>
      </c>
      <c r="H178" s="14">
        <v>42870</v>
      </c>
      <c r="I178" s="14">
        <v>129577</v>
      </c>
      <c r="J178" s="14" t="s">
        <v>490</v>
      </c>
      <c r="K178" s="14" t="str">
        <f>A178&amp;B178&amp;C178&amp;D178&amp;E178&amp;F178&amp;G178&amp;H178&amp;I178&amp;J178&amp;[1]Sheet1!$G$5</f>
        <v>E0177Fahim HasanMaleFinanceSenior Financial AnalystContractRemote42870129577E0686Sylhet</v>
      </c>
      <c r="L178" s="14">
        <f t="shared" si="6"/>
        <v>131899</v>
      </c>
      <c r="M178" s="14">
        <f ca="1" t="shared" si="7"/>
        <v>8</v>
      </c>
      <c r="N178" s="15" t="str">
        <f ca="1" t="shared" si="8"/>
        <v>Experienced</v>
      </c>
    </row>
    <row r="179" spans="1:14">
      <c r="A179" s="16" t="s">
        <v>491</v>
      </c>
      <c r="B179" s="17" t="s">
        <v>492</v>
      </c>
      <c r="C179" s="17" t="s">
        <v>19</v>
      </c>
      <c r="D179" s="17" t="s">
        <v>13</v>
      </c>
      <c r="E179" s="17" t="s">
        <v>14</v>
      </c>
      <c r="F179" s="17" t="s">
        <v>15</v>
      </c>
      <c r="G179" s="17" t="s">
        <v>16</v>
      </c>
      <c r="H179" s="17">
        <v>44052</v>
      </c>
      <c r="I179" s="17">
        <v>154566</v>
      </c>
      <c r="J179" s="17" t="s">
        <v>493</v>
      </c>
      <c r="K179" s="17" t="str">
        <f>A179&amp;B179&amp;C179&amp;D179&amp;E179&amp;F179&amp;G179&amp;H179&amp;I179&amp;J179&amp;[1]Sheet1!$G$5</f>
        <v>E0178Ovi MorshedMaleSalesSales AssociateFull-timeKhulna44052154566E0249Sylhet</v>
      </c>
      <c r="L179" s="17">
        <f t="shared" si="6"/>
        <v>131958</v>
      </c>
      <c r="M179" s="17">
        <f ca="1" t="shared" si="7"/>
        <v>5</v>
      </c>
      <c r="N179" s="18" t="str">
        <f ca="1" t="shared" si="8"/>
        <v>Mid level</v>
      </c>
    </row>
    <row r="180" spans="1:14">
      <c r="A180" s="13" t="s">
        <v>243</v>
      </c>
      <c r="B180" s="14" t="s">
        <v>214</v>
      </c>
      <c r="C180" s="14" t="s">
        <v>19</v>
      </c>
      <c r="D180" s="14" t="s">
        <v>20</v>
      </c>
      <c r="E180" s="14" t="s">
        <v>70</v>
      </c>
      <c r="F180" s="14" t="s">
        <v>15</v>
      </c>
      <c r="G180" s="14" t="s">
        <v>62</v>
      </c>
      <c r="H180" s="14">
        <v>43818</v>
      </c>
      <c r="I180" s="14">
        <v>168895</v>
      </c>
      <c r="J180" s="14" t="s">
        <v>494</v>
      </c>
      <c r="K180" s="14" t="str">
        <f>A180&amp;B180&amp;C180&amp;D180&amp;E180&amp;F180&amp;G180&amp;H180&amp;I180&amp;J180&amp;[1]Sheet1!$G$5</f>
        <v>E0179Shawon MiahMaleCustomer SuccessCustomer Success ManagerFull-timeChattogram43818168895E0972Sylhet</v>
      </c>
      <c r="L180" s="14">
        <f t="shared" si="6"/>
        <v>131899</v>
      </c>
      <c r="M180" s="14">
        <f ca="1" t="shared" si="7"/>
        <v>6</v>
      </c>
      <c r="N180" s="15" t="str">
        <f ca="1" t="shared" si="8"/>
        <v>Experienced</v>
      </c>
    </row>
    <row r="181" spans="1:14">
      <c r="A181" s="16" t="s">
        <v>495</v>
      </c>
      <c r="B181" s="17" t="s">
        <v>422</v>
      </c>
      <c r="C181" s="17" t="s">
        <v>19</v>
      </c>
      <c r="D181" s="17" t="s">
        <v>38</v>
      </c>
      <c r="E181" s="17" t="s">
        <v>140</v>
      </c>
      <c r="F181" s="17" t="s">
        <v>15</v>
      </c>
      <c r="G181" s="17" t="s">
        <v>40</v>
      </c>
      <c r="H181" s="17">
        <v>45095</v>
      </c>
      <c r="I181" s="17">
        <v>193255</v>
      </c>
      <c r="J181" s="17" t="s">
        <v>347</v>
      </c>
      <c r="K181" s="17" t="str">
        <f>A181&amp;B181&amp;C181&amp;D181&amp;E181&amp;F181&amp;G181&amp;H181&amp;I181&amp;J181&amp;[1]Sheet1!$G$5</f>
        <v>E0180Sajid RanaMaleEngineeringSenior Software EngineerFull-timeDhaka45095193255E0500Sylhet</v>
      </c>
      <c r="L181" s="17">
        <f t="shared" si="6"/>
        <v>131840</v>
      </c>
      <c r="M181" s="17">
        <f ca="1" t="shared" si="7"/>
        <v>2</v>
      </c>
      <c r="N181" s="18" t="str">
        <f ca="1" t="shared" si="8"/>
        <v>New</v>
      </c>
    </row>
    <row r="182" spans="1:14">
      <c r="A182" s="13" t="s">
        <v>467</v>
      </c>
      <c r="B182" s="14" t="s">
        <v>364</v>
      </c>
      <c r="C182" s="14" t="s">
        <v>12</v>
      </c>
      <c r="D182" s="14" t="s">
        <v>13</v>
      </c>
      <c r="E182" s="14" t="s">
        <v>98</v>
      </c>
      <c r="F182" s="14" t="s">
        <v>15</v>
      </c>
      <c r="G182" s="14" t="s">
        <v>34</v>
      </c>
      <c r="H182" s="14">
        <v>45443</v>
      </c>
      <c r="I182" s="14">
        <v>195037</v>
      </c>
      <c r="J182" s="14" t="s">
        <v>274</v>
      </c>
      <c r="K182" s="14" t="str">
        <f>A182&amp;B182&amp;C182&amp;D182&amp;E182&amp;F182&amp;G182&amp;H182&amp;I182&amp;J182&amp;[1]Sheet1!$G$5</f>
        <v>E0181Zahid RasheedFemaleSalesSales ManagerFull-timeSylhet45443195037E0657Sylhet</v>
      </c>
      <c r="L182" s="14">
        <f t="shared" si="6"/>
        <v>131792</v>
      </c>
      <c r="M182" s="14">
        <f ca="1" t="shared" si="7"/>
        <v>1</v>
      </c>
      <c r="N182" s="15" t="str">
        <f ca="1" t="shared" si="8"/>
        <v>New</v>
      </c>
    </row>
    <row r="183" spans="1:14">
      <c r="A183" s="16" t="s">
        <v>496</v>
      </c>
      <c r="B183" s="17" t="s">
        <v>192</v>
      </c>
      <c r="C183" s="17" t="s">
        <v>12</v>
      </c>
      <c r="D183" s="17" t="s">
        <v>38</v>
      </c>
      <c r="E183" s="17" t="s">
        <v>66</v>
      </c>
      <c r="F183" s="17" t="s">
        <v>15</v>
      </c>
      <c r="G183" s="17" t="s">
        <v>62</v>
      </c>
      <c r="H183" s="17">
        <v>44102</v>
      </c>
      <c r="I183" s="17">
        <v>149426</v>
      </c>
      <c r="J183" s="17" t="s">
        <v>41</v>
      </c>
      <c r="K183" s="17" t="str">
        <f>A183&amp;B183&amp;C183&amp;D183&amp;E183&amp;F183&amp;G183&amp;H183&amp;I183&amp;J183&amp;[1]Sheet1!$G$5</f>
        <v>E0182Tasnim ShahFemaleEngineeringSoftware EngineerFull-timeChattogram44102149426E0741Sylhet</v>
      </c>
      <c r="L183" s="17">
        <f t="shared" si="6"/>
        <v>131744</v>
      </c>
      <c r="M183" s="17">
        <f ca="1" t="shared" si="7"/>
        <v>5</v>
      </c>
      <c r="N183" s="18" t="str">
        <f ca="1" t="shared" si="8"/>
        <v>Mid level</v>
      </c>
    </row>
    <row r="184" spans="1:14">
      <c r="A184" s="13" t="s">
        <v>497</v>
      </c>
      <c r="B184" s="14" t="s">
        <v>498</v>
      </c>
      <c r="C184" s="14" t="s">
        <v>146</v>
      </c>
      <c r="D184" s="14" t="s">
        <v>20</v>
      </c>
      <c r="E184" s="14" t="s">
        <v>21</v>
      </c>
      <c r="F184" s="14" t="s">
        <v>15</v>
      </c>
      <c r="G184" s="14" t="s">
        <v>34</v>
      </c>
      <c r="H184" s="14">
        <v>45323</v>
      </c>
      <c r="I184" s="14">
        <v>99935</v>
      </c>
      <c r="J184" s="14" t="s">
        <v>499</v>
      </c>
      <c r="K184" s="14" t="str">
        <f>A184&amp;B184&amp;C184&amp;D184&amp;E184&amp;F184&amp;G184&amp;H184&amp;I184&amp;J184&amp;[1]Sheet1!$G$5</f>
        <v>E0183Zahid KabirNon-binaryCustomer SuccessSupport SpecialistFull-timeSylhet4532399935E0595Sylhet</v>
      </c>
      <c r="L184" s="14">
        <f t="shared" si="6"/>
        <v>131710.5</v>
      </c>
      <c r="M184" s="14">
        <f ca="1" t="shared" si="7"/>
        <v>2</v>
      </c>
      <c r="N184" s="15" t="str">
        <f ca="1" t="shared" si="8"/>
        <v>New</v>
      </c>
    </row>
    <row r="185" spans="1:14">
      <c r="A185" s="16" t="s">
        <v>220</v>
      </c>
      <c r="B185" s="17" t="s">
        <v>500</v>
      </c>
      <c r="C185" s="17" t="s">
        <v>19</v>
      </c>
      <c r="D185" s="17" t="s">
        <v>52</v>
      </c>
      <c r="E185" s="17" t="s">
        <v>53</v>
      </c>
      <c r="F185" s="17" t="s">
        <v>15</v>
      </c>
      <c r="G185" s="17" t="s">
        <v>28</v>
      </c>
      <c r="H185" s="17">
        <v>42580</v>
      </c>
      <c r="I185" s="17">
        <v>191513</v>
      </c>
      <c r="J185" s="17" t="s">
        <v>501</v>
      </c>
      <c r="K185" s="17" t="str">
        <f>A185&amp;B185&amp;C185&amp;D185&amp;E185&amp;F185&amp;G185&amp;H185&amp;I185&amp;J185&amp;[1]Sheet1!$G$5</f>
        <v>E0184Nabila ShahMaleOperationsOperations ManagerFull-timeRemote42580191513E0866Sylhet</v>
      </c>
      <c r="L185" s="17">
        <f t="shared" si="6"/>
        <v>131744</v>
      </c>
      <c r="M185" s="17">
        <f ca="1" t="shared" si="7"/>
        <v>9</v>
      </c>
      <c r="N185" s="18" t="str">
        <f ca="1" t="shared" si="8"/>
        <v>Experienced</v>
      </c>
    </row>
    <row r="186" spans="1:14">
      <c r="A186" s="13" t="s">
        <v>502</v>
      </c>
      <c r="B186" s="14" t="s">
        <v>503</v>
      </c>
      <c r="C186" s="14" t="s">
        <v>19</v>
      </c>
      <c r="D186" s="14" t="s">
        <v>87</v>
      </c>
      <c r="E186" s="14" t="s">
        <v>88</v>
      </c>
      <c r="F186" s="14" t="s">
        <v>15</v>
      </c>
      <c r="G186" s="14" t="s">
        <v>28</v>
      </c>
      <c r="H186" s="14">
        <v>43548</v>
      </c>
      <c r="I186" s="14">
        <v>147331</v>
      </c>
      <c r="J186" s="14" t="s">
        <v>256</v>
      </c>
      <c r="K186" s="14" t="str">
        <f>A186&amp;B186&amp;C186&amp;D186&amp;E186&amp;F186&amp;G186&amp;H186&amp;I186&amp;J186&amp;[1]Sheet1!$G$5</f>
        <v>E0185Arif HossainMaleProductProduct AnalystFull-timeRemote43548147331E0428Sylhet</v>
      </c>
      <c r="L186" s="14">
        <f t="shared" si="6"/>
        <v>131710.5</v>
      </c>
      <c r="M186" s="14">
        <f ca="1" t="shared" si="7"/>
        <v>6</v>
      </c>
      <c r="N186" s="15" t="str">
        <f ca="1" t="shared" si="8"/>
        <v>Experienced</v>
      </c>
    </row>
    <row r="187" spans="1:14">
      <c r="A187" s="16" t="s">
        <v>178</v>
      </c>
      <c r="B187" s="17" t="s">
        <v>504</v>
      </c>
      <c r="C187" s="17" t="s">
        <v>19</v>
      </c>
      <c r="D187" s="17" t="s">
        <v>32</v>
      </c>
      <c r="E187" s="17" t="s">
        <v>208</v>
      </c>
      <c r="F187" s="17" t="s">
        <v>15</v>
      </c>
      <c r="G187" s="17" t="s">
        <v>28</v>
      </c>
      <c r="H187" s="17">
        <v>44829</v>
      </c>
      <c r="I187" s="17">
        <v>186702</v>
      </c>
      <c r="J187" s="17" t="s">
        <v>285</v>
      </c>
      <c r="K187" s="17" t="str">
        <f>A187&amp;B187&amp;C187&amp;D187&amp;E187&amp;F187&amp;G187&amp;H187&amp;I187&amp;J187&amp;[1]Sheet1!$G$5</f>
        <v>E0186Sajid AhmedMaleHRHR ManagerFull-timeRemote44829186702E0310Sylhet</v>
      </c>
      <c r="L187" s="17">
        <f t="shared" si="6"/>
        <v>131677</v>
      </c>
      <c r="M187" s="17">
        <f ca="1" t="shared" si="7"/>
        <v>3</v>
      </c>
      <c r="N187" s="18" t="str">
        <f ca="1" t="shared" si="8"/>
        <v>Mid level</v>
      </c>
    </row>
    <row r="188" spans="1:14">
      <c r="A188" s="13" t="s">
        <v>505</v>
      </c>
      <c r="B188" s="14" t="s">
        <v>506</v>
      </c>
      <c r="C188" s="14" t="s">
        <v>12</v>
      </c>
      <c r="D188" s="14" t="s">
        <v>52</v>
      </c>
      <c r="E188" s="14" t="s">
        <v>120</v>
      </c>
      <c r="F188" s="14" t="s">
        <v>48</v>
      </c>
      <c r="G188" s="14" t="s">
        <v>40</v>
      </c>
      <c r="H188" s="14">
        <v>43649</v>
      </c>
      <c r="I188" s="14">
        <v>76155</v>
      </c>
      <c r="J188" s="14" t="s">
        <v>507</v>
      </c>
      <c r="K188" s="14" t="str">
        <f>A188&amp;B188&amp;C188&amp;D188&amp;E188&amp;F188&amp;G188&amp;H188&amp;I188&amp;J188&amp;[1]Sheet1!$G$5</f>
        <v>E0187Priya AminFemaleOperationsSupply Chain AnalystContractDhaka4364976155E0198Sylhet</v>
      </c>
      <c r="L188" s="14">
        <f t="shared" si="6"/>
        <v>131671.5</v>
      </c>
      <c r="M188" s="14">
        <f ca="1" t="shared" si="7"/>
        <v>6</v>
      </c>
      <c r="N188" s="15" t="str">
        <f ca="1" t="shared" si="8"/>
        <v>Experienced</v>
      </c>
    </row>
    <row r="189" spans="1:14">
      <c r="A189" s="16" t="s">
        <v>508</v>
      </c>
      <c r="B189" s="17" t="s">
        <v>509</v>
      </c>
      <c r="C189" s="17" t="s">
        <v>19</v>
      </c>
      <c r="D189" s="17" t="s">
        <v>92</v>
      </c>
      <c r="E189" s="17" t="s">
        <v>189</v>
      </c>
      <c r="F189" s="17" t="s">
        <v>15</v>
      </c>
      <c r="G189" s="17" t="s">
        <v>94</v>
      </c>
      <c r="H189" s="17">
        <v>43810</v>
      </c>
      <c r="I189" s="17">
        <v>83898</v>
      </c>
      <c r="J189" s="17" t="s">
        <v>322</v>
      </c>
      <c r="K189" s="17" t="str">
        <f>A189&amp;B189&amp;C189&amp;D189&amp;E189&amp;F189&amp;G189&amp;H189&amp;I189&amp;J189&amp;[1]Sheet1!$G$5</f>
        <v>E0188Mitu AnjumMaleMarketingMarketing AssociateFull-timeRajshahi4381083898E0672Sylhet</v>
      </c>
      <c r="L189" s="17">
        <f t="shared" si="6"/>
        <v>131677</v>
      </c>
      <c r="M189" s="17">
        <f ca="1" t="shared" si="7"/>
        <v>6</v>
      </c>
      <c r="N189" s="18" t="str">
        <f ca="1" t="shared" si="8"/>
        <v>Experienced</v>
      </c>
    </row>
    <row r="190" spans="1:14">
      <c r="A190" s="13" t="s">
        <v>510</v>
      </c>
      <c r="B190" s="14" t="s">
        <v>353</v>
      </c>
      <c r="C190" s="14" t="s">
        <v>19</v>
      </c>
      <c r="D190" s="14" t="s">
        <v>92</v>
      </c>
      <c r="E190" s="14" t="s">
        <v>391</v>
      </c>
      <c r="F190" s="14" t="s">
        <v>15</v>
      </c>
      <c r="G190" s="14" t="s">
        <v>28</v>
      </c>
      <c r="H190" s="14">
        <v>42794</v>
      </c>
      <c r="I190" s="14">
        <v>80935</v>
      </c>
      <c r="J190" s="14" t="s">
        <v>95</v>
      </c>
      <c r="K190" s="14" t="str">
        <f>A190&amp;B190&amp;C190&amp;D190&amp;E190&amp;F190&amp;G190&amp;H190&amp;I190&amp;J190&amp;[1]Sheet1!$G$5</f>
        <v>E0189Shafiq AnjumMaleMarketingContent SpecialistFull-timeRemote4279480935E0893Sylhet</v>
      </c>
      <c r="L190" s="14">
        <f t="shared" si="6"/>
        <v>131710.5</v>
      </c>
      <c r="M190" s="14">
        <f ca="1" t="shared" si="7"/>
        <v>9</v>
      </c>
      <c r="N190" s="15" t="str">
        <f ca="1" t="shared" si="8"/>
        <v>Experienced</v>
      </c>
    </row>
    <row r="191" spans="1:14">
      <c r="A191" s="16" t="s">
        <v>108</v>
      </c>
      <c r="B191" s="17" t="s">
        <v>511</v>
      </c>
      <c r="C191" s="17" t="s">
        <v>19</v>
      </c>
      <c r="D191" s="17" t="s">
        <v>87</v>
      </c>
      <c r="E191" s="17" t="s">
        <v>349</v>
      </c>
      <c r="F191" s="17" t="s">
        <v>15</v>
      </c>
      <c r="G191" s="17" t="s">
        <v>16</v>
      </c>
      <c r="H191" s="17">
        <v>44737</v>
      </c>
      <c r="I191" s="17">
        <v>184157</v>
      </c>
      <c r="J191" s="17" t="s">
        <v>512</v>
      </c>
      <c r="K191" s="17" t="str">
        <f>A191&amp;B191&amp;C191&amp;D191&amp;E191&amp;F191&amp;G191&amp;H191&amp;I191&amp;J191&amp;[1]Sheet1!$G$5</f>
        <v>E0190Tasnim RahmanMaleProductProduct ManagerFull-timeKhulna44737184157E0719Sylhet</v>
      </c>
      <c r="L191" s="17">
        <f t="shared" si="6"/>
        <v>131744</v>
      </c>
      <c r="M191" s="17">
        <f ca="1" t="shared" si="7"/>
        <v>3</v>
      </c>
      <c r="N191" s="18" t="str">
        <f ca="1" t="shared" si="8"/>
        <v>Mid level</v>
      </c>
    </row>
    <row r="192" spans="1:14">
      <c r="A192" s="13" t="s">
        <v>513</v>
      </c>
      <c r="B192" s="14" t="s">
        <v>514</v>
      </c>
      <c r="C192" s="14" t="s">
        <v>19</v>
      </c>
      <c r="D192" s="14" t="s">
        <v>38</v>
      </c>
      <c r="E192" s="14" t="s">
        <v>77</v>
      </c>
      <c r="F192" s="14" t="s">
        <v>15</v>
      </c>
      <c r="G192" s="14" t="s">
        <v>40</v>
      </c>
      <c r="H192" s="14">
        <v>44448</v>
      </c>
      <c r="I192" s="14">
        <v>174728</v>
      </c>
      <c r="J192" s="14" t="s">
        <v>148</v>
      </c>
      <c r="K192" s="14" t="str">
        <f>A192&amp;B192&amp;C192&amp;D192&amp;E192&amp;F192&amp;G192&amp;H192&amp;I192&amp;J192&amp;[1]Sheet1!$G$5</f>
        <v>E0191Arif MorshedMaleEngineeringJunior Software EngineerFull-timeDhaka44448174728E0938Sylhet</v>
      </c>
      <c r="L192" s="14">
        <f t="shared" si="6"/>
        <v>131710.5</v>
      </c>
      <c r="M192" s="14">
        <f ca="1" t="shared" si="7"/>
        <v>4</v>
      </c>
      <c r="N192" s="15" t="str">
        <f ca="1" t="shared" si="8"/>
        <v>Mid level</v>
      </c>
    </row>
    <row r="193" spans="1:14">
      <c r="A193" s="16" t="s">
        <v>515</v>
      </c>
      <c r="B193" s="17" t="s">
        <v>516</v>
      </c>
      <c r="C193" s="17" t="s">
        <v>19</v>
      </c>
      <c r="D193" s="17" t="s">
        <v>52</v>
      </c>
      <c r="E193" s="17" t="s">
        <v>120</v>
      </c>
      <c r="F193" s="17" t="s">
        <v>15</v>
      </c>
      <c r="G193" s="17" t="s">
        <v>94</v>
      </c>
      <c r="H193" s="17">
        <v>43241</v>
      </c>
      <c r="I193" s="17">
        <v>161761</v>
      </c>
      <c r="J193" s="17" t="s">
        <v>226</v>
      </c>
      <c r="K193" s="17" t="str">
        <f>A193&amp;B193&amp;C193&amp;D193&amp;E193&amp;F193&amp;G193&amp;H193&amp;I193&amp;J193&amp;[1]Sheet1!$G$5</f>
        <v>E0192Lamia RahmanMaleOperationsSupply Chain AnalystFull-timeRajshahi43241161761E0453Sylhet</v>
      </c>
      <c r="L193" s="17">
        <f t="shared" si="6"/>
        <v>131677</v>
      </c>
      <c r="M193" s="17">
        <f ca="1" t="shared" si="7"/>
        <v>7</v>
      </c>
      <c r="N193" s="18" t="str">
        <f ca="1" t="shared" si="8"/>
        <v>Experienced</v>
      </c>
    </row>
    <row r="194" spans="1:14">
      <c r="A194" s="13" t="s">
        <v>517</v>
      </c>
      <c r="B194" s="14" t="s">
        <v>518</v>
      </c>
      <c r="C194" s="14" t="s">
        <v>19</v>
      </c>
      <c r="D194" s="14" t="s">
        <v>20</v>
      </c>
      <c r="E194" s="14" t="s">
        <v>147</v>
      </c>
      <c r="F194" s="14" t="s">
        <v>15</v>
      </c>
      <c r="G194" s="14" t="s">
        <v>62</v>
      </c>
      <c r="H194" s="14">
        <v>43003</v>
      </c>
      <c r="I194" s="14">
        <v>101902</v>
      </c>
      <c r="J194" s="14" t="s">
        <v>277</v>
      </c>
      <c r="K194" s="14" t="str">
        <f>A194&amp;B194&amp;C194&amp;D194&amp;E194&amp;F194&amp;G194&amp;H194&amp;I194&amp;J194&amp;[1]Sheet1!$G$5</f>
        <v>E0193Ayesha SharminMaleCustomer SuccessSupport AssociateFull-timeChattogram43003101902E0278Sylhet</v>
      </c>
      <c r="L194" s="14">
        <f t="shared" si="6"/>
        <v>131671.5</v>
      </c>
      <c r="M194" s="14">
        <f ca="1" t="shared" si="7"/>
        <v>8</v>
      </c>
      <c r="N194" s="15" t="str">
        <f ca="1" t="shared" si="8"/>
        <v>Experienced</v>
      </c>
    </row>
    <row r="195" spans="1:14">
      <c r="A195" s="16" t="s">
        <v>519</v>
      </c>
      <c r="B195" s="17" t="s">
        <v>65</v>
      </c>
      <c r="C195" s="17" t="s">
        <v>12</v>
      </c>
      <c r="D195" s="17" t="s">
        <v>32</v>
      </c>
      <c r="E195" s="17" t="s">
        <v>33</v>
      </c>
      <c r="F195" s="17" t="s">
        <v>15</v>
      </c>
      <c r="G195" s="17" t="s">
        <v>34</v>
      </c>
      <c r="H195" s="17">
        <v>45059</v>
      </c>
      <c r="I195" s="17">
        <v>71442</v>
      </c>
      <c r="J195" s="17" t="s">
        <v>332</v>
      </c>
      <c r="K195" s="17" t="str">
        <f>A195&amp;B195&amp;C195&amp;D195&amp;E195&amp;F195&amp;G195&amp;H195&amp;I195&amp;J195&amp;[1]Sheet1!$G$5</f>
        <v>E0194Lamia FerdousFemaleHRHR Business PartnerFull-timeSylhet4505971442E0103Sylhet</v>
      </c>
      <c r="L195" s="17">
        <f t="shared" ref="L195:L258" si="9">MEDIAN(I195:I1194)</f>
        <v>131677</v>
      </c>
      <c r="M195" s="17">
        <f ca="1" t="shared" ref="M195:M258" si="10">DATEDIF(H195,TODAY(),"Y")</f>
        <v>2</v>
      </c>
      <c r="N195" s="18" t="str">
        <f ca="1" t="shared" ref="N195:N258" si="11">IF(M195&lt;=2,"New",IF(M195&lt;=5,"Mid level",IF(M195&lt;=10,"Experienced","Long term")))</f>
        <v>New</v>
      </c>
    </row>
    <row r="196" spans="1:14">
      <c r="A196" s="13" t="s">
        <v>520</v>
      </c>
      <c r="B196" s="14" t="s">
        <v>521</v>
      </c>
      <c r="C196" s="14" t="s">
        <v>19</v>
      </c>
      <c r="D196" s="14" t="s">
        <v>13</v>
      </c>
      <c r="E196" s="14" t="s">
        <v>14</v>
      </c>
      <c r="F196" s="14" t="s">
        <v>15</v>
      </c>
      <c r="G196" s="14" t="s">
        <v>40</v>
      </c>
      <c r="H196" s="14">
        <v>44345</v>
      </c>
      <c r="I196" s="14">
        <v>56829</v>
      </c>
      <c r="J196" s="14" t="s">
        <v>67</v>
      </c>
      <c r="K196" s="14" t="str">
        <f>A196&amp;B196&amp;C196&amp;D196&amp;E196&amp;F196&amp;G196&amp;H196&amp;I196&amp;J196&amp;[1]Sheet1!$G$5</f>
        <v>E0195Arif KhanMaleSalesSales AssociateFull-timeDhaka4434556829E0648Sylhet</v>
      </c>
      <c r="L196" s="14">
        <f t="shared" si="9"/>
        <v>131710.5</v>
      </c>
      <c r="M196" s="14">
        <f ca="1" t="shared" si="10"/>
        <v>4</v>
      </c>
      <c r="N196" s="15" t="str">
        <f ca="1" t="shared" si="11"/>
        <v>Mid level</v>
      </c>
    </row>
    <row r="197" spans="1:14">
      <c r="A197" s="16" t="s">
        <v>303</v>
      </c>
      <c r="B197" s="17" t="s">
        <v>522</v>
      </c>
      <c r="C197" s="17" t="s">
        <v>12</v>
      </c>
      <c r="D197" s="17" t="s">
        <v>13</v>
      </c>
      <c r="E197" s="17" t="s">
        <v>98</v>
      </c>
      <c r="F197" s="17" t="s">
        <v>15</v>
      </c>
      <c r="G197" s="17" t="s">
        <v>28</v>
      </c>
      <c r="H197" s="17">
        <v>43288</v>
      </c>
      <c r="I197" s="17">
        <v>107371</v>
      </c>
      <c r="J197" s="17"/>
      <c r="K197" s="17" t="str">
        <f>A197&amp;B197&amp;C197&amp;D197&amp;E197&amp;F197&amp;G197&amp;H197&amp;I197&amp;J197&amp;[1]Sheet1!$G$5</f>
        <v>E0196Noman MiahFemaleSalesSales ManagerFull-timeRemote43288107371Sylhet</v>
      </c>
      <c r="L197" s="17">
        <f t="shared" si="9"/>
        <v>131744</v>
      </c>
      <c r="M197" s="17">
        <f ca="1" t="shared" si="10"/>
        <v>7</v>
      </c>
      <c r="N197" s="18" t="str">
        <f ca="1" t="shared" si="11"/>
        <v>Experienced</v>
      </c>
    </row>
    <row r="198" spans="1:14">
      <c r="A198" s="13" t="s">
        <v>309</v>
      </c>
      <c r="B198" s="14" t="s">
        <v>523</v>
      </c>
      <c r="C198" s="14" t="s">
        <v>12</v>
      </c>
      <c r="D198" s="14" t="s">
        <v>26</v>
      </c>
      <c r="E198" s="14" t="s">
        <v>27</v>
      </c>
      <c r="F198" s="14" t="s">
        <v>15</v>
      </c>
      <c r="G198" s="14" t="s">
        <v>16</v>
      </c>
      <c r="H198" s="14">
        <v>45840</v>
      </c>
      <c r="I198" s="14">
        <v>225835</v>
      </c>
      <c r="J198" s="14" t="s">
        <v>369</v>
      </c>
      <c r="K198" s="14" t="str">
        <f>A198&amp;B198&amp;C198&amp;D198&amp;E198&amp;F198&amp;G198&amp;H198&amp;I198&amp;J198&amp;[1]Sheet1!$G$5</f>
        <v>E0197Noman AhmedFemaleFinanceFinance ManagerFull-timeKhulna45840225835E0881Sylhet</v>
      </c>
      <c r="L198" s="14">
        <f t="shared" si="9"/>
        <v>131792</v>
      </c>
      <c r="M198" s="14">
        <f ca="1" t="shared" si="10"/>
        <v>0</v>
      </c>
      <c r="N198" s="15" t="str">
        <f ca="1" t="shared" si="11"/>
        <v>New</v>
      </c>
    </row>
    <row r="199" spans="1:14">
      <c r="A199" s="16" t="s">
        <v>507</v>
      </c>
      <c r="B199" s="17" t="s">
        <v>524</v>
      </c>
      <c r="C199" s="17" t="s">
        <v>19</v>
      </c>
      <c r="D199" s="17" t="s">
        <v>52</v>
      </c>
      <c r="E199" s="17" t="s">
        <v>53</v>
      </c>
      <c r="F199" s="17" t="s">
        <v>15</v>
      </c>
      <c r="G199" s="17" t="s">
        <v>40</v>
      </c>
      <c r="H199" s="17">
        <v>42813</v>
      </c>
      <c r="I199" s="17">
        <v>163677</v>
      </c>
      <c r="J199" s="17" t="s">
        <v>449</v>
      </c>
      <c r="K199" s="17" t="str">
        <f>A199&amp;B199&amp;C199&amp;D199&amp;E199&amp;F199&amp;G199&amp;H199&amp;I199&amp;J199&amp;[1]Sheet1!$G$5</f>
        <v>E0198Nadia KabirMaleOperationsOperations ManagerFull-timeDhaka42813163677E0560Sylhet</v>
      </c>
      <c r="L199" s="17">
        <f t="shared" si="9"/>
        <v>131744</v>
      </c>
      <c r="M199" s="17">
        <f ca="1" t="shared" si="10"/>
        <v>8</v>
      </c>
      <c r="N199" s="18" t="str">
        <f ca="1" t="shared" si="11"/>
        <v>Experienced</v>
      </c>
    </row>
    <row r="200" spans="1:14">
      <c r="A200" s="13" t="s">
        <v>525</v>
      </c>
      <c r="B200" s="14" t="s">
        <v>434</v>
      </c>
      <c r="C200" s="14" t="s">
        <v>293</v>
      </c>
      <c r="D200" s="14" t="s">
        <v>52</v>
      </c>
      <c r="E200" s="14" t="s">
        <v>53</v>
      </c>
      <c r="F200" s="14" t="s">
        <v>22</v>
      </c>
      <c r="G200" s="14" t="s">
        <v>28</v>
      </c>
      <c r="H200" s="14">
        <v>43804</v>
      </c>
      <c r="I200" s="14">
        <v>81456</v>
      </c>
      <c r="J200" s="14" t="s">
        <v>102</v>
      </c>
      <c r="K200" s="14" t="str">
        <f>A200&amp;B200&amp;C200&amp;D200&amp;E200&amp;F200&amp;G200&amp;H200&amp;I200&amp;J200&amp;[1]Sheet1!$G$5</f>
        <v>E0199Nabila ParvinPrefer not to sayOperationsOperations ManagerInternRemote4380481456E0777Sylhet</v>
      </c>
      <c r="L200" s="14">
        <f t="shared" si="9"/>
        <v>131710.5</v>
      </c>
      <c r="M200" s="14">
        <f ca="1" t="shared" si="10"/>
        <v>6</v>
      </c>
      <c r="N200" s="15" t="str">
        <f ca="1" t="shared" si="11"/>
        <v>Experienced</v>
      </c>
    </row>
    <row r="201" spans="1:14">
      <c r="A201" s="16" t="s">
        <v>526</v>
      </c>
      <c r="B201" s="17" t="s">
        <v>60</v>
      </c>
      <c r="C201" s="17" t="s">
        <v>12</v>
      </c>
      <c r="D201" s="17" t="s">
        <v>52</v>
      </c>
      <c r="E201" s="17" t="s">
        <v>246</v>
      </c>
      <c r="F201" s="17" t="s">
        <v>15</v>
      </c>
      <c r="G201" s="17" t="s">
        <v>28</v>
      </c>
      <c r="H201" s="17">
        <v>45832</v>
      </c>
      <c r="I201" s="17">
        <v>115471</v>
      </c>
      <c r="J201" s="17" t="s">
        <v>235</v>
      </c>
      <c r="K201" s="17" t="str">
        <f>A201&amp;B201&amp;C201&amp;D201&amp;E201&amp;F201&amp;G201&amp;H201&amp;I201&amp;J201&amp;[1]Sheet1!$G$5</f>
        <v>E0200Mitu HaiderFemaleOperationsOperations AssociateFull-timeRemote45832115471E0065Sylhet</v>
      </c>
      <c r="L201" s="17">
        <f t="shared" si="9"/>
        <v>131744</v>
      </c>
      <c r="M201" s="17">
        <f ca="1" t="shared" si="10"/>
        <v>0</v>
      </c>
      <c r="N201" s="18" t="str">
        <f ca="1" t="shared" si="11"/>
        <v>New</v>
      </c>
    </row>
    <row r="202" spans="1:14">
      <c r="A202" s="13" t="s">
        <v>527</v>
      </c>
      <c r="B202" s="14" t="s">
        <v>528</v>
      </c>
      <c r="C202" s="14" t="s">
        <v>12</v>
      </c>
      <c r="D202" s="14" t="s">
        <v>32</v>
      </c>
      <c r="E202" s="14" t="s">
        <v>33</v>
      </c>
      <c r="F202" s="14" t="s">
        <v>15</v>
      </c>
      <c r="G202" s="14" t="s">
        <v>94</v>
      </c>
      <c r="H202" s="14">
        <v>44648</v>
      </c>
      <c r="I202" s="14">
        <v>147911</v>
      </c>
      <c r="J202" s="14" t="s">
        <v>529</v>
      </c>
      <c r="K202" s="14" t="str">
        <f>A202&amp;B202&amp;C202&amp;D202&amp;E202&amp;F202&amp;G202&amp;H202&amp;I202&amp;J202&amp;[1]Sheet1!$G$5</f>
        <v>E0201Shawon SharminFemaleHRHR Business PartnerFull-timeRajshahi44648147911E0963Sylhet</v>
      </c>
      <c r="L202" s="14">
        <f t="shared" si="9"/>
        <v>131792</v>
      </c>
      <c r="M202" s="14">
        <f ca="1" t="shared" si="10"/>
        <v>3</v>
      </c>
      <c r="N202" s="15" t="str">
        <f ca="1" t="shared" si="11"/>
        <v>Mid level</v>
      </c>
    </row>
    <row r="203" spans="1:14">
      <c r="A203" s="16" t="s">
        <v>530</v>
      </c>
      <c r="B203" s="17" t="s">
        <v>531</v>
      </c>
      <c r="C203" s="17" t="s">
        <v>12</v>
      </c>
      <c r="D203" s="17" t="s">
        <v>38</v>
      </c>
      <c r="E203" s="17" t="s">
        <v>77</v>
      </c>
      <c r="F203" s="17" t="s">
        <v>15</v>
      </c>
      <c r="G203" s="17" t="s">
        <v>16</v>
      </c>
      <c r="H203" s="17">
        <v>43875</v>
      </c>
      <c r="I203" s="17">
        <v>79321</v>
      </c>
      <c r="J203" s="17"/>
      <c r="K203" s="17" t="str">
        <f>A203&amp;B203&amp;C203&amp;D203&amp;E203&amp;F203&amp;G203&amp;H203&amp;I203&amp;J203&amp;[1]Sheet1!$G$5</f>
        <v>E0202Mitu MahmudFemaleEngineeringJunior Software EngineerFull-timeKhulna4387579321Sylhet</v>
      </c>
      <c r="L203" s="17">
        <f t="shared" si="9"/>
        <v>131744</v>
      </c>
      <c r="M203" s="17">
        <f ca="1" t="shared" si="10"/>
        <v>6</v>
      </c>
      <c r="N203" s="18" t="str">
        <f ca="1" t="shared" si="11"/>
        <v>Experienced</v>
      </c>
    </row>
    <row r="204" spans="1:14">
      <c r="A204" s="13" t="s">
        <v>532</v>
      </c>
      <c r="B204" s="14" t="s">
        <v>533</v>
      </c>
      <c r="C204" s="14" t="s">
        <v>12</v>
      </c>
      <c r="D204" s="14" t="s">
        <v>38</v>
      </c>
      <c r="E204" s="14" t="s">
        <v>77</v>
      </c>
      <c r="F204" s="14" t="s">
        <v>15</v>
      </c>
      <c r="G204" s="14" t="s">
        <v>34</v>
      </c>
      <c r="H204" s="14">
        <v>42840</v>
      </c>
      <c r="I204" s="14">
        <v>78363</v>
      </c>
      <c r="J204" s="14" t="s">
        <v>112</v>
      </c>
      <c r="K204" s="14" t="str">
        <f>A204&amp;B204&amp;C204&amp;D204&amp;E204&amp;F204&amp;G204&amp;H204&amp;I204&amp;J204&amp;[1]Sheet1!$G$5</f>
        <v>E0203Mitu KabirFemaleEngineeringJunior Software EngineerFull-timeSylhet4284078363E0024Sylhet</v>
      </c>
      <c r="L204" s="14">
        <f t="shared" si="9"/>
        <v>131792</v>
      </c>
      <c r="M204" s="14">
        <f ca="1" t="shared" si="10"/>
        <v>8</v>
      </c>
      <c r="N204" s="15" t="str">
        <f ca="1" t="shared" si="11"/>
        <v>Experienced</v>
      </c>
    </row>
    <row r="205" spans="1:14">
      <c r="A205" s="16" t="s">
        <v>534</v>
      </c>
      <c r="B205" s="17" t="s">
        <v>535</v>
      </c>
      <c r="C205" s="17" t="s">
        <v>19</v>
      </c>
      <c r="D205" s="17" t="s">
        <v>52</v>
      </c>
      <c r="E205" s="17" t="s">
        <v>246</v>
      </c>
      <c r="F205" s="17" t="s">
        <v>15</v>
      </c>
      <c r="G205" s="17" t="s">
        <v>28</v>
      </c>
      <c r="H205" s="17">
        <v>45493</v>
      </c>
      <c r="I205" s="17">
        <v>110723</v>
      </c>
      <c r="J205" s="17" t="s">
        <v>536</v>
      </c>
      <c r="K205" s="17" t="str">
        <f>A205&amp;B205&amp;C205&amp;D205&amp;E205&amp;F205&amp;G205&amp;H205&amp;I205&amp;J205&amp;[1]Sheet1!$G$5</f>
        <v>E0204Lamia HasanMaleOperationsOperations AssociateFull-timeRemote45493110723E0624Sylhet</v>
      </c>
      <c r="L205" s="17">
        <f t="shared" si="9"/>
        <v>131840</v>
      </c>
      <c r="M205" s="17">
        <f ca="1" t="shared" si="10"/>
        <v>1</v>
      </c>
      <c r="N205" s="18" t="str">
        <f ca="1" t="shared" si="11"/>
        <v>New</v>
      </c>
    </row>
    <row r="206" spans="1:14">
      <c r="A206" s="13" t="s">
        <v>537</v>
      </c>
      <c r="B206" s="14" t="s">
        <v>538</v>
      </c>
      <c r="C206" s="14" t="s">
        <v>19</v>
      </c>
      <c r="D206" s="14" t="s">
        <v>32</v>
      </c>
      <c r="E206" s="14" t="s">
        <v>130</v>
      </c>
      <c r="F206" s="14" t="s">
        <v>15</v>
      </c>
      <c r="G206" s="14" t="s">
        <v>40</v>
      </c>
      <c r="H206" s="14">
        <v>43511</v>
      </c>
      <c r="I206" s="14">
        <v>63622</v>
      </c>
      <c r="J206" s="14" t="s">
        <v>539</v>
      </c>
      <c r="K206" s="14" t="str">
        <f>A206&amp;B206&amp;C206&amp;D206&amp;E206&amp;F206&amp;G206&amp;H206&amp;I206&amp;J206&amp;[1]Sheet1!$G$5</f>
        <v>E0205Ovi ChowdhuryMaleHRRecruiterFull-timeDhaka4351163622E0639Sylhet</v>
      </c>
      <c r="L206" s="14">
        <f t="shared" si="9"/>
        <v>131899</v>
      </c>
      <c r="M206" s="14">
        <f ca="1" t="shared" si="10"/>
        <v>7</v>
      </c>
      <c r="N206" s="15" t="str">
        <f ca="1" t="shared" si="11"/>
        <v>Experienced</v>
      </c>
    </row>
    <row r="207" spans="1:14">
      <c r="A207" s="16" t="s">
        <v>540</v>
      </c>
      <c r="B207" s="17" t="s">
        <v>541</v>
      </c>
      <c r="C207" s="17" t="s">
        <v>19</v>
      </c>
      <c r="D207" s="17" t="s">
        <v>38</v>
      </c>
      <c r="E207" s="17" t="s">
        <v>39</v>
      </c>
      <c r="F207" s="17" t="s">
        <v>48</v>
      </c>
      <c r="G207" s="17" t="s">
        <v>40</v>
      </c>
      <c r="H207" s="17">
        <v>44721</v>
      </c>
      <c r="I207" s="17">
        <v>100219</v>
      </c>
      <c r="J207" s="17" t="s">
        <v>154</v>
      </c>
      <c r="K207" s="17" t="str">
        <f>A207&amp;B207&amp;C207&amp;D207&amp;E207&amp;F207&amp;G207&amp;H207&amp;I207&amp;J207&amp;[1]Sheet1!$G$5</f>
        <v>E0206Jannat IslamMaleEngineeringDevOps EngineerContractDhaka44721100219E0037Sylhet</v>
      </c>
      <c r="L207" s="17">
        <f t="shared" si="9"/>
        <v>131958</v>
      </c>
      <c r="M207" s="17">
        <f ca="1" t="shared" si="10"/>
        <v>3</v>
      </c>
      <c r="N207" s="18" t="str">
        <f ca="1" t="shared" si="11"/>
        <v>Mid level</v>
      </c>
    </row>
    <row r="208" spans="1:14">
      <c r="A208" s="13" t="s">
        <v>542</v>
      </c>
      <c r="B208" s="14" t="s">
        <v>255</v>
      </c>
      <c r="C208" s="14" t="s">
        <v>19</v>
      </c>
      <c r="D208" s="14" t="s">
        <v>38</v>
      </c>
      <c r="E208" s="14" t="s">
        <v>44</v>
      </c>
      <c r="F208" s="14" t="s">
        <v>15</v>
      </c>
      <c r="G208" s="14" t="s">
        <v>40</v>
      </c>
      <c r="H208" s="14">
        <v>43296</v>
      </c>
      <c r="I208" s="14">
        <v>90603</v>
      </c>
      <c r="J208" s="14" t="s">
        <v>543</v>
      </c>
      <c r="K208" s="14" t="str">
        <f>A208&amp;B208&amp;C208&amp;D208&amp;E208&amp;F208&amp;G208&amp;H208&amp;I208&amp;J208&amp;[1]Sheet1!$G$5</f>
        <v>E0207Fahim TalukderMaleEngineeringQA EngineerFull-timeDhaka4329690603E0565Sylhet</v>
      </c>
      <c r="L208" s="14">
        <f t="shared" si="9"/>
        <v>132031</v>
      </c>
      <c r="M208" s="14">
        <f ca="1" t="shared" si="10"/>
        <v>7</v>
      </c>
      <c r="N208" s="15" t="str">
        <f ca="1" t="shared" si="11"/>
        <v>Experienced</v>
      </c>
    </row>
    <row r="209" spans="1:14">
      <c r="A209" s="16" t="s">
        <v>544</v>
      </c>
      <c r="B209" s="17" t="s">
        <v>388</v>
      </c>
      <c r="C209" s="17" t="s">
        <v>19</v>
      </c>
      <c r="D209" s="17" t="s">
        <v>32</v>
      </c>
      <c r="E209" s="17" t="s">
        <v>130</v>
      </c>
      <c r="F209" s="17" t="s">
        <v>15</v>
      </c>
      <c r="G209" s="17" t="s">
        <v>16</v>
      </c>
      <c r="H209" s="17">
        <v>45676</v>
      </c>
      <c r="I209" s="17">
        <v>68932</v>
      </c>
      <c r="J209" s="17" t="s">
        <v>449</v>
      </c>
      <c r="K209" s="17" t="str">
        <f>A209&amp;B209&amp;C209&amp;D209&amp;E209&amp;F209&amp;G209&amp;H209&amp;I209&amp;J209&amp;[1]Sheet1!$G$5</f>
        <v>E0208Mitu FerdousMaleHRRecruiterFull-timeKhulna4567668932E0560Sylhet</v>
      </c>
      <c r="L209" s="17">
        <f t="shared" si="9"/>
        <v>132104</v>
      </c>
      <c r="M209" s="17">
        <f ca="1" t="shared" si="10"/>
        <v>1</v>
      </c>
      <c r="N209" s="18" t="str">
        <f ca="1" t="shared" si="11"/>
        <v>New</v>
      </c>
    </row>
    <row r="210" spans="1:14">
      <c r="A210" s="13" t="s">
        <v>545</v>
      </c>
      <c r="B210" s="14" t="s">
        <v>546</v>
      </c>
      <c r="C210" s="14" t="s">
        <v>19</v>
      </c>
      <c r="D210" s="14" t="s">
        <v>38</v>
      </c>
      <c r="E210" s="14" t="s">
        <v>66</v>
      </c>
      <c r="F210" s="14" t="s">
        <v>15</v>
      </c>
      <c r="G210" s="14" t="s">
        <v>40</v>
      </c>
      <c r="H210" s="14">
        <v>44127</v>
      </c>
      <c r="I210" s="14">
        <v>200191</v>
      </c>
      <c r="J210" s="14" t="s">
        <v>240</v>
      </c>
      <c r="K210" s="14" t="str">
        <f>A210&amp;B210&amp;C210&amp;D210&amp;E210&amp;F210&amp;G210&amp;H210&amp;I210&amp;J210&amp;[1]Sheet1!$G$5</f>
        <v>E0209Zahid UddinMaleEngineeringSoftware EngineerFull-timeDhaka44127200191E0831Sylhet</v>
      </c>
      <c r="L210" s="14">
        <f t="shared" si="9"/>
        <v>132145</v>
      </c>
      <c r="M210" s="14">
        <f ca="1" t="shared" si="10"/>
        <v>5</v>
      </c>
      <c r="N210" s="15" t="str">
        <f ca="1" t="shared" si="11"/>
        <v>Mid level</v>
      </c>
    </row>
    <row r="211" spans="1:14">
      <c r="A211" s="16" t="s">
        <v>547</v>
      </c>
      <c r="B211" s="17" t="s">
        <v>548</v>
      </c>
      <c r="C211" s="17" t="s">
        <v>146</v>
      </c>
      <c r="D211" s="17" t="s">
        <v>38</v>
      </c>
      <c r="E211" s="17" t="s">
        <v>84</v>
      </c>
      <c r="F211" s="17" t="s">
        <v>15</v>
      </c>
      <c r="G211" s="17" t="s">
        <v>94</v>
      </c>
      <c r="H211" s="17">
        <v>45831</v>
      </c>
      <c r="I211" s="17">
        <v>276214</v>
      </c>
      <c r="J211" s="17" t="s">
        <v>549</v>
      </c>
      <c r="K211" s="17" t="str">
        <f>A211&amp;B211&amp;C211&amp;D211&amp;E211&amp;F211&amp;G211&amp;H211&amp;I211&amp;J211&amp;[1]Sheet1!$G$5</f>
        <v>E0210Esha KabirNon-binaryEngineeringEngineering ManagerFull-timeRajshahi45831276214E0389Sylhet</v>
      </c>
      <c r="L211" s="17">
        <f t="shared" si="9"/>
        <v>132104</v>
      </c>
      <c r="M211" s="17">
        <f ca="1" t="shared" si="10"/>
        <v>0</v>
      </c>
      <c r="N211" s="18" t="str">
        <f ca="1" t="shared" si="11"/>
        <v>New</v>
      </c>
    </row>
    <row r="212" spans="1:14">
      <c r="A212" s="13" t="s">
        <v>550</v>
      </c>
      <c r="B212" s="14" t="s">
        <v>551</v>
      </c>
      <c r="C212" s="14" t="s">
        <v>19</v>
      </c>
      <c r="D212" s="14" t="s">
        <v>92</v>
      </c>
      <c r="E212" s="14" t="s">
        <v>391</v>
      </c>
      <c r="F212" s="14" t="s">
        <v>15</v>
      </c>
      <c r="G212" s="14" t="s">
        <v>34</v>
      </c>
      <c r="H212" s="14">
        <v>44667</v>
      </c>
      <c r="I212" s="14">
        <v>91942</v>
      </c>
      <c r="J212" s="14" t="s">
        <v>341</v>
      </c>
      <c r="K212" s="14" t="str">
        <f>A212&amp;B212&amp;C212&amp;D212&amp;E212&amp;F212&amp;G212&amp;H212&amp;I212&amp;J212&amp;[1]Sheet1!$G$5</f>
        <v>E0211Shafiq MiahMaleMarketingContent SpecialistFull-timeSylhet4466791942E0828Sylhet</v>
      </c>
      <c r="L212" s="14">
        <f t="shared" si="9"/>
        <v>132031</v>
      </c>
      <c r="M212" s="14">
        <f ca="1" t="shared" si="10"/>
        <v>3</v>
      </c>
      <c r="N212" s="15" t="str">
        <f ca="1" t="shared" si="11"/>
        <v>Mid level</v>
      </c>
    </row>
    <row r="213" spans="1:14">
      <c r="A213" s="16" t="s">
        <v>552</v>
      </c>
      <c r="B213" s="17" t="s">
        <v>553</v>
      </c>
      <c r="C213" s="17" t="s">
        <v>12</v>
      </c>
      <c r="D213" s="17" t="s">
        <v>26</v>
      </c>
      <c r="E213" s="17" t="s">
        <v>61</v>
      </c>
      <c r="F213" s="17" t="s">
        <v>22</v>
      </c>
      <c r="G213" s="17" t="s">
        <v>28</v>
      </c>
      <c r="H213" s="17">
        <v>45513</v>
      </c>
      <c r="I213" s="17">
        <v>115210</v>
      </c>
      <c r="J213" s="17" t="s">
        <v>554</v>
      </c>
      <c r="K213" s="17" t="str">
        <f>A213&amp;B213&amp;C213&amp;D213&amp;E213&amp;F213&amp;G213&amp;H213&amp;I213&amp;J213&amp;[1]Sheet1!$G$5</f>
        <v>E0212Noman RasheedFemaleFinanceFinancial AnalystInternRemote45513115210E0912Sylhet</v>
      </c>
      <c r="L213" s="17">
        <f t="shared" si="9"/>
        <v>132104</v>
      </c>
      <c r="M213" s="17">
        <f ca="1" t="shared" si="10"/>
        <v>1</v>
      </c>
      <c r="N213" s="18" t="str">
        <f ca="1" t="shared" si="11"/>
        <v>New</v>
      </c>
    </row>
    <row r="214" spans="1:14">
      <c r="A214" s="13" t="s">
        <v>555</v>
      </c>
      <c r="B214" s="14" t="s">
        <v>556</v>
      </c>
      <c r="C214" s="14" t="s">
        <v>19</v>
      </c>
      <c r="D214" s="14" t="s">
        <v>32</v>
      </c>
      <c r="E214" s="14" t="s">
        <v>57</v>
      </c>
      <c r="F214" s="14" t="s">
        <v>15</v>
      </c>
      <c r="G214" s="14" t="s">
        <v>62</v>
      </c>
      <c r="H214" s="14">
        <v>45722</v>
      </c>
      <c r="I214" s="14">
        <v>60224</v>
      </c>
      <c r="J214" s="14" t="s">
        <v>557</v>
      </c>
      <c r="K214" s="14" t="str">
        <f>A214&amp;B214&amp;C214&amp;D214&amp;E214&amp;F214&amp;G214&amp;H214&amp;I214&amp;J214&amp;[1]Sheet1!$G$5</f>
        <v>E0213Shafiq IslamMaleHRHR AssociateFull-timeChattogram4572260224E0469Sylhet</v>
      </c>
      <c r="L214" s="14">
        <f t="shared" si="9"/>
        <v>132145</v>
      </c>
      <c r="M214" s="14">
        <f ca="1" t="shared" si="10"/>
        <v>1</v>
      </c>
      <c r="N214" s="15" t="str">
        <f ca="1" t="shared" si="11"/>
        <v>New</v>
      </c>
    </row>
    <row r="215" spans="1:14">
      <c r="A215" s="16" t="s">
        <v>558</v>
      </c>
      <c r="B215" s="17" t="s">
        <v>559</v>
      </c>
      <c r="C215" s="17" t="s">
        <v>19</v>
      </c>
      <c r="D215" s="17" t="s">
        <v>87</v>
      </c>
      <c r="E215" s="17" t="s">
        <v>349</v>
      </c>
      <c r="F215" s="17" t="s">
        <v>48</v>
      </c>
      <c r="G215" s="17" t="s">
        <v>62</v>
      </c>
      <c r="H215" s="17">
        <v>44916</v>
      </c>
      <c r="I215" s="17">
        <v>154511</v>
      </c>
      <c r="J215" s="17" t="s">
        <v>286</v>
      </c>
      <c r="K215" s="17" t="str">
        <f>A215&amp;B215&amp;C215&amp;D215&amp;E215&amp;F215&amp;G215&amp;H215&amp;I215&amp;J215&amp;[1]Sheet1!$G$5</f>
        <v>E0214Ayesha HossainMaleProductProduct ManagerContractChattogram44916154511E0085Sylhet</v>
      </c>
      <c r="L215" s="17">
        <f t="shared" si="9"/>
        <v>132186</v>
      </c>
      <c r="M215" s="17">
        <f ca="1" t="shared" si="10"/>
        <v>3</v>
      </c>
      <c r="N215" s="18" t="str">
        <f ca="1" t="shared" si="11"/>
        <v>Mid level</v>
      </c>
    </row>
    <row r="216" spans="1:14">
      <c r="A216" s="13" t="s">
        <v>560</v>
      </c>
      <c r="B216" s="14" t="s">
        <v>561</v>
      </c>
      <c r="C216" s="14" t="s">
        <v>12</v>
      </c>
      <c r="D216" s="14" t="s">
        <v>26</v>
      </c>
      <c r="E216" s="14" t="s">
        <v>294</v>
      </c>
      <c r="F216" s="14" t="s">
        <v>15</v>
      </c>
      <c r="G216" s="14" t="s">
        <v>62</v>
      </c>
      <c r="H216" s="14">
        <v>44883</v>
      </c>
      <c r="I216" s="14">
        <v>217157</v>
      </c>
      <c r="J216" s="14" t="s">
        <v>562</v>
      </c>
      <c r="K216" s="14" t="str">
        <f>A216&amp;B216&amp;C216&amp;D216&amp;E216&amp;F216&amp;G216&amp;H216&amp;I216&amp;J216&amp;[1]Sheet1!$G$5</f>
        <v>E0215Nafiz AhmedFemaleFinanceSenior Financial AnalystFull-timeChattogram44883217157E0520Sylhet</v>
      </c>
      <c r="L216" s="14">
        <f t="shared" si="9"/>
        <v>132145</v>
      </c>
      <c r="M216" s="14">
        <f ca="1" t="shared" si="10"/>
        <v>3</v>
      </c>
      <c r="N216" s="15" t="str">
        <f ca="1" t="shared" si="11"/>
        <v>Mid level</v>
      </c>
    </row>
    <row r="217" spans="1:14">
      <c r="A217" s="16" t="s">
        <v>563</v>
      </c>
      <c r="B217" s="17" t="s">
        <v>564</v>
      </c>
      <c r="C217" s="17" t="s">
        <v>293</v>
      </c>
      <c r="D217" s="17" t="s">
        <v>87</v>
      </c>
      <c r="E217" s="17" t="s">
        <v>88</v>
      </c>
      <c r="F217" s="17" t="s">
        <v>15</v>
      </c>
      <c r="G217" s="17" t="s">
        <v>16</v>
      </c>
      <c r="H217" s="17">
        <v>45134</v>
      </c>
      <c r="I217" s="17">
        <v>115743</v>
      </c>
      <c r="J217" s="17"/>
      <c r="K217" s="17" t="str">
        <f>A217&amp;B217&amp;C217&amp;D217&amp;E217&amp;F217&amp;G217&amp;H217&amp;I217&amp;J217&amp;[1]Sheet1!$G$5</f>
        <v>E0216Shafiq JahanPrefer not to sayProductProduct AnalystFull-timeKhulna45134115743Sylhet</v>
      </c>
      <c r="L217" s="17">
        <f t="shared" si="9"/>
        <v>132104</v>
      </c>
      <c r="M217" s="17">
        <f ca="1" t="shared" si="10"/>
        <v>2</v>
      </c>
      <c r="N217" s="18" t="str">
        <f ca="1" t="shared" si="11"/>
        <v>New</v>
      </c>
    </row>
    <row r="218" spans="1:14">
      <c r="A218" s="13" t="s">
        <v>565</v>
      </c>
      <c r="B218" s="14" t="s">
        <v>566</v>
      </c>
      <c r="C218" s="14" t="s">
        <v>12</v>
      </c>
      <c r="D218" s="14" t="s">
        <v>13</v>
      </c>
      <c r="E218" s="14" t="s">
        <v>14</v>
      </c>
      <c r="F218" s="14" t="s">
        <v>15</v>
      </c>
      <c r="G218" s="14" t="s">
        <v>16</v>
      </c>
      <c r="H218" s="14">
        <v>45002</v>
      </c>
      <c r="I218" s="14">
        <v>86601</v>
      </c>
      <c r="J218" s="14" t="s">
        <v>151</v>
      </c>
      <c r="K218" s="14" t="str">
        <f>A218&amp;B218&amp;C218&amp;D218&amp;E218&amp;F218&amp;G218&amp;H218&amp;I218&amp;J218&amp;[1]Sheet1!$G$5</f>
        <v>E0217Tamanna BanuFemaleSalesSales AssociateFull-timeKhulna4500286601E0865Sylhet</v>
      </c>
      <c r="L218" s="14">
        <f t="shared" si="9"/>
        <v>132145</v>
      </c>
      <c r="M218" s="14">
        <f ca="1" t="shared" si="10"/>
        <v>3</v>
      </c>
      <c r="N218" s="15" t="str">
        <f ca="1" t="shared" si="11"/>
        <v>Mid level</v>
      </c>
    </row>
    <row r="219" spans="1:14">
      <c r="A219" s="16" t="s">
        <v>567</v>
      </c>
      <c r="B219" s="17" t="s">
        <v>568</v>
      </c>
      <c r="C219" s="17" t="s">
        <v>12</v>
      </c>
      <c r="D219" s="17" t="s">
        <v>26</v>
      </c>
      <c r="E219" s="17" t="s">
        <v>294</v>
      </c>
      <c r="F219" s="17" t="s">
        <v>15</v>
      </c>
      <c r="G219" s="17" t="s">
        <v>16</v>
      </c>
      <c r="H219" s="17">
        <v>44650</v>
      </c>
      <c r="I219" s="17">
        <v>188835</v>
      </c>
      <c r="J219" s="17" t="s">
        <v>212</v>
      </c>
      <c r="K219" s="17" t="str">
        <f>A219&amp;B219&amp;C219&amp;D219&amp;E219&amp;F219&amp;G219&amp;H219&amp;I219&amp;J219&amp;[1]Sheet1!$G$5</f>
        <v>E0218Ovi KabirFemaleFinanceSenior Financial AnalystFull-timeKhulna44650188835E0728Sylhet</v>
      </c>
      <c r="L219" s="17">
        <f t="shared" si="9"/>
        <v>132186</v>
      </c>
      <c r="M219" s="17">
        <f ca="1" t="shared" si="10"/>
        <v>3</v>
      </c>
      <c r="N219" s="18" t="str">
        <f ca="1" t="shared" si="11"/>
        <v>Mid level</v>
      </c>
    </row>
    <row r="220" spans="1:14">
      <c r="A220" s="13" t="s">
        <v>569</v>
      </c>
      <c r="B220" s="14" t="s">
        <v>330</v>
      </c>
      <c r="C220" s="14" t="s">
        <v>19</v>
      </c>
      <c r="D220" s="14" t="s">
        <v>32</v>
      </c>
      <c r="E220" s="14" t="s">
        <v>33</v>
      </c>
      <c r="F220" s="14" t="s">
        <v>15</v>
      </c>
      <c r="G220" s="14" t="s">
        <v>62</v>
      </c>
      <c r="H220" s="14">
        <v>42477</v>
      </c>
      <c r="I220" s="14">
        <v>72912</v>
      </c>
      <c r="J220" s="14" t="s">
        <v>570</v>
      </c>
      <c r="K220" s="14" t="str">
        <f>A220&amp;B220&amp;C220&amp;D220&amp;E220&amp;F220&amp;G220&amp;H220&amp;I220&amp;J220&amp;[1]Sheet1!$G$5</f>
        <v>E0219Shafiq HossainMaleHRHR Business PartnerFull-timeChattogram4247772912E0533Sylhet</v>
      </c>
      <c r="L220" s="14">
        <f t="shared" si="9"/>
        <v>132145</v>
      </c>
      <c r="M220" s="14">
        <f ca="1" t="shared" si="10"/>
        <v>9</v>
      </c>
      <c r="N220" s="15" t="str">
        <f ca="1" t="shared" si="11"/>
        <v>Experienced</v>
      </c>
    </row>
    <row r="221" spans="1:14">
      <c r="A221" s="16" t="s">
        <v>571</v>
      </c>
      <c r="B221" s="17" t="s">
        <v>572</v>
      </c>
      <c r="C221" s="17" t="s">
        <v>19</v>
      </c>
      <c r="D221" s="17" t="s">
        <v>52</v>
      </c>
      <c r="E221" s="17" t="s">
        <v>246</v>
      </c>
      <c r="F221" s="17" t="s">
        <v>15</v>
      </c>
      <c r="G221" s="17" t="s">
        <v>62</v>
      </c>
      <c r="H221" s="17">
        <v>44864</v>
      </c>
      <c r="I221" s="17">
        <v>148023</v>
      </c>
      <c r="J221" s="17" t="s">
        <v>376</v>
      </c>
      <c r="K221" s="17" t="str">
        <f>A221&amp;B221&amp;C221&amp;D221&amp;E221&amp;F221&amp;G221&amp;H221&amp;I221&amp;J221&amp;[1]Sheet1!$G$5</f>
        <v>E0220Shafiq HaiderMaleOperationsOperations AssociateFull-timeChattogram44864148023E0150Sylhet</v>
      </c>
      <c r="L221" s="17">
        <f t="shared" si="9"/>
        <v>132186</v>
      </c>
      <c r="M221" s="17">
        <f ca="1" t="shared" si="10"/>
        <v>3</v>
      </c>
      <c r="N221" s="18" t="str">
        <f ca="1" t="shared" si="11"/>
        <v>Mid level</v>
      </c>
    </row>
    <row r="222" spans="1:14">
      <c r="A222" s="13" t="s">
        <v>573</v>
      </c>
      <c r="B222" s="14" t="s">
        <v>420</v>
      </c>
      <c r="C222" s="14" t="s">
        <v>12</v>
      </c>
      <c r="D222" s="14" t="s">
        <v>32</v>
      </c>
      <c r="E222" s="14" t="s">
        <v>208</v>
      </c>
      <c r="F222" s="14" t="s">
        <v>15</v>
      </c>
      <c r="G222" s="14" t="s">
        <v>40</v>
      </c>
      <c r="H222" s="14">
        <v>45064</v>
      </c>
      <c r="I222" s="14">
        <v>186275</v>
      </c>
      <c r="J222" s="14" t="s">
        <v>574</v>
      </c>
      <c r="K222" s="14" t="str">
        <f>A222&amp;B222&amp;C222&amp;D222&amp;E222&amp;F222&amp;G222&amp;H222&amp;I222&amp;J222&amp;[1]Sheet1!$G$5</f>
        <v>E0221Rashed KabirFemaleHRHR ManagerFull-timeDhaka45064186275E0602Sylhet</v>
      </c>
      <c r="L222" s="14">
        <f t="shared" si="9"/>
        <v>132145</v>
      </c>
      <c r="M222" s="14">
        <f ca="1" t="shared" si="10"/>
        <v>2</v>
      </c>
      <c r="N222" s="15" t="str">
        <f ca="1" t="shared" si="11"/>
        <v>New</v>
      </c>
    </row>
    <row r="223" spans="1:14">
      <c r="A223" s="16" t="s">
        <v>575</v>
      </c>
      <c r="B223" s="17" t="s">
        <v>576</v>
      </c>
      <c r="C223" s="17" t="s">
        <v>12</v>
      </c>
      <c r="D223" s="17" t="s">
        <v>92</v>
      </c>
      <c r="E223" s="17" t="s">
        <v>189</v>
      </c>
      <c r="F223" s="17" t="s">
        <v>15</v>
      </c>
      <c r="G223" s="17" t="s">
        <v>62</v>
      </c>
      <c r="H223" s="17">
        <v>45767</v>
      </c>
      <c r="I223" s="17">
        <v>132900</v>
      </c>
      <c r="J223" s="17" t="s">
        <v>172</v>
      </c>
      <c r="K223" s="17" t="str">
        <f>A223&amp;B223&amp;C223&amp;D223&amp;E223&amp;F223&amp;G223&amp;H223&amp;I223&amp;J223&amp;[1]Sheet1!$G$5</f>
        <v>E0222Noman AkterFemaleMarketingMarketing AssociateFull-timeChattogram45767132900E0141Sylhet</v>
      </c>
      <c r="L223" s="17">
        <f t="shared" si="9"/>
        <v>132104</v>
      </c>
      <c r="M223" s="17">
        <f ca="1" t="shared" si="10"/>
        <v>0</v>
      </c>
      <c r="N223" s="18" t="str">
        <f ca="1" t="shared" si="11"/>
        <v>New</v>
      </c>
    </row>
    <row r="224" spans="1:14">
      <c r="A224" s="13" t="s">
        <v>577</v>
      </c>
      <c r="B224" s="14" t="s">
        <v>578</v>
      </c>
      <c r="C224" s="14" t="s">
        <v>19</v>
      </c>
      <c r="D224" s="14" t="s">
        <v>38</v>
      </c>
      <c r="E224" s="14" t="s">
        <v>66</v>
      </c>
      <c r="F224" s="14" t="s">
        <v>15</v>
      </c>
      <c r="G224" s="14" t="s">
        <v>16</v>
      </c>
      <c r="H224" s="14">
        <v>45210</v>
      </c>
      <c r="I224" s="14">
        <v>197759</v>
      </c>
      <c r="J224" s="14" t="s">
        <v>579</v>
      </c>
      <c r="K224" s="14" t="str">
        <f>A224&amp;B224&amp;C224&amp;D224&amp;E224&amp;F224&amp;G224&amp;H224&amp;I224&amp;J224&amp;[1]Sheet1!$G$5</f>
        <v>E0223Tamanna RanaMaleEngineeringSoftware EngineerFull-timeKhulna45210197759E0488Sylhet</v>
      </c>
      <c r="L224" s="14">
        <f t="shared" si="9"/>
        <v>132031</v>
      </c>
      <c r="M224" s="14">
        <f ca="1" t="shared" si="10"/>
        <v>2</v>
      </c>
      <c r="N224" s="15" t="str">
        <f ca="1" t="shared" si="11"/>
        <v>New</v>
      </c>
    </row>
    <row r="225" spans="1:14">
      <c r="A225" s="16" t="s">
        <v>580</v>
      </c>
      <c r="B225" s="17" t="s">
        <v>300</v>
      </c>
      <c r="C225" s="17" t="s">
        <v>12</v>
      </c>
      <c r="D225" s="17" t="s">
        <v>13</v>
      </c>
      <c r="E225" s="17" t="s">
        <v>98</v>
      </c>
      <c r="F225" s="17" t="s">
        <v>15</v>
      </c>
      <c r="G225" s="17" t="s">
        <v>94</v>
      </c>
      <c r="H225" s="17">
        <v>43465</v>
      </c>
      <c r="I225" s="17">
        <v>186825</v>
      </c>
      <c r="J225" s="17" t="s">
        <v>179</v>
      </c>
      <c r="K225" s="17" t="str">
        <f>A225&amp;B225&amp;C225&amp;D225&amp;E225&amp;F225&amp;G225&amp;H225&amp;I225&amp;J225&amp;[1]Sheet1!$G$5</f>
        <v>E0224Nabila SultanaFemaleSalesSales ManagerFull-timeRajshahi43465186825E0045Sylhet</v>
      </c>
      <c r="L225" s="17">
        <f t="shared" si="9"/>
        <v>131958</v>
      </c>
      <c r="M225" s="17">
        <f ca="1" t="shared" si="10"/>
        <v>7</v>
      </c>
      <c r="N225" s="18" t="str">
        <f ca="1" t="shared" si="11"/>
        <v>Experienced</v>
      </c>
    </row>
    <row r="226" spans="1:14">
      <c r="A226" s="13" t="s">
        <v>581</v>
      </c>
      <c r="B226" s="14" t="s">
        <v>498</v>
      </c>
      <c r="C226" s="14" t="s">
        <v>19</v>
      </c>
      <c r="D226" s="14" t="s">
        <v>87</v>
      </c>
      <c r="E226" s="14" t="s">
        <v>156</v>
      </c>
      <c r="F226" s="14" t="s">
        <v>48</v>
      </c>
      <c r="G226" s="14" t="s">
        <v>40</v>
      </c>
      <c r="H226" s="14">
        <v>42488</v>
      </c>
      <c r="I226" s="14">
        <v>238674</v>
      </c>
      <c r="J226" s="14" t="s">
        <v>582</v>
      </c>
      <c r="K226" s="14" t="str">
        <f>A226&amp;B226&amp;C226&amp;D226&amp;E226&amp;F226&amp;G226&amp;H226&amp;I226&amp;J226&amp;[1]Sheet1!$G$5</f>
        <v>E0225Zahid KabirMaleProductAssociate Product ManagerContractDhaka42488238674E0511Sylhet</v>
      </c>
      <c r="L226" s="14">
        <f t="shared" si="9"/>
        <v>131899</v>
      </c>
      <c r="M226" s="14">
        <f ca="1" t="shared" si="10"/>
        <v>9</v>
      </c>
      <c r="N226" s="15" t="str">
        <f ca="1" t="shared" si="11"/>
        <v>Experienced</v>
      </c>
    </row>
    <row r="227" spans="1:14">
      <c r="A227" s="16" t="s">
        <v>583</v>
      </c>
      <c r="B227" s="17" t="s">
        <v>584</v>
      </c>
      <c r="C227" s="17" t="s">
        <v>12</v>
      </c>
      <c r="D227" s="17" t="s">
        <v>87</v>
      </c>
      <c r="E227" s="17" t="s">
        <v>349</v>
      </c>
      <c r="F227" s="17" t="s">
        <v>15</v>
      </c>
      <c r="G227" s="17" t="s">
        <v>40</v>
      </c>
      <c r="H227" s="17">
        <v>43108</v>
      </c>
      <c r="I227" s="17">
        <v>190351</v>
      </c>
      <c r="J227" s="17" t="s">
        <v>585</v>
      </c>
      <c r="K227" s="17" t="str">
        <f>A227&amp;B227&amp;C227&amp;D227&amp;E227&amp;F227&amp;G227&amp;H227&amp;I227&amp;J227&amp;[1]Sheet1!$G$5</f>
        <v>E0226Priya ChowdhuryFemaleProductProduct ManagerFull-timeDhaka43108190351E0241Sylhet</v>
      </c>
      <c r="L227" s="17">
        <f t="shared" si="9"/>
        <v>131840</v>
      </c>
      <c r="M227" s="17">
        <f ca="1" t="shared" si="10"/>
        <v>8</v>
      </c>
      <c r="N227" s="18" t="str">
        <f ca="1" t="shared" si="11"/>
        <v>Experienced</v>
      </c>
    </row>
    <row r="228" spans="1:14">
      <c r="A228" s="13" t="s">
        <v>586</v>
      </c>
      <c r="B228" s="14" t="s">
        <v>136</v>
      </c>
      <c r="C228" s="14" t="s">
        <v>19</v>
      </c>
      <c r="D228" s="14" t="s">
        <v>20</v>
      </c>
      <c r="E228" s="14" t="s">
        <v>21</v>
      </c>
      <c r="F228" s="14" t="s">
        <v>15</v>
      </c>
      <c r="G228" s="14" t="s">
        <v>34</v>
      </c>
      <c r="H228" s="14">
        <v>43489</v>
      </c>
      <c r="I228" s="14">
        <v>85676</v>
      </c>
      <c r="J228" s="14" t="s">
        <v>179</v>
      </c>
      <c r="K228" s="14" t="str">
        <f>A228&amp;B228&amp;C228&amp;D228&amp;E228&amp;F228&amp;G228&amp;H228&amp;I228&amp;J228&amp;[1]Sheet1!$G$5</f>
        <v>E0227Rafi AminMaleCustomer SuccessSupport SpecialistFull-timeSylhet4348985676E0045Sylhet</v>
      </c>
      <c r="L228" s="14">
        <f t="shared" si="9"/>
        <v>131792</v>
      </c>
      <c r="M228" s="14">
        <f ca="1" t="shared" si="10"/>
        <v>7</v>
      </c>
      <c r="N228" s="15" t="str">
        <f ca="1" t="shared" si="11"/>
        <v>Experienced</v>
      </c>
    </row>
    <row r="229" spans="1:14">
      <c r="A229" s="16" t="s">
        <v>587</v>
      </c>
      <c r="B229" s="17" t="s">
        <v>588</v>
      </c>
      <c r="C229" s="17" t="s">
        <v>12</v>
      </c>
      <c r="D229" s="17" t="s">
        <v>13</v>
      </c>
      <c r="E229" s="17" t="s">
        <v>14</v>
      </c>
      <c r="F229" s="17" t="s">
        <v>15</v>
      </c>
      <c r="G229" s="17" t="s">
        <v>34</v>
      </c>
      <c r="H229" s="17">
        <v>45248</v>
      </c>
      <c r="I229" s="17">
        <v>126090</v>
      </c>
      <c r="J229" s="17" t="s">
        <v>589</v>
      </c>
      <c r="K229" s="17" t="str">
        <f>A229&amp;B229&amp;C229&amp;D229&amp;E229&amp;F229&amp;G229&amp;H229&amp;I229&amp;J229&amp;[1]Sheet1!$G$5</f>
        <v>E0228Farhan TalukderFemaleSalesSales AssociateFull-timeSylhet45248126090E0538Sylhet</v>
      </c>
      <c r="L229" s="17">
        <f t="shared" si="9"/>
        <v>131840</v>
      </c>
      <c r="M229" s="17">
        <f ca="1" t="shared" si="10"/>
        <v>2</v>
      </c>
      <c r="N229" s="18" t="str">
        <f ca="1" t="shared" si="11"/>
        <v>New</v>
      </c>
    </row>
    <row r="230" spans="1:14">
      <c r="A230" s="13" t="s">
        <v>482</v>
      </c>
      <c r="B230" s="14" t="s">
        <v>590</v>
      </c>
      <c r="C230" s="14" t="s">
        <v>19</v>
      </c>
      <c r="D230" s="14" t="s">
        <v>52</v>
      </c>
      <c r="E230" s="14" t="s">
        <v>53</v>
      </c>
      <c r="F230" s="14" t="s">
        <v>15</v>
      </c>
      <c r="G230" s="14" t="s">
        <v>94</v>
      </c>
      <c r="H230" s="14">
        <v>45492</v>
      </c>
      <c r="I230" s="14">
        <v>132740</v>
      </c>
      <c r="J230" s="14" t="s">
        <v>591</v>
      </c>
      <c r="K230" s="14" t="str">
        <f>A230&amp;B230&amp;C230&amp;D230&amp;E230&amp;F230&amp;G230&amp;H230&amp;I230&amp;J230&amp;[1]Sheet1!$G$5</f>
        <v>E0229Esha AkterMaleOperationsOperations ManagerFull-timeRajshahi45492132740E0365Sylhet</v>
      </c>
      <c r="L230" s="14">
        <f t="shared" si="9"/>
        <v>131899</v>
      </c>
      <c r="M230" s="14">
        <f ca="1" t="shared" si="10"/>
        <v>1</v>
      </c>
      <c r="N230" s="15" t="str">
        <f ca="1" t="shared" si="11"/>
        <v>New</v>
      </c>
    </row>
    <row r="231" spans="1:14">
      <c r="A231" s="16" t="s">
        <v>592</v>
      </c>
      <c r="B231" s="17" t="s">
        <v>593</v>
      </c>
      <c r="C231" s="17" t="s">
        <v>12</v>
      </c>
      <c r="D231" s="17" t="s">
        <v>32</v>
      </c>
      <c r="E231" s="17" t="s">
        <v>130</v>
      </c>
      <c r="F231" s="17" t="s">
        <v>15</v>
      </c>
      <c r="G231" s="17" t="s">
        <v>28</v>
      </c>
      <c r="H231" s="17">
        <v>43635</v>
      </c>
      <c r="I231" s="17">
        <v>145727</v>
      </c>
      <c r="J231" s="17" t="s">
        <v>229</v>
      </c>
      <c r="K231" s="17" t="str">
        <f>A231&amp;B231&amp;C231&amp;D231&amp;E231&amp;F231&amp;G231&amp;H231&amp;I231&amp;J231&amp;[1]Sheet1!$G$5</f>
        <v>E0230Mitu UddinFemaleHRRecruiterFull-timeRemote43635145727E0980Sylhet</v>
      </c>
      <c r="L231" s="17">
        <f t="shared" si="9"/>
        <v>131840</v>
      </c>
      <c r="M231" s="17">
        <f ca="1" t="shared" si="10"/>
        <v>6</v>
      </c>
      <c r="N231" s="18" t="str">
        <f ca="1" t="shared" si="11"/>
        <v>Experienced</v>
      </c>
    </row>
    <row r="232" spans="1:14">
      <c r="A232" s="13" t="s">
        <v>594</v>
      </c>
      <c r="B232" s="14" t="s">
        <v>595</v>
      </c>
      <c r="C232" s="14" t="s">
        <v>19</v>
      </c>
      <c r="D232" s="14" t="s">
        <v>52</v>
      </c>
      <c r="E232" s="14" t="s">
        <v>53</v>
      </c>
      <c r="F232" s="14" t="s">
        <v>15</v>
      </c>
      <c r="G232" s="14" t="s">
        <v>62</v>
      </c>
      <c r="H232" s="14">
        <v>43761</v>
      </c>
      <c r="I232" s="14">
        <v>201055</v>
      </c>
      <c r="J232" s="14" t="s">
        <v>191</v>
      </c>
      <c r="K232" s="14" t="str">
        <f>A232&amp;B232&amp;C232&amp;D232&amp;E232&amp;F232&amp;G232&amp;H232&amp;I232&amp;J232&amp;[1]Sheet1!$G$5</f>
        <v>E0231Nadia ChowdhuryMaleOperationsOperations ManagerFull-timeChattogram43761201055E0049Sylhet</v>
      </c>
      <c r="L232" s="14">
        <f t="shared" si="9"/>
        <v>131792</v>
      </c>
      <c r="M232" s="14">
        <f ca="1" t="shared" si="10"/>
        <v>6</v>
      </c>
      <c r="N232" s="15" t="str">
        <f ca="1" t="shared" si="11"/>
        <v>Experienced</v>
      </c>
    </row>
    <row r="233" spans="1:14">
      <c r="A233" s="16" t="s">
        <v>596</v>
      </c>
      <c r="B233" s="17" t="s">
        <v>597</v>
      </c>
      <c r="C233" s="17" t="s">
        <v>19</v>
      </c>
      <c r="D233" s="17" t="s">
        <v>92</v>
      </c>
      <c r="E233" s="17" t="s">
        <v>189</v>
      </c>
      <c r="F233" s="17" t="s">
        <v>15</v>
      </c>
      <c r="G233" s="17" t="s">
        <v>62</v>
      </c>
      <c r="H233" s="17">
        <v>43807</v>
      </c>
      <c r="I233" s="17">
        <v>160791</v>
      </c>
      <c r="J233" s="17"/>
      <c r="K233" s="17" t="str">
        <f>A233&amp;B233&amp;C233&amp;D233&amp;E233&amp;F233&amp;G233&amp;H233&amp;I233&amp;J233&amp;[1]Sheet1!$G$5</f>
        <v>E0232Farhan SultanaMaleMarketingMarketing AssociateFull-timeChattogram43807160791Sylhet</v>
      </c>
      <c r="L233" s="17">
        <f t="shared" si="9"/>
        <v>131744</v>
      </c>
      <c r="M233" s="17">
        <f ca="1" t="shared" si="10"/>
        <v>6</v>
      </c>
      <c r="N233" s="18" t="str">
        <f ca="1" t="shared" si="11"/>
        <v>Experienced</v>
      </c>
    </row>
    <row r="234" spans="1:14">
      <c r="A234" s="13" t="s">
        <v>598</v>
      </c>
      <c r="B234" s="14" t="s">
        <v>217</v>
      </c>
      <c r="C234" s="14" t="s">
        <v>12</v>
      </c>
      <c r="D234" s="14" t="s">
        <v>92</v>
      </c>
      <c r="E234" s="14" t="s">
        <v>189</v>
      </c>
      <c r="F234" s="14" t="s">
        <v>15</v>
      </c>
      <c r="G234" s="14" t="s">
        <v>62</v>
      </c>
      <c r="H234" s="14">
        <v>42395</v>
      </c>
      <c r="I234" s="14">
        <v>112634</v>
      </c>
      <c r="J234" s="14" t="s">
        <v>49</v>
      </c>
      <c r="K234" s="14" t="str">
        <f>A234&amp;B234&amp;C234&amp;D234&amp;E234&amp;F234&amp;G234&amp;H234&amp;I234&amp;J234&amp;[1]Sheet1!$G$5</f>
        <v>E0233Ayesha ParvinFemaleMarketingMarketing AssociateFull-timeChattogram42395112634E0102Sylhet</v>
      </c>
      <c r="L234" s="14">
        <f t="shared" si="9"/>
        <v>131710.5</v>
      </c>
      <c r="M234" s="14">
        <f ca="1" t="shared" si="10"/>
        <v>10</v>
      </c>
      <c r="N234" s="15" t="str">
        <f ca="1" t="shared" si="11"/>
        <v>Experienced</v>
      </c>
    </row>
    <row r="235" spans="1:14">
      <c r="A235" s="16" t="s">
        <v>599</v>
      </c>
      <c r="B235" s="17" t="s">
        <v>600</v>
      </c>
      <c r="C235" s="17" t="s">
        <v>12</v>
      </c>
      <c r="D235" s="17" t="s">
        <v>92</v>
      </c>
      <c r="E235" s="17" t="s">
        <v>189</v>
      </c>
      <c r="F235" s="17" t="s">
        <v>15</v>
      </c>
      <c r="G235" s="17" t="s">
        <v>40</v>
      </c>
      <c r="H235" s="17">
        <v>43113</v>
      </c>
      <c r="I235" s="17">
        <v>104145</v>
      </c>
      <c r="J235" s="17" t="s">
        <v>601</v>
      </c>
      <c r="K235" s="17" t="str">
        <f>A235&amp;B235&amp;C235&amp;D235&amp;E235&amp;F235&amp;G235&amp;H235&amp;I235&amp;J235&amp;[1]Sheet1!$G$5</f>
        <v>E0234Jannat AnjumFemaleMarketingMarketing AssociateFull-timeDhaka43113104145E0543Sylhet</v>
      </c>
      <c r="L235" s="17">
        <f t="shared" si="9"/>
        <v>131744</v>
      </c>
      <c r="M235" s="17">
        <f ca="1" t="shared" si="10"/>
        <v>8</v>
      </c>
      <c r="N235" s="18" t="str">
        <f ca="1" t="shared" si="11"/>
        <v>Experienced</v>
      </c>
    </row>
    <row r="236" spans="1:14">
      <c r="A236" s="13" t="s">
        <v>602</v>
      </c>
      <c r="B236" s="14" t="s">
        <v>603</v>
      </c>
      <c r="C236" s="14" t="s">
        <v>19</v>
      </c>
      <c r="D236" s="14" t="s">
        <v>38</v>
      </c>
      <c r="E236" s="14" t="s">
        <v>44</v>
      </c>
      <c r="F236" s="14" t="s">
        <v>15</v>
      </c>
      <c r="G236" s="14" t="s">
        <v>40</v>
      </c>
      <c r="H236" s="14">
        <v>42956</v>
      </c>
      <c r="I236" s="14">
        <v>125871</v>
      </c>
      <c r="J236" s="14" t="s">
        <v>604</v>
      </c>
      <c r="K236" s="14" t="str">
        <f>A236&amp;B236&amp;C236&amp;D236&amp;E236&amp;F236&amp;G236&amp;H236&amp;I236&amp;J236&amp;[1]Sheet1!$G$5</f>
        <v>E0235Shawon SarkerMaleEngineeringQA EngineerFull-timeDhaka42956125871E0243Sylhet</v>
      </c>
      <c r="L236" s="14">
        <f t="shared" si="9"/>
        <v>131792</v>
      </c>
      <c r="M236" s="14">
        <f ca="1" t="shared" si="10"/>
        <v>8</v>
      </c>
      <c r="N236" s="15" t="str">
        <f ca="1" t="shared" si="11"/>
        <v>Experienced</v>
      </c>
    </row>
    <row r="237" spans="1:14">
      <c r="A237" s="16" t="s">
        <v>605</v>
      </c>
      <c r="B237" s="17" t="s">
        <v>606</v>
      </c>
      <c r="C237" s="17" t="s">
        <v>19</v>
      </c>
      <c r="D237" s="17" t="s">
        <v>26</v>
      </c>
      <c r="E237" s="17" t="s">
        <v>61</v>
      </c>
      <c r="F237" s="17" t="s">
        <v>15</v>
      </c>
      <c r="G237" s="17" t="s">
        <v>16</v>
      </c>
      <c r="H237" s="17">
        <v>44689</v>
      </c>
      <c r="I237" s="17">
        <v>138097</v>
      </c>
      <c r="J237" s="17" t="s">
        <v>259</v>
      </c>
      <c r="K237" s="17" t="str">
        <f>A237&amp;B237&amp;C237&amp;D237&amp;E237&amp;F237&amp;G237&amp;H237&amp;I237&amp;J237&amp;[1]Sheet1!$G$5</f>
        <v>E0236Nabila AminMaleFinanceFinancial AnalystFull-timeKhulna44689138097E0239Sylhet</v>
      </c>
      <c r="L237" s="17">
        <f t="shared" si="9"/>
        <v>131840</v>
      </c>
      <c r="M237" s="17">
        <f ca="1" t="shared" si="10"/>
        <v>3</v>
      </c>
      <c r="N237" s="18" t="str">
        <f ca="1" t="shared" si="11"/>
        <v>Mid level</v>
      </c>
    </row>
    <row r="238" spans="1:14">
      <c r="A238" s="13" t="s">
        <v>607</v>
      </c>
      <c r="B238" s="14" t="s">
        <v>101</v>
      </c>
      <c r="C238" s="14" t="s">
        <v>12</v>
      </c>
      <c r="D238" s="14" t="s">
        <v>87</v>
      </c>
      <c r="E238" s="14" t="s">
        <v>111</v>
      </c>
      <c r="F238" s="14" t="s">
        <v>15</v>
      </c>
      <c r="G238" s="14" t="s">
        <v>16</v>
      </c>
      <c r="H238" s="14">
        <v>45062</v>
      </c>
      <c r="I238" s="14">
        <v>137134</v>
      </c>
      <c r="J238" s="14" t="s">
        <v>280</v>
      </c>
      <c r="K238" s="14" t="str">
        <f>A238&amp;B238&amp;C238&amp;D238&amp;E238&amp;F238&amp;G238&amp;H238&amp;I238&amp;J238&amp;[1]Sheet1!$G$5</f>
        <v>E0237Imran KabirFemaleProductSenior Product ManagerFull-timeKhulna45062137134E0617Sylhet</v>
      </c>
      <c r="L238" s="14">
        <f t="shared" si="9"/>
        <v>131792</v>
      </c>
      <c r="M238" s="14">
        <f ca="1" t="shared" si="10"/>
        <v>2</v>
      </c>
      <c r="N238" s="15" t="str">
        <f ca="1" t="shared" si="11"/>
        <v>New</v>
      </c>
    </row>
    <row r="239" spans="1:14">
      <c r="A239" s="16" t="s">
        <v>608</v>
      </c>
      <c r="B239" s="17" t="s">
        <v>609</v>
      </c>
      <c r="C239" s="17" t="s">
        <v>19</v>
      </c>
      <c r="D239" s="17" t="s">
        <v>38</v>
      </c>
      <c r="E239" s="17" t="s">
        <v>140</v>
      </c>
      <c r="F239" s="17" t="s">
        <v>15</v>
      </c>
      <c r="G239" s="17" t="s">
        <v>16</v>
      </c>
      <c r="H239" s="17">
        <v>44011</v>
      </c>
      <c r="I239" s="17">
        <v>150761</v>
      </c>
      <c r="J239" s="17" t="s">
        <v>490</v>
      </c>
      <c r="K239" s="17" t="str">
        <f>A239&amp;B239&amp;C239&amp;D239&amp;E239&amp;F239&amp;G239&amp;H239&amp;I239&amp;J239&amp;[1]Sheet1!$G$5</f>
        <v>E0238Zahid TalukderMaleEngineeringSenior Software EngineerFull-timeKhulna44011150761E0686Sylhet</v>
      </c>
      <c r="L239" s="17">
        <f t="shared" si="9"/>
        <v>131744</v>
      </c>
      <c r="M239" s="17">
        <f ca="1" t="shared" si="10"/>
        <v>5</v>
      </c>
      <c r="N239" s="18" t="str">
        <f ca="1" t="shared" si="11"/>
        <v>Mid level</v>
      </c>
    </row>
    <row r="240" spans="1:14">
      <c r="A240" s="13" t="s">
        <v>259</v>
      </c>
      <c r="B240" s="14" t="s">
        <v>610</v>
      </c>
      <c r="C240" s="14" t="s">
        <v>12</v>
      </c>
      <c r="D240" s="14" t="s">
        <v>32</v>
      </c>
      <c r="E240" s="14" t="s">
        <v>208</v>
      </c>
      <c r="F240" s="14" t="s">
        <v>15</v>
      </c>
      <c r="G240" s="14" t="s">
        <v>40</v>
      </c>
      <c r="H240" s="14">
        <v>42655</v>
      </c>
      <c r="I240" s="14">
        <v>199207</v>
      </c>
      <c r="J240" s="14" t="s">
        <v>539</v>
      </c>
      <c r="K240" s="14" t="str">
        <f>A240&amp;B240&amp;C240&amp;D240&amp;E240&amp;F240&amp;G240&amp;H240&amp;I240&amp;J240&amp;[1]Sheet1!$G$5</f>
        <v>E0239Sajid UddinFemaleHRHR ManagerFull-timeDhaka42655199207E0639Sylhet</v>
      </c>
      <c r="L240" s="14">
        <f t="shared" si="9"/>
        <v>131710.5</v>
      </c>
      <c r="M240" s="14">
        <f ca="1" t="shared" si="10"/>
        <v>9</v>
      </c>
      <c r="N240" s="15" t="str">
        <f ca="1" t="shared" si="11"/>
        <v>Experienced</v>
      </c>
    </row>
    <row r="241" spans="1:14">
      <c r="A241" s="16" t="s">
        <v>611</v>
      </c>
      <c r="B241" s="17" t="s">
        <v>612</v>
      </c>
      <c r="C241" s="17" t="s">
        <v>12</v>
      </c>
      <c r="D241" s="17" t="s">
        <v>38</v>
      </c>
      <c r="E241" s="17" t="s">
        <v>77</v>
      </c>
      <c r="F241" s="17" t="s">
        <v>15</v>
      </c>
      <c r="G241" s="17" t="s">
        <v>28</v>
      </c>
      <c r="H241" s="17">
        <v>42951</v>
      </c>
      <c r="I241" s="17">
        <v>81364</v>
      </c>
      <c r="J241" s="17" t="s">
        <v>613</v>
      </c>
      <c r="K241" s="17" t="str">
        <f>A241&amp;B241&amp;C241&amp;D241&amp;E241&amp;F241&amp;G241&amp;H241&amp;I241&amp;J241&amp;[1]Sheet1!$G$5</f>
        <v>E0240Rahim RahmanFemaleEngineeringJunior Software EngineerFull-timeRemote4295181364E0882Sylhet</v>
      </c>
      <c r="L241" s="17">
        <f t="shared" si="9"/>
        <v>131677</v>
      </c>
      <c r="M241" s="17">
        <f ca="1" t="shared" si="10"/>
        <v>8</v>
      </c>
      <c r="N241" s="18" t="str">
        <f ca="1" t="shared" si="11"/>
        <v>Experienced</v>
      </c>
    </row>
    <row r="242" spans="1:14">
      <c r="A242" s="13" t="s">
        <v>585</v>
      </c>
      <c r="B242" s="14" t="s">
        <v>614</v>
      </c>
      <c r="C242" s="14" t="s">
        <v>19</v>
      </c>
      <c r="D242" s="14" t="s">
        <v>20</v>
      </c>
      <c r="E242" s="14" t="s">
        <v>70</v>
      </c>
      <c r="F242" s="14" t="s">
        <v>48</v>
      </c>
      <c r="G242" s="14" t="s">
        <v>62</v>
      </c>
      <c r="H242" s="14">
        <v>45405</v>
      </c>
      <c r="I242" s="14">
        <v>139274</v>
      </c>
      <c r="J242" s="14"/>
      <c r="K242" s="14" t="str">
        <f>A242&amp;B242&amp;C242&amp;D242&amp;E242&amp;F242&amp;G242&amp;H242&amp;I242&amp;J242&amp;[1]Sheet1!$G$5</f>
        <v>E0241Sajid BanuMaleCustomer SuccessCustomer Success ManagerContractChattogram45405139274Sylhet</v>
      </c>
      <c r="L242" s="14">
        <f t="shared" si="9"/>
        <v>131710.5</v>
      </c>
      <c r="M242" s="14">
        <f ca="1" t="shared" si="10"/>
        <v>1</v>
      </c>
      <c r="N242" s="15" t="str">
        <f ca="1" t="shared" si="11"/>
        <v>New</v>
      </c>
    </row>
    <row r="243" spans="1:14">
      <c r="A243" s="16" t="s">
        <v>615</v>
      </c>
      <c r="B243" s="17" t="s">
        <v>616</v>
      </c>
      <c r="C243" s="17" t="s">
        <v>12</v>
      </c>
      <c r="D243" s="17" t="s">
        <v>20</v>
      </c>
      <c r="E243" s="17" t="s">
        <v>70</v>
      </c>
      <c r="F243" s="17" t="s">
        <v>15</v>
      </c>
      <c r="G243" s="17" t="s">
        <v>40</v>
      </c>
      <c r="H243" s="17">
        <v>44963</v>
      </c>
      <c r="I243" s="17">
        <v>110145</v>
      </c>
      <c r="J243" s="17" t="s">
        <v>392</v>
      </c>
      <c r="K243" s="17" t="str">
        <f>A243&amp;B243&amp;C243&amp;D243&amp;E243&amp;F243&amp;G243&amp;H243&amp;I243&amp;J243&amp;[1]Sheet1!$G$5</f>
        <v>E0242Nabila UddinFemaleCustomer SuccessCustomer Success ManagerFull-timeDhaka44963110145E0979Sylhet</v>
      </c>
      <c r="L243" s="17">
        <f t="shared" si="9"/>
        <v>131677</v>
      </c>
      <c r="M243" s="17">
        <f ca="1" t="shared" si="10"/>
        <v>3</v>
      </c>
      <c r="N243" s="18" t="str">
        <f ca="1" t="shared" si="11"/>
        <v>Mid level</v>
      </c>
    </row>
    <row r="244" spans="1:14">
      <c r="A244" s="13" t="s">
        <v>604</v>
      </c>
      <c r="B244" s="14" t="s">
        <v>439</v>
      </c>
      <c r="C244" s="14" t="s">
        <v>19</v>
      </c>
      <c r="D244" s="14" t="s">
        <v>20</v>
      </c>
      <c r="E244" s="14" t="s">
        <v>70</v>
      </c>
      <c r="F244" s="14" t="s">
        <v>48</v>
      </c>
      <c r="G244" s="14" t="s">
        <v>62</v>
      </c>
      <c r="H244" s="14">
        <v>42495</v>
      </c>
      <c r="I244" s="14">
        <v>96473</v>
      </c>
      <c r="J244" s="14" t="s">
        <v>397</v>
      </c>
      <c r="K244" s="14" t="str">
        <f>A244&amp;B244&amp;C244&amp;D244&amp;E244&amp;F244&amp;G244&amp;H244&amp;I244&amp;J244&amp;[1]Sheet1!$G$5</f>
        <v>E0243Tania ParvinMaleCustomer SuccessCustomer Success ManagerContractChattogram4249596473E0407Sylhet</v>
      </c>
      <c r="L244" s="14">
        <f t="shared" si="9"/>
        <v>131710.5</v>
      </c>
      <c r="M244" s="14">
        <f ca="1" t="shared" si="10"/>
        <v>9</v>
      </c>
      <c r="N244" s="15" t="str">
        <f ca="1" t="shared" si="11"/>
        <v>Experienced</v>
      </c>
    </row>
    <row r="245" spans="1:14">
      <c r="A245" s="16" t="s">
        <v>617</v>
      </c>
      <c r="B245" s="17" t="s">
        <v>618</v>
      </c>
      <c r="C245" s="17" t="s">
        <v>12</v>
      </c>
      <c r="D245" s="17" t="s">
        <v>13</v>
      </c>
      <c r="E245" s="17" t="s">
        <v>98</v>
      </c>
      <c r="F245" s="17" t="s">
        <v>48</v>
      </c>
      <c r="G245" s="17" t="s">
        <v>34</v>
      </c>
      <c r="H245" s="17">
        <v>42745</v>
      </c>
      <c r="I245" s="17">
        <v>243473</v>
      </c>
      <c r="J245" s="17" t="s">
        <v>619</v>
      </c>
      <c r="K245" s="17" t="str">
        <f>A245&amp;B245&amp;C245&amp;D245&amp;E245&amp;F245&amp;G245&amp;H245&amp;I245&amp;J245&amp;[1]Sheet1!$G$5</f>
        <v>E0244Jannat SharminFemaleSalesSales ManagerContractSylhet42745243473E0936Sylhet</v>
      </c>
      <c r="L245" s="17">
        <f t="shared" si="9"/>
        <v>131744</v>
      </c>
      <c r="M245" s="17">
        <f ca="1" t="shared" si="10"/>
        <v>9</v>
      </c>
      <c r="N245" s="18" t="str">
        <f ca="1" t="shared" si="11"/>
        <v>Experienced</v>
      </c>
    </row>
    <row r="246" spans="1:14">
      <c r="A246" s="13" t="s">
        <v>620</v>
      </c>
      <c r="B246" s="14" t="s">
        <v>47</v>
      </c>
      <c r="C246" s="14" t="s">
        <v>19</v>
      </c>
      <c r="D246" s="14" t="s">
        <v>38</v>
      </c>
      <c r="E246" s="14" t="s">
        <v>44</v>
      </c>
      <c r="F246" s="14" t="s">
        <v>15</v>
      </c>
      <c r="G246" s="14" t="s">
        <v>94</v>
      </c>
      <c r="H246" s="14">
        <v>45426</v>
      </c>
      <c r="I246" s="14">
        <v>117681</v>
      </c>
      <c r="J246" s="14" t="s">
        <v>621</v>
      </c>
      <c r="K246" s="14" t="str">
        <f>A246&amp;B246&amp;C246&amp;D246&amp;E246&amp;F246&amp;G246&amp;H246&amp;I246&amp;J246&amp;[1]Sheet1!$G$5</f>
        <v>E0245Karim IslamMaleEngineeringQA EngineerFull-timeRajshahi45426117681E0852Sylhet</v>
      </c>
      <c r="L246" s="14">
        <f t="shared" si="9"/>
        <v>131710.5</v>
      </c>
      <c r="M246" s="14">
        <f ca="1" t="shared" si="10"/>
        <v>1</v>
      </c>
      <c r="N246" s="15" t="str">
        <f ca="1" t="shared" si="11"/>
        <v>New</v>
      </c>
    </row>
    <row r="247" spans="1:14">
      <c r="A247" s="16" t="s">
        <v>622</v>
      </c>
      <c r="B247" s="17" t="s">
        <v>623</v>
      </c>
      <c r="C247" s="17" t="s">
        <v>12</v>
      </c>
      <c r="D247" s="17" t="s">
        <v>20</v>
      </c>
      <c r="E247" s="17" t="s">
        <v>21</v>
      </c>
      <c r="F247" s="17" t="s">
        <v>15</v>
      </c>
      <c r="G247" s="17" t="s">
        <v>16</v>
      </c>
      <c r="H247" s="17">
        <v>44542</v>
      </c>
      <c r="I247" s="17">
        <v>91573</v>
      </c>
      <c r="J247" s="17" t="s">
        <v>54</v>
      </c>
      <c r="K247" s="17" t="str">
        <f>A247&amp;B247&amp;C247&amp;D247&amp;E247&amp;F247&amp;G247&amp;H247&amp;I247&amp;J247&amp;[1]Sheet1!$G$5</f>
        <v>E0246Shawon JahanFemaleCustomer SuccessSupport SpecialistFull-timeKhulna4454291573E0646Sylhet</v>
      </c>
      <c r="L247" s="17">
        <f t="shared" si="9"/>
        <v>131744</v>
      </c>
      <c r="M247" s="17">
        <f ca="1" t="shared" si="10"/>
        <v>4</v>
      </c>
      <c r="N247" s="18" t="str">
        <f ca="1" t="shared" si="11"/>
        <v>Mid level</v>
      </c>
    </row>
    <row r="248" spans="1:14">
      <c r="A248" s="13" t="s">
        <v>624</v>
      </c>
      <c r="B248" s="14" t="s">
        <v>625</v>
      </c>
      <c r="C248" s="14" t="s">
        <v>19</v>
      </c>
      <c r="D248" s="14" t="s">
        <v>13</v>
      </c>
      <c r="E248" s="14" t="s">
        <v>14</v>
      </c>
      <c r="F248" s="14" t="s">
        <v>22</v>
      </c>
      <c r="G248" s="14" t="s">
        <v>62</v>
      </c>
      <c r="H248" s="14">
        <v>43251</v>
      </c>
      <c r="I248" s="14">
        <v>108435</v>
      </c>
      <c r="J248" s="14"/>
      <c r="K248" s="14" t="str">
        <f>A248&amp;B248&amp;C248&amp;D248&amp;E248&amp;F248&amp;G248&amp;H248&amp;I248&amp;J248&amp;[1]Sheet1!$G$5</f>
        <v>E0247Mahin AnjumMaleSalesSales AssociateInternChattogram43251108435Sylhet</v>
      </c>
      <c r="L248" s="14">
        <f t="shared" si="9"/>
        <v>131792</v>
      </c>
      <c r="M248" s="14">
        <f ca="1" t="shared" si="10"/>
        <v>7</v>
      </c>
      <c r="N248" s="15" t="str">
        <f ca="1" t="shared" si="11"/>
        <v>Experienced</v>
      </c>
    </row>
    <row r="249" spans="1:14">
      <c r="A249" s="16" t="s">
        <v>626</v>
      </c>
      <c r="B249" s="17" t="s">
        <v>327</v>
      </c>
      <c r="C249" s="17" t="s">
        <v>19</v>
      </c>
      <c r="D249" s="17" t="s">
        <v>20</v>
      </c>
      <c r="E249" s="17" t="s">
        <v>147</v>
      </c>
      <c r="F249" s="17" t="s">
        <v>15</v>
      </c>
      <c r="G249" s="17" t="s">
        <v>28</v>
      </c>
      <c r="H249" s="17">
        <v>43910</v>
      </c>
      <c r="I249" s="17">
        <v>63968</v>
      </c>
      <c r="J249" s="17" t="s">
        <v>627</v>
      </c>
      <c r="K249" s="17" t="str">
        <f>A249&amp;B249&amp;C249&amp;D249&amp;E249&amp;F249&amp;G249&amp;H249&amp;I249&amp;J249&amp;[1]Sheet1!$G$5</f>
        <v>E0248Sadia SadiqMaleCustomer SuccessSupport AssociateFull-timeRemote4391063968E0448Sylhet</v>
      </c>
      <c r="L249" s="17">
        <f t="shared" si="9"/>
        <v>131840</v>
      </c>
      <c r="M249" s="17">
        <f ca="1" t="shared" si="10"/>
        <v>5</v>
      </c>
      <c r="N249" s="18" t="str">
        <f ca="1" t="shared" si="11"/>
        <v>Mid level</v>
      </c>
    </row>
    <row r="250" spans="1:14">
      <c r="A250" s="13" t="s">
        <v>493</v>
      </c>
      <c r="B250" s="14" t="s">
        <v>628</v>
      </c>
      <c r="C250" s="14" t="s">
        <v>12</v>
      </c>
      <c r="D250" s="14" t="s">
        <v>20</v>
      </c>
      <c r="E250" s="14" t="s">
        <v>70</v>
      </c>
      <c r="F250" s="14" t="s">
        <v>15</v>
      </c>
      <c r="G250" s="14" t="s">
        <v>40</v>
      </c>
      <c r="H250" s="14">
        <v>44089</v>
      </c>
      <c r="I250" s="14">
        <v>86122</v>
      </c>
      <c r="J250" s="14" t="s">
        <v>235</v>
      </c>
      <c r="K250" s="14" t="str">
        <f>A250&amp;B250&amp;C250&amp;D250&amp;E250&amp;F250&amp;G250&amp;H250&amp;I250&amp;J250&amp;[1]Sheet1!$G$5</f>
        <v>E0249Imran AkterFemaleCustomer SuccessCustomer Success ManagerFull-timeDhaka4408986122E0065Sylhet</v>
      </c>
      <c r="L250" s="14">
        <f t="shared" si="9"/>
        <v>131899</v>
      </c>
      <c r="M250" s="14">
        <f ca="1" t="shared" si="10"/>
        <v>5</v>
      </c>
      <c r="N250" s="15" t="str">
        <f ca="1" t="shared" si="11"/>
        <v>Mid level</v>
      </c>
    </row>
    <row r="251" spans="1:14">
      <c r="A251" s="16" t="s">
        <v>629</v>
      </c>
      <c r="B251" s="17" t="s">
        <v>630</v>
      </c>
      <c r="C251" s="17" t="s">
        <v>19</v>
      </c>
      <c r="D251" s="17" t="s">
        <v>52</v>
      </c>
      <c r="E251" s="17" t="s">
        <v>120</v>
      </c>
      <c r="F251" s="17" t="s">
        <v>48</v>
      </c>
      <c r="G251" s="17" t="s">
        <v>34</v>
      </c>
      <c r="H251" s="17">
        <v>44228</v>
      </c>
      <c r="I251" s="17">
        <v>113140</v>
      </c>
      <c r="J251" s="17" t="s">
        <v>617</v>
      </c>
      <c r="K251" s="17" t="str">
        <f>A251&amp;B251&amp;C251&amp;D251&amp;E251&amp;F251&amp;G251&amp;H251&amp;I251&amp;J251&amp;[1]Sheet1!$G$5</f>
        <v>E0250Mahin HossainMaleOperationsSupply Chain AnalystContractSylhet44228113140E0244Sylhet</v>
      </c>
      <c r="L251" s="17">
        <f t="shared" si="9"/>
        <v>131958</v>
      </c>
      <c r="M251" s="17">
        <f ca="1" t="shared" si="10"/>
        <v>5</v>
      </c>
      <c r="N251" s="18" t="str">
        <f ca="1" t="shared" si="11"/>
        <v>Mid level</v>
      </c>
    </row>
    <row r="252" spans="1:14">
      <c r="A252" s="13" t="s">
        <v>169</v>
      </c>
      <c r="B252" s="14" t="s">
        <v>631</v>
      </c>
      <c r="C252" s="14" t="s">
        <v>19</v>
      </c>
      <c r="D252" s="14" t="s">
        <v>87</v>
      </c>
      <c r="E252" s="14" t="s">
        <v>349</v>
      </c>
      <c r="F252" s="14" t="s">
        <v>15</v>
      </c>
      <c r="G252" s="14" t="s">
        <v>34</v>
      </c>
      <c r="H252" s="14">
        <v>43766</v>
      </c>
      <c r="I252" s="14">
        <v>210984</v>
      </c>
      <c r="J252" s="14" t="s">
        <v>468</v>
      </c>
      <c r="K252" s="14" t="str">
        <f>A252&amp;B252&amp;C252&amp;D252&amp;E252&amp;F252&amp;G252&amp;H252&amp;I252&amp;J252&amp;[1]Sheet1!$G$5</f>
        <v>E0251Mahin MorshedMaleProductProduct ManagerFull-timeSylhet43766210984E0167Sylhet</v>
      </c>
      <c r="L252" s="14">
        <f t="shared" si="9"/>
        <v>132031</v>
      </c>
      <c r="M252" s="14">
        <f ca="1" t="shared" si="10"/>
        <v>6</v>
      </c>
      <c r="N252" s="15" t="str">
        <f ca="1" t="shared" si="11"/>
        <v>Experienced</v>
      </c>
    </row>
    <row r="253" spans="1:14">
      <c r="A253" s="16" t="s">
        <v>632</v>
      </c>
      <c r="B253" s="17" t="s">
        <v>633</v>
      </c>
      <c r="C253" s="17" t="s">
        <v>12</v>
      </c>
      <c r="D253" s="17" t="s">
        <v>13</v>
      </c>
      <c r="E253" s="17" t="s">
        <v>165</v>
      </c>
      <c r="F253" s="17" t="s">
        <v>15</v>
      </c>
      <c r="G253" s="17" t="s">
        <v>16</v>
      </c>
      <c r="H253" s="17">
        <v>43014</v>
      </c>
      <c r="I253" s="17">
        <v>100793</v>
      </c>
      <c r="J253" s="17" t="s">
        <v>54</v>
      </c>
      <c r="K253" s="17" t="str">
        <f>A253&amp;B253&amp;C253&amp;D253&amp;E253&amp;F253&amp;G253&amp;H253&amp;I253&amp;J253&amp;[1]Sheet1!$G$5</f>
        <v>E0252Priya HossainFemaleSalesAccount ExecutiveFull-timeKhulna43014100793E0646Sylhet</v>
      </c>
      <c r="L253" s="17">
        <f t="shared" si="9"/>
        <v>131958</v>
      </c>
      <c r="M253" s="17">
        <f ca="1" t="shared" si="10"/>
        <v>8</v>
      </c>
      <c r="N253" s="18" t="str">
        <f ca="1" t="shared" si="11"/>
        <v>Experienced</v>
      </c>
    </row>
    <row r="254" spans="1:14">
      <c r="A254" s="13" t="s">
        <v>634</v>
      </c>
      <c r="B254" s="14" t="s">
        <v>635</v>
      </c>
      <c r="C254" s="14" t="s">
        <v>19</v>
      </c>
      <c r="D254" s="14" t="s">
        <v>52</v>
      </c>
      <c r="E254" s="14" t="s">
        <v>246</v>
      </c>
      <c r="F254" s="14" t="s">
        <v>15</v>
      </c>
      <c r="G254" s="14" t="s">
        <v>62</v>
      </c>
      <c r="H254" s="14">
        <v>43885</v>
      </c>
      <c r="I254" s="14">
        <v>100319</v>
      </c>
      <c r="J254" s="14" t="s">
        <v>253</v>
      </c>
      <c r="K254" s="14" t="str">
        <f>A254&amp;B254&amp;C254&amp;D254&amp;E254&amp;F254&amp;G254&amp;H254&amp;I254&amp;J254&amp;[1]Sheet1!$G$5</f>
        <v>E0253Nadia BanuMaleOperationsOperations AssociateFull-timeChattogram43885100319E0109Sylhet</v>
      </c>
      <c r="L254" s="14">
        <f t="shared" si="9"/>
        <v>132031</v>
      </c>
      <c r="M254" s="14">
        <f ca="1" t="shared" si="10"/>
        <v>6</v>
      </c>
      <c r="N254" s="15" t="str">
        <f ca="1" t="shared" si="11"/>
        <v>Experienced</v>
      </c>
    </row>
    <row r="255" spans="1:14">
      <c r="A255" s="16" t="s">
        <v>636</v>
      </c>
      <c r="B255" s="17" t="s">
        <v>637</v>
      </c>
      <c r="C255" s="17" t="s">
        <v>19</v>
      </c>
      <c r="D255" s="17" t="s">
        <v>87</v>
      </c>
      <c r="E255" s="17" t="s">
        <v>88</v>
      </c>
      <c r="F255" s="17" t="s">
        <v>15</v>
      </c>
      <c r="G255" s="17" t="s">
        <v>34</v>
      </c>
      <c r="H255" s="17">
        <v>43646</v>
      </c>
      <c r="I255" s="17">
        <v>98081</v>
      </c>
      <c r="J255" s="17" t="s">
        <v>295</v>
      </c>
      <c r="K255" s="17" t="str">
        <f>A255&amp;B255&amp;C255&amp;D255&amp;E255&amp;F255&amp;G255&amp;H255&amp;I255&amp;J255&amp;[1]Sheet1!$G$5</f>
        <v>E0254Nafiz JahanMaleProductProduct AnalystFull-timeSylhet4364698081E0420Sylhet</v>
      </c>
      <c r="L255" s="17">
        <f t="shared" si="9"/>
        <v>132104</v>
      </c>
      <c r="M255" s="17">
        <f ca="1" t="shared" si="10"/>
        <v>6</v>
      </c>
      <c r="N255" s="18" t="str">
        <f ca="1" t="shared" si="11"/>
        <v>Experienced</v>
      </c>
    </row>
    <row r="256" spans="1:14">
      <c r="A256" s="13" t="s">
        <v>638</v>
      </c>
      <c r="B256" s="14" t="s">
        <v>639</v>
      </c>
      <c r="C256" s="14" t="s">
        <v>293</v>
      </c>
      <c r="D256" s="14" t="s">
        <v>38</v>
      </c>
      <c r="E256" s="14" t="s">
        <v>44</v>
      </c>
      <c r="F256" s="14" t="s">
        <v>48</v>
      </c>
      <c r="G256" s="14" t="s">
        <v>16</v>
      </c>
      <c r="H256" s="14">
        <v>45325</v>
      </c>
      <c r="I256" s="14">
        <v>163185</v>
      </c>
      <c r="J256" s="14" t="s">
        <v>640</v>
      </c>
      <c r="K256" s="14" t="str">
        <f>A256&amp;B256&amp;C256&amp;D256&amp;E256&amp;F256&amp;G256&amp;H256&amp;I256&amp;J256&amp;[1]Sheet1!$G$5</f>
        <v>E0255Ovi RasheedPrefer not to sayEngineeringQA EngineerContractKhulna45325163185E0762Sylhet</v>
      </c>
      <c r="L256" s="14">
        <f t="shared" si="9"/>
        <v>132145</v>
      </c>
      <c r="M256" s="14">
        <f ca="1" t="shared" si="10"/>
        <v>2</v>
      </c>
      <c r="N256" s="15" t="str">
        <f ca="1" t="shared" si="11"/>
        <v>New</v>
      </c>
    </row>
    <row r="257" spans="1:14">
      <c r="A257" s="16" t="s">
        <v>641</v>
      </c>
      <c r="B257" s="17" t="s">
        <v>642</v>
      </c>
      <c r="C257" s="17" t="s">
        <v>293</v>
      </c>
      <c r="D257" s="17" t="s">
        <v>92</v>
      </c>
      <c r="E257" s="17" t="s">
        <v>391</v>
      </c>
      <c r="F257" s="17" t="s">
        <v>48</v>
      </c>
      <c r="G257" s="17" t="s">
        <v>40</v>
      </c>
      <c r="H257" s="17">
        <v>43698</v>
      </c>
      <c r="I257" s="17">
        <v>123657</v>
      </c>
      <c r="J257" s="17" t="s">
        <v>141</v>
      </c>
      <c r="K257" s="17" t="str">
        <f>A257&amp;B257&amp;C257&amp;D257&amp;E257&amp;F257&amp;G257&amp;H257&amp;I257&amp;J257&amp;[1]Sheet1!$G$5</f>
        <v>E0256Karim RasheedPrefer not to sayMarketingContent SpecialistContractDhaka43698123657E0709Sylhet</v>
      </c>
      <c r="L257" s="17">
        <f t="shared" si="9"/>
        <v>132104</v>
      </c>
      <c r="M257" s="17">
        <f ca="1" t="shared" si="10"/>
        <v>6</v>
      </c>
      <c r="N257" s="18" t="str">
        <f ca="1" t="shared" si="11"/>
        <v>Experienced</v>
      </c>
    </row>
    <row r="258" spans="1:14">
      <c r="A258" s="13" t="s">
        <v>643</v>
      </c>
      <c r="B258" s="14" t="s">
        <v>644</v>
      </c>
      <c r="C258" s="14" t="s">
        <v>19</v>
      </c>
      <c r="D258" s="14" t="s">
        <v>20</v>
      </c>
      <c r="E258" s="14" t="s">
        <v>147</v>
      </c>
      <c r="F258" s="14" t="s">
        <v>15</v>
      </c>
      <c r="G258" s="14" t="s">
        <v>40</v>
      </c>
      <c r="H258" s="14">
        <v>45551</v>
      </c>
      <c r="I258" s="14">
        <v>118593</v>
      </c>
      <c r="J258" s="14" t="s">
        <v>108</v>
      </c>
      <c r="K258" s="14" t="str">
        <f>A258&amp;B258&amp;C258&amp;D258&amp;E258&amp;F258&amp;G258&amp;H258&amp;I258&amp;J258&amp;[1]Sheet1!$G$5</f>
        <v>E0257Nafiz TalukderMaleCustomer SuccessSupport AssociateFull-timeDhaka45551118593E0190Sylhet</v>
      </c>
      <c r="L258" s="14">
        <f t="shared" si="9"/>
        <v>132145</v>
      </c>
      <c r="M258" s="14">
        <f ca="1" t="shared" si="10"/>
        <v>1</v>
      </c>
      <c r="N258" s="15" t="str">
        <f ca="1" t="shared" si="11"/>
        <v>New</v>
      </c>
    </row>
    <row r="259" spans="1:14">
      <c r="A259" s="16" t="s">
        <v>645</v>
      </c>
      <c r="B259" s="17" t="s">
        <v>646</v>
      </c>
      <c r="C259" s="17" t="s">
        <v>19</v>
      </c>
      <c r="D259" s="17" t="s">
        <v>26</v>
      </c>
      <c r="E259" s="17" t="s">
        <v>61</v>
      </c>
      <c r="F259" s="17" t="s">
        <v>48</v>
      </c>
      <c r="G259" s="17" t="s">
        <v>16</v>
      </c>
      <c r="H259" s="17">
        <v>44694</v>
      </c>
      <c r="I259" s="17">
        <v>73943</v>
      </c>
      <c r="J259" s="17" t="s">
        <v>440</v>
      </c>
      <c r="K259" s="17" t="str">
        <f>A259&amp;B259&amp;C259&amp;D259&amp;E259&amp;F259&amp;G259&amp;H259&amp;I259&amp;J259&amp;[1]Sheet1!$G$5</f>
        <v>E0258Rashed ParvinMaleFinanceFinancial AnalystContractKhulna4469473943E0682Sylhet</v>
      </c>
      <c r="L259" s="17">
        <f t="shared" ref="L259:L322" si="12">MEDIAN(I259:I1258)</f>
        <v>132186</v>
      </c>
      <c r="M259" s="17">
        <f ca="1" t="shared" ref="M259:M322" si="13">DATEDIF(H259,TODAY(),"Y")</f>
        <v>3</v>
      </c>
      <c r="N259" s="18" t="str">
        <f ca="1" t="shared" ref="N259:N322" si="14">IF(M259&lt;=2,"New",IF(M259&lt;=5,"Mid level",IF(M259&lt;=10,"Experienced","Long term")))</f>
        <v>Mid level</v>
      </c>
    </row>
    <row r="260" spans="1:14">
      <c r="A260" s="13" t="s">
        <v>647</v>
      </c>
      <c r="B260" s="14" t="s">
        <v>271</v>
      </c>
      <c r="C260" s="14" t="s">
        <v>19</v>
      </c>
      <c r="D260" s="14" t="s">
        <v>92</v>
      </c>
      <c r="E260" s="14" t="s">
        <v>189</v>
      </c>
      <c r="F260" s="14" t="s">
        <v>15</v>
      </c>
      <c r="G260" s="14" t="s">
        <v>28</v>
      </c>
      <c r="H260" s="14">
        <v>44812</v>
      </c>
      <c r="I260" s="14">
        <v>139284</v>
      </c>
      <c r="J260" s="14" t="s">
        <v>96</v>
      </c>
      <c r="K260" s="14" t="str">
        <f>A260&amp;B260&amp;C260&amp;D260&amp;E260&amp;F260&amp;G260&amp;H260&amp;I260&amp;J260&amp;[1]Sheet1!$G$5</f>
        <v>E0259Tasnim SultanaMaleMarketingMarketing AssociateFull-timeRemote44812139284E0019Sylhet</v>
      </c>
      <c r="L260" s="14">
        <f t="shared" si="12"/>
        <v>132276</v>
      </c>
      <c r="M260" s="14">
        <f ca="1" t="shared" si="13"/>
        <v>3</v>
      </c>
      <c r="N260" s="15" t="str">
        <f ca="1" t="shared" si="14"/>
        <v>Mid level</v>
      </c>
    </row>
    <row r="261" spans="1:14">
      <c r="A261" s="16" t="s">
        <v>648</v>
      </c>
      <c r="B261" s="17" t="s">
        <v>649</v>
      </c>
      <c r="C261" s="17" t="s">
        <v>12</v>
      </c>
      <c r="D261" s="17" t="s">
        <v>38</v>
      </c>
      <c r="E261" s="17" t="s">
        <v>140</v>
      </c>
      <c r="F261" s="17" t="s">
        <v>48</v>
      </c>
      <c r="G261" s="17" t="s">
        <v>40</v>
      </c>
      <c r="H261" s="17">
        <v>42717</v>
      </c>
      <c r="I261" s="17">
        <v>161928</v>
      </c>
      <c r="J261" s="17" t="s">
        <v>373</v>
      </c>
      <c r="K261" s="17" t="str">
        <f>A261&amp;B261&amp;C261&amp;D261&amp;E261&amp;F261&amp;G261&amp;H261&amp;I261&amp;J261&amp;[1]Sheet1!$G$5</f>
        <v>E0260Rahim MorshedFemaleEngineeringSenior Software EngineerContractDhaka42717161928E0121Sylhet</v>
      </c>
      <c r="L261" s="17">
        <f t="shared" si="12"/>
        <v>132186</v>
      </c>
      <c r="M261" s="17">
        <f ca="1" t="shared" si="13"/>
        <v>9</v>
      </c>
      <c r="N261" s="18" t="str">
        <f ca="1" t="shared" si="14"/>
        <v>Experienced</v>
      </c>
    </row>
    <row r="262" spans="1:14">
      <c r="A262" s="13" t="s">
        <v>650</v>
      </c>
      <c r="B262" s="14" t="s">
        <v>424</v>
      </c>
      <c r="C262" s="14" t="s">
        <v>12</v>
      </c>
      <c r="D262" s="14" t="s">
        <v>32</v>
      </c>
      <c r="E262" s="14" t="s">
        <v>57</v>
      </c>
      <c r="F262" s="14" t="s">
        <v>22</v>
      </c>
      <c r="G262" s="14" t="s">
        <v>16</v>
      </c>
      <c r="H262" s="14">
        <v>42585</v>
      </c>
      <c r="I262" s="14">
        <v>107400</v>
      </c>
      <c r="J262" s="14" t="s">
        <v>436</v>
      </c>
      <c r="K262" s="14" t="str">
        <f>A262&amp;B262&amp;C262&amp;D262&amp;E262&amp;F262&amp;G262&amp;H262&amp;I262&amp;J262&amp;[1]Sheet1!$G$5</f>
        <v>E0261Shawon TalukderFemaleHRHR AssociateInternKhulna42585107400E0152Sylhet</v>
      </c>
      <c r="L262" s="14">
        <f t="shared" si="12"/>
        <v>132145</v>
      </c>
      <c r="M262" s="14">
        <f ca="1" t="shared" si="13"/>
        <v>9</v>
      </c>
      <c r="N262" s="15" t="str">
        <f ca="1" t="shared" si="14"/>
        <v>Experienced</v>
      </c>
    </row>
    <row r="263" spans="1:14">
      <c r="A263" s="16" t="s">
        <v>651</v>
      </c>
      <c r="B263" s="17" t="s">
        <v>652</v>
      </c>
      <c r="C263" s="17" t="s">
        <v>12</v>
      </c>
      <c r="D263" s="17" t="s">
        <v>20</v>
      </c>
      <c r="E263" s="17" t="s">
        <v>70</v>
      </c>
      <c r="F263" s="17" t="s">
        <v>15</v>
      </c>
      <c r="G263" s="17" t="s">
        <v>34</v>
      </c>
      <c r="H263" s="17">
        <v>43007</v>
      </c>
      <c r="I263" s="17">
        <v>99598</v>
      </c>
      <c r="J263" s="17" t="s">
        <v>589</v>
      </c>
      <c r="K263" s="17" t="str">
        <f>A263&amp;B263&amp;C263&amp;D263&amp;E263&amp;F263&amp;G263&amp;H263&amp;I263&amp;J263&amp;[1]Sheet1!$G$5</f>
        <v>E0262Sadia AhmedFemaleCustomer SuccessCustomer Success ManagerFull-timeSylhet4300799598E0538Sylhet</v>
      </c>
      <c r="L263" s="17">
        <f t="shared" si="12"/>
        <v>132186</v>
      </c>
      <c r="M263" s="17">
        <f ca="1" t="shared" si="13"/>
        <v>8</v>
      </c>
      <c r="N263" s="18" t="str">
        <f ca="1" t="shared" si="14"/>
        <v>Experienced</v>
      </c>
    </row>
    <row r="264" spans="1:14">
      <c r="A264" s="13" t="s">
        <v>653</v>
      </c>
      <c r="B264" s="14" t="s">
        <v>375</v>
      </c>
      <c r="C264" s="14" t="s">
        <v>19</v>
      </c>
      <c r="D264" s="14" t="s">
        <v>38</v>
      </c>
      <c r="E264" s="14" t="s">
        <v>66</v>
      </c>
      <c r="F264" s="14" t="s">
        <v>15</v>
      </c>
      <c r="G264" s="14" t="s">
        <v>94</v>
      </c>
      <c r="H264" s="14">
        <v>43014</v>
      </c>
      <c r="I264" s="14">
        <v>81876</v>
      </c>
      <c r="J264" s="14"/>
      <c r="K264" s="14" t="str">
        <f>A264&amp;B264&amp;C264&amp;D264&amp;E264&amp;F264&amp;G264&amp;H264&amp;I264&amp;J264&amp;[1]Sheet1!$G$5</f>
        <v>E0263Jannat AkterMaleEngineeringSoftware EngineerFull-timeRajshahi4301481876Sylhet</v>
      </c>
      <c r="L264" s="14">
        <f t="shared" si="12"/>
        <v>132276</v>
      </c>
      <c r="M264" s="14">
        <f ca="1" t="shared" si="13"/>
        <v>8</v>
      </c>
      <c r="N264" s="15" t="str">
        <f ca="1" t="shared" si="14"/>
        <v>Experienced</v>
      </c>
    </row>
    <row r="265" spans="1:14">
      <c r="A265" s="16" t="s">
        <v>654</v>
      </c>
      <c r="B265" s="17" t="s">
        <v>631</v>
      </c>
      <c r="C265" s="17" t="s">
        <v>19</v>
      </c>
      <c r="D265" s="17" t="s">
        <v>92</v>
      </c>
      <c r="E265" s="17" t="s">
        <v>391</v>
      </c>
      <c r="F265" s="17" t="s">
        <v>48</v>
      </c>
      <c r="G265" s="17" t="s">
        <v>94</v>
      </c>
      <c r="H265" s="17">
        <v>45460</v>
      </c>
      <c r="I265" s="17">
        <v>190900</v>
      </c>
      <c r="J265" s="17" t="s">
        <v>204</v>
      </c>
      <c r="K265" s="17" t="str">
        <f>A265&amp;B265&amp;C265&amp;D265&amp;E265&amp;F265&amp;G265&amp;H265&amp;I265&amp;J265&amp;[1]Sheet1!$G$5</f>
        <v>E0264Mahin MorshedMaleMarketingContent SpecialistContractRajshahi45460190900E0054Sylhet</v>
      </c>
      <c r="L265" s="17">
        <f t="shared" si="12"/>
        <v>132366</v>
      </c>
      <c r="M265" s="17">
        <f ca="1" t="shared" si="13"/>
        <v>1</v>
      </c>
      <c r="N265" s="18" t="str">
        <f ca="1" t="shared" si="14"/>
        <v>New</v>
      </c>
    </row>
    <row r="266" spans="1:14">
      <c r="A266" s="13" t="s">
        <v>655</v>
      </c>
      <c r="B266" s="14" t="s">
        <v>656</v>
      </c>
      <c r="C266" s="14" t="s">
        <v>12</v>
      </c>
      <c r="D266" s="14" t="s">
        <v>52</v>
      </c>
      <c r="E266" s="14" t="s">
        <v>246</v>
      </c>
      <c r="F266" s="14" t="s">
        <v>22</v>
      </c>
      <c r="G266" s="14" t="s">
        <v>94</v>
      </c>
      <c r="H266" s="14">
        <v>44900</v>
      </c>
      <c r="I266" s="14">
        <v>92057</v>
      </c>
      <c r="J266" s="14" t="s">
        <v>114</v>
      </c>
      <c r="K266" s="14" t="str">
        <f>A266&amp;B266&amp;C266&amp;D266&amp;E266&amp;F266&amp;G266&amp;H266&amp;I266&amp;J266&amp;[1]Sheet1!$G$5</f>
        <v>E0265Jannat ParvinFemaleOperationsOperations AssociateInternRajshahi4490092057E0989Sylhet</v>
      </c>
      <c r="L266" s="14">
        <f t="shared" si="12"/>
        <v>132276</v>
      </c>
      <c r="M266" s="14">
        <f ca="1" t="shared" si="13"/>
        <v>3</v>
      </c>
      <c r="N266" s="15" t="str">
        <f ca="1" t="shared" si="14"/>
        <v>Mid level</v>
      </c>
    </row>
    <row r="267" spans="1:14">
      <c r="A267" s="16" t="s">
        <v>657</v>
      </c>
      <c r="B267" s="17" t="s">
        <v>658</v>
      </c>
      <c r="C267" s="17" t="s">
        <v>12</v>
      </c>
      <c r="D267" s="17" t="s">
        <v>26</v>
      </c>
      <c r="E267" s="17" t="s">
        <v>162</v>
      </c>
      <c r="F267" s="17" t="s">
        <v>48</v>
      </c>
      <c r="G267" s="17" t="s">
        <v>62</v>
      </c>
      <c r="H267" s="17">
        <v>42573</v>
      </c>
      <c r="I267" s="17">
        <v>120976</v>
      </c>
      <c r="J267" s="17" t="s">
        <v>298</v>
      </c>
      <c r="K267" s="17" t="str">
        <f>A267&amp;B267&amp;C267&amp;D267&amp;E267&amp;F267&amp;G267&amp;H267&amp;I267&amp;J267&amp;[1]Sheet1!$G$5</f>
        <v>E0266Shawon BiswasFemaleFinanceAccounts ExecutiveContractChattogram42573120976E0404Sylhet</v>
      </c>
      <c r="L267" s="17">
        <f t="shared" si="12"/>
        <v>132366</v>
      </c>
      <c r="M267" s="17">
        <f ca="1" t="shared" si="13"/>
        <v>9</v>
      </c>
      <c r="N267" s="18" t="str">
        <f ca="1" t="shared" si="14"/>
        <v>Experienced</v>
      </c>
    </row>
    <row r="268" spans="1:14">
      <c r="A268" s="13" t="s">
        <v>659</v>
      </c>
      <c r="B268" s="14" t="s">
        <v>660</v>
      </c>
      <c r="C268" s="14" t="s">
        <v>12</v>
      </c>
      <c r="D268" s="14" t="s">
        <v>26</v>
      </c>
      <c r="E268" s="14" t="s">
        <v>61</v>
      </c>
      <c r="F268" s="14" t="s">
        <v>48</v>
      </c>
      <c r="G268" s="14" t="s">
        <v>16</v>
      </c>
      <c r="H268" s="14">
        <v>45130</v>
      </c>
      <c r="I268" s="14">
        <v>86707</v>
      </c>
      <c r="J268" s="14" t="s">
        <v>499</v>
      </c>
      <c r="K268" s="14" t="str">
        <f>A268&amp;B268&amp;C268&amp;D268&amp;E268&amp;F268&amp;G268&amp;H268&amp;I268&amp;J268&amp;[1]Sheet1!$G$5</f>
        <v>E0267Farhan UddinFemaleFinanceFinancial AnalystContractKhulna4513086707E0595Sylhet</v>
      </c>
      <c r="L268" s="14">
        <f t="shared" si="12"/>
        <v>132808.5</v>
      </c>
      <c r="M268" s="14">
        <f ca="1" t="shared" si="13"/>
        <v>2</v>
      </c>
      <c r="N268" s="15" t="str">
        <f ca="1" t="shared" si="14"/>
        <v>New</v>
      </c>
    </row>
    <row r="269" spans="1:14">
      <c r="A269" s="16" t="s">
        <v>661</v>
      </c>
      <c r="B269" s="17" t="s">
        <v>265</v>
      </c>
      <c r="C269" s="17" t="s">
        <v>146</v>
      </c>
      <c r="D269" s="17" t="s">
        <v>26</v>
      </c>
      <c r="E269" s="17" t="s">
        <v>61</v>
      </c>
      <c r="F269" s="17" t="s">
        <v>15</v>
      </c>
      <c r="G269" s="17" t="s">
        <v>40</v>
      </c>
      <c r="H269" s="17">
        <v>42704</v>
      </c>
      <c r="I269" s="17">
        <v>129733</v>
      </c>
      <c r="J269" s="17" t="s">
        <v>148</v>
      </c>
      <c r="K269" s="17" t="str">
        <f>A269&amp;B269&amp;C269&amp;D269&amp;E269&amp;F269&amp;G269&amp;H269&amp;I269&amp;J269&amp;[1]Sheet1!$G$5</f>
        <v>E0268Rashed MiahNon-binaryFinanceFinancial AnalystFull-timeDhaka42704129733E0938Sylhet</v>
      </c>
      <c r="L269" s="17">
        <f t="shared" si="12"/>
        <v>133251</v>
      </c>
      <c r="M269" s="17">
        <f ca="1" t="shared" si="13"/>
        <v>9</v>
      </c>
      <c r="N269" s="18" t="str">
        <f ca="1" t="shared" si="14"/>
        <v>Experienced</v>
      </c>
    </row>
    <row r="270" spans="1:14">
      <c r="A270" s="13" t="s">
        <v>662</v>
      </c>
      <c r="B270" s="14" t="s">
        <v>119</v>
      </c>
      <c r="C270" s="14" t="s">
        <v>12</v>
      </c>
      <c r="D270" s="14" t="s">
        <v>13</v>
      </c>
      <c r="E270" s="14" t="s">
        <v>223</v>
      </c>
      <c r="F270" s="14" t="s">
        <v>15</v>
      </c>
      <c r="G270" s="14" t="s">
        <v>40</v>
      </c>
      <c r="H270" s="14">
        <v>43484</v>
      </c>
      <c r="I270" s="14">
        <v>83187</v>
      </c>
      <c r="J270" s="14" t="s">
        <v>663</v>
      </c>
      <c r="K270" s="14" t="str">
        <f>A270&amp;B270&amp;C270&amp;D270&amp;E270&amp;F270&amp;G270&amp;H270&amp;I270&amp;J270&amp;[1]Sheet1!$G$5</f>
        <v>E0269Tasnim ChowdhuryFemaleSalesSenior Account ExecutiveFull-timeDhaka4348483187E0688Sylhet</v>
      </c>
      <c r="L270" s="14">
        <f t="shared" si="12"/>
        <v>133498.5</v>
      </c>
      <c r="M270" s="14">
        <f ca="1" t="shared" si="13"/>
        <v>7</v>
      </c>
      <c r="N270" s="15" t="str">
        <f ca="1" t="shared" si="14"/>
        <v>Experienced</v>
      </c>
    </row>
    <row r="271" spans="1:14">
      <c r="A271" s="16" t="s">
        <v>78</v>
      </c>
      <c r="B271" s="17" t="s">
        <v>664</v>
      </c>
      <c r="C271" s="17" t="s">
        <v>19</v>
      </c>
      <c r="D271" s="17" t="s">
        <v>87</v>
      </c>
      <c r="E271" s="17" t="s">
        <v>156</v>
      </c>
      <c r="F271" s="17" t="s">
        <v>15</v>
      </c>
      <c r="G271" s="17" t="s">
        <v>28</v>
      </c>
      <c r="H271" s="17">
        <v>44184</v>
      </c>
      <c r="I271" s="17">
        <v>271250</v>
      </c>
      <c r="J271" s="17" t="s">
        <v>272</v>
      </c>
      <c r="K271" s="17" t="str">
        <f>A271&amp;B271&amp;C271&amp;D271&amp;E271&amp;F271&amp;G271&amp;H271&amp;I271&amp;J271&amp;[1]Sheet1!$G$5</f>
        <v>E0270Rahim SharminMaleProductAssociate Product ManagerFull-timeRemote44184271250E0080Sylhet</v>
      </c>
      <c r="L271" s="17">
        <f t="shared" si="12"/>
        <v>133746</v>
      </c>
      <c r="M271" s="17">
        <f ca="1" t="shared" si="13"/>
        <v>5</v>
      </c>
      <c r="N271" s="18" t="str">
        <f ca="1" t="shared" si="14"/>
        <v>Mid level</v>
      </c>
    </row>
    <row r="272" spans="1:14">
      <c r="A272" s="13" t="s">
        <v>665</v>
      </c>
      <c r="B272" s="14" t="s">
        <v>666</v>
      </c>
      <c r="C272" s="14" t="s">
        <v>12</v>
      </c>
      <c r="D272" s="14" t="s">
        <v>52</v>
      </c>
      <c r="E272" s="14" t="s">
        <v>120</v>
      </c>
      <c r="F272" s="14" t="s">
        <v>22</v>
      </c>
      <c r="G272" s="14" t="s">
        <v>34</v>
      </c>
      <c r="H272" s="14">
        <v>45081</v>
      </c>
      <c r="I272" s="14">
        <v>115810</v>
      </c>
      <c r="J272" s="14" t="s">
        <v>67</v>
      </c>
      <c r="K272" s="14" t="str">
        <f>A272&amp;B272&amp;C272&amp;D272&amp;E272&amp;F272&amp;G272&amp;H272&amp;I272&amp;J272&amp;[1]Sheet1!$G$5</f>
        <v>E0271Zahid SultanaFemaleOperationsSupply Chain AnalystInternSylhet45081115810E0648Sylhet</v>
      </c>
      <c r="L272" s="14">
        <f t="shared" si="12"/>
        <v>133498.5</v>
      </c>
      <c r="M272" s="14">
        <f ca="1" t="shared" si="13"/>
        <v>2</v>
      </c>
      <c r="N272" s="15" t="str">
        <f ca="1" t="shared" si="14"/>
        <v>New</v>
      </c>
    </row>
    <row r="273" spans="1:14">
      <c r="A273" s="16" t="s">
        <v>667</v>
      </c>
      <c r="B273" s="17" t="s">
        <v>214</v>
      </c>
      <c r="C273" s="17" t="s">
        <v>19</v>
      </c>
      <c r="D273" s="17" t="s">
        <v>52</v>
      </c>
      <c r="E273" s="17" t="s">
        <v>53</v>
      </c>
      <c r="F273" s="17" t="s">
        <v>15</v>
      </c>
      <c r="G273" s="17" t="s">
        <v>40</v>
      </c>
      <c r="H273" s="17">
        <v>44106</v>
      </c>
      <c r="I273" s="17">
        <v>122316</v>
      </c>
      <c r="J273" s="17" t="s">
        <v>619</v>
      </c>
      <c r="K273" s="17" t="str">
        <f>A273&amp;B273&amp;C273&amp;D273&amp;E273&amp;F273&amp;G273&amp;H273&amp;I273&amp;J273&amp;[1]Sheet1!$G$5</f>
        <v>E0272Shawon MiahMaleOperationsOperations ManagerFull-timeDhaka44106122316E0936Sylhet</v>
      </c>
      <c r="L273" s="17">
        <f t="shared" si="12"/>
        <v>133746</v>
      </c>
      <c r="M273" s="17">
        <f ca="1" t="shared" si="13"/>
        <v>5</v>
      </c>
      <c r="N273" s="18" t="str">
        <f ca="1" t="shared" si="14"/>
        <v>Mid level</v>
      </c>
    </row>
    <row r="274" spans="1:14">
      <c r="A274" s="13" t="s">
        <v>668</v>
      </c>
      <c r="B274" s="14" t="s">
        <v>31</v>
      </c>
      <c r="C274" s="14" t="s">
        <v>12</v>
      </c>
      <c r="D274" s="14" t="s">
        <v>52</v>
      </c>
      <c r="E274" s="14" t="s">
        <v>53</v>
      </c>
      <c r="F274" s="14" t="s">
        <v>22</v>
      </c>
      <c r="G274" s="14" t="s">
        <v>28</v>
      </c>
      <c r="H274" s="14">
        <v>44359</v>
      </c>
      <c r="I274" s="14">
        <v>183817</v>
      </c>
      <c r="J274" s="14" t="s">
        <v>507</v>
      </c>
      <c r="K274" s="14" t="str">
        <f>A274&amp;B274&amp;C274&amp;D274&amp;E274&amp;F274&amp;G274&amp;H274&amp;I274&amp;J274&amp;[1]Sheet1!$G$5</f>
        <v>E0273Shawon RanaFemaleOperationsOperations ManagerInternRemote44359183817E0198Sylhet</v>
      </c>
      <c r="L274" s="14">
        <f t="shared" si="12"/>
        <v>133779.5</v>
      </c>
      <c r="M274" s="14">
        <f ca="1" t="shared" si="13"/>
        <v>4</v>
      </c>
      <c r="N274" s="15" t="str">
        <f ca="1" t="shared" si="14"/>
        <v>Mid level</v>
      </c>
    </row>
    <row r="275" spans="1:14">
      <c r="A275" s="16" t="s">
        <v>669</v>
      </c>
      <c r="B275" s="17" t="s">
        <v>670</v>
      </c>
      <c r="C275" s="17" t="s">
        <v>12</v>
      </c>
      <c r="D275" s="17" t="s">
        <v>20</v>
      </c>
      <c r="E275" s="17" t="s">
        <v>147</v>
      </c>
      <c r="F275" s="17" t="s">
        <v>15</v>
      </c>
      <c r="G275" s="17" t="s">
        <v>16</v>
      </c>
      <c r="H275" s="17">
        <v>44856</v>
      </c>
      <c r="I275" s="17">
        <v>78062</v>
      </c>
      <c r="J275" s="17" t="s">
        <v>671</v>
      </c>
      <c r="K275" s="17" t="str">
        <f>A275&amp;B275&amp;C275&amp;D275&amp;E275&amp;F275&amp;G275&amp;H275&amp;I275&amp;J275&amp;[1]Sheet1!$G$5</f>
        <v>E0274Sajid AlamFemaleCustomer SuccessSupport AssociateFull-timeKhulna4485678062E0642Sylhet</v>
      </c>
      <c r="L275" s="17">
        <f t="shared" si="12"/>
        <v>133746</v>
      </c>
      <c r="M275" s="17">
        <f ca="1" t="shared" si="13"/>
        <v>3</v>
      </c>
      <c r="N275" s="18" t="str">
        <f ca="1" t="shared" si="14"/>
        <v>Mid level</v>
      </c>
    </row>
    <row r="276" spans="1:14">
      <c r="A276" s="13" t="s">
        <v>672</v>
      </c>
      <c r="B276" s="14" t="s">
        <v>673</v>
      </c>
      <c r="C276" s="14" t="s">
        <v>19</v>
      </c>
      <c r="D276" s="14" t="s">
        <v>92</v>
      </c>
      <c r="E276" s="14" t="s">
        <v>391</v>
      </c>
      <c r="F276" s="14" t="s">
        <v>15</v>
      </c>
      <c r="G276" s="14" t="s">
        <v>62</v>
      </c>
      <c r="H276" s="14">
        <v>44180</v>
      </c>
      <c r="I276" s="14">
        <v>139206</v>
      </c>
      <c r="J276" s="14" t="s">
        <v>134</v>
      </c>
      <c r="K276" s="14" t="str">
        <f>A276&amp;B276&amp;C276&amp;D276&amp;E276&amp;F276&amp;G276&amp;H276&amp;I276&amp;J276&amp;[1]Sheet1!$G$5</f>
        <v>E0275Rahim HaiderMaleMarketingContent SpecialistFull-timeChattogram44180139206E0630Sylhet</v>
      </c>
      <c r="L276" s="14">
        <f t="shared" si="12"/>
        <v>133779.5</v>
      </c>
      <c r="M276" s="14">
        <f ca="1" t="shared" si="13"/>
        <v>5</v>
      </c>
      <c r="N276" s="15" t="str">
        <f ca="1" t="shared" si="14"/>
        <v>Mid level</v>
      </c>
    </row>
    <row r="277" spans="1:14">
      <c r="A277" s="16" t="s">
        <v>674</v>
      </c>
      <c r="B277" s="17" t="s">
        <v>656</v>
      </c>
      <c r="C277" s="17" t="s">
        <v>19</v>
      </c>
      <c r="D277" s="17" t="s">
        <v>92</v>
      </c>
      <c r="E277" s="17" t="s">
        <v>189</v>
      </c>
      <c r="F277" s="17" t="s">
        <v>48</v>
      </c>
      <c r="G277" s="17" t="s">
        <v>40</v>
      </c>
      <c r="H277" s="17">
        <v>44066</v>
      </c>
      <c r="I277" s="17">
        <v>64953</v>
      </c>
      <c r="J277" s="17" t="s">
        <v>465</v>
      </c>
      <c r="K277" s="17" t="str">
        <f>A277&amp;B277&amp;C277&amp;D277&amp;E277&amp;F277&amp;G277&amp;H277&amp;I277&amp;J277&amp;[1]Sheet1!$G$5</f>
        <v>E0276Jannat ParvinMaleMarketingMarketing AssociateContractDhaka4406664953E0166Sylhet</v>
      </c>
      <c r="L277" s="17">
        <f t="shared" si="12"/>
        <v>133746</v>
      </c>
      <c r="M277" s="17">
        <f ca="1" t="shared" si="13"/>
        <v>5</v>
      </c>
      <c r="N277" s="18" t="str">
        <f ca="1" t="shared" si="14"/>
        <v>Mid level</v>
      </c>
    </row>
    <row r="278" spans="1:14">
      <c r="A278" s="13" t="s">
        <v>675</v>
      </c>
      <c r="B278" s="14" t="s">
        <v>69</v>
      </c>
      <c r="C278" s="14" t="s">
        <v>19</v>
      </c>
      <c r="D278" s="14" t="s">
        <v>52</v>
      </c>
      <c r="E278" s="14" t="s">
        <v>246</v>
      </c>
      <c r="F278" s="14" t="s">
        <v>48</v>
      </c>
      <c r="G278" s="14" t="s">
        <v>34</v>
      </c>
      <c r="H278" s="14">
        <v>43488</v>
      </c>
      <c r="I278" s="14">
        <v>90476</v>
      </c>
      <c r="J278" s="14" t="s">
        <v>676</v>
      </c>
      <c r="K278" s="14" t="str">
        <f>A278&amp;B278&amp;C278&amp;D278&amp;E278&amp;F278&amp;G278&amp;H278&amp;I278&amp;J278&amp;[1]Sheet1!$G$5</f>
        <v>E0277Sumaiya ParvinMaleOperationsOperations AssociateContractSylhet4348890476E0528Sylhet</v>
      </c>
      <c r="L278" s="14">
        <f t="shared" si="12"/>
        <v>133779.5</v>
      </c>
      <c r="M278" s="14">
        <f ca="1" t="shared" si="13"/>
        <v>7</v>
      </c>
      <c r="N278" s="15" t="str">
        <f ca="1" t="shared" si="14"/>
        <v>Experienced</v>
      </c>
    </row>
    <row r="279" spans="1:14">
      <c r="A279" s="16" t="s">
        <v>277</v>
      </c>
      <c r="B279" s="17" t="s">
        <v>195</v>
      </c>
      <c r="C279" s="17" t="s">
        <v>12</v>
      </c>
      <c r="D279" s="17" t="s">
        <v>32</v>
      </c>
      <c r="E279" s="17" t="s">
        <v>208</v>
      </c>
      <c r="F279" s="17" t="s">
        <v>15</v>
      </c>
      <c r="G279" s="17" t="s">
        <v>62</v>
      </c>
      <c r="H279" s="17">
        <v>43252</v>
      </c>
      <c r="I279" s="17">
        <v>95485</v>
      </c>
      <c r="J279" s="17" t="s">
        <v>336</v>
      </c>
      <c r="K279" s="17" t="str">
        <f>A279&amp;B279&amp;C279&amp;D279&amp;E279&amp;F279&amp;G279&amp;H279&amp;I279&amp;J279&amp;[1]Sheet1!$G$5</f>
        <v>E0278Rahim RasheedFemaleHRHR ManagerFull-timeChattogram4325295485E0774Sylhet</v>
      </c>
      <c r="L279" s="17">
        <f t="shared" si="12"/>
        <v>133813</v>
      </c>
      <c r="M279" s="17">
        <f ca="1" t="shared" si="13"/>
        <v>7</v>
      </c>
      <c r="N279" s="18" t="str">
        <f ca="1" t="shared" si="14"/>
        <v>Experienced</v>
      </c>
    </row>
    <row r="280" spans="1:14">
      <c r="A280" s="13" t="s">
        <v>677</v>
      </c>
      <c r="B280" s="14" t="s">
        <v>678</v>
      </c>
      <c r="C280" s="14" t="s">
        <v>19</v>
      </c>
      <c r="D280" s="14" t="s">
        <v>26</v>
      </c>
      <c r="E280" s="14" t="s">
        <v>162</v>
      </c>
      <c r="F280" s="14" t="s">
        <v>15</v>
      </c>
      <c r="G280" s="14" t="s">
        <v>94</v>
      </c>
      <c r="H280" s="14">
        <v>45462</v>
      </c>
      <c r="I280" s="14">
        <v>90571</v>
      </c>
      <c r="J280" s="14" t="s">
        <v>114</v>
      </c>
      <c r="K280" s="14" t="str">
        <f>A280&amp;B280&amp;C280&amp;D280&amp;E280&amp;F280&amp;G280&amp;H280&amp;I280&amp;J280&amp;[1]Sheet1!$G$5</f>
        <v>E0279Tasnim RanaMaleFinanceAccounts ExecutiveFull-timeRajshahi4546290571E0989Sylhet</v>
      </c>
      <c r="L280" s="14">
        <f t="shared" si="12"/>
        <v>133901</v>
      </c>
      <c r="M280" s="14">
        <f ca="1" t="shared" si="13"/>
        <v>1</v>
      </c>
      <c r="N280" s="15" t="str">
        <f ca="1" t="shared" si="14"/>
        <v>New</v>
      </c>
    </row>
    <row r="281" spans="1:14">
      <c r="A281" s="16" t="s">
        <v>679</v>
      </c>
      <c r="B281" s="17" t="s">
        <v>680</v>
      </c>
      <c r="C281" s="17" t="s">
        <v>12</v>
      </c>
      <c r="D281" s="17" t="s">
        <v>52</v>
      </c>
      <c r="E281" s="17" t="s">
        <v>120</v>
      </c>
      <c r="F281" s="17" t="s">
        <v>15</v>
      </c>
      <c r="G281" s="17" t="s">
        <v>16</v>
      </c>
      <c r="H281" s="17">
        <v>44468</v>
      </c>
      <c r="I281" s="17">
        <v>165934</v>
      </c>
      <c r="J281" s="17" t="s">
        <v>539</v>
      </c>
      <c r="K281" s="17" t="str">
        <f>A281&amp;B281&amp;C281&amp;D281&amp;E281&amp;F281&amp;G281&amp;H281&amp;I281&amp;J281&amp;[1]Sheet1!$G$5</f>
        <v>E0280Shawon SultanaFemaleOperationsSupply Chain AnalystFull-timeKhulna44468165934E0639Sylhet</v>
      </c>
      <c r="L281" s="17">
        <f t="shared" si="12"/>
        <v>133989</v>
      </c>
      <c r="M281" s="17">
        <f ca="1" t="shared" si="13"/>
        <v>4</v>
      </c>
      <c r="N281" s="18" t="str">
        <f ca="1" t="shared" si="14"/>
        <v>Mid level</v>
      </c>
    </row>
    <row r="282" spans="1:14">
      <c r="A282" s="13" t="s">
        <v>681</v>
      </c>
      <c r="B282" s="14" t="s">
        <v>682</v>
      </c>
      <c r="C282" s="14" t="s">
        <v>12</v>
      </c>
      <c r="D282" s="14" t="s">
        <v>52</v>
      </c>
      <c r="E282" s="14" t="s">
        <v>120</v>
      </c>
      <c r="F282" s="14" t="s">
        <v>15</v>
      </c>
      <c r="G282" s="14" t="s">
        <v>34</v>
      </c>
      <c r="H282" s="14">
        <v>42836</v>
      </c>
      <c r="I282" s="14">
        <v>144447</v>
      </c>
      <c r="J282" s="14"/>
      <c r="K282" s="14" t="str">
        <f>A282&amp;B282&amp;C282&amp;D282&amp;E282&amp;F282&amp;G282&amp;H282&amp;I282&amp;J282&amp;[1]Sheet1!$G$5</f>
        <v>E0281Ayesha MiahFemaleOperationsSupply Chain AnalystFull-timeSylhet42836144447Sylhet</v>
      </c>
      <c r="L282" s="14">
        <f t="shared" si="12"/>
        <v>133901</v>
      </c>
      <c r="M282" s="14">
        <f ca="1" t="shared" si="13"/>
        <v>8</v>
      </c>
      <c r="N282" s="15" t="str">
        <f ca="1" t="shared" si="14"/>
        <v>Experienced</v>
      </c>
    </row>
    <row r="283" spans="1:14">
      <c r="A283" s="16" t="s">
        <v>683</v>
      </c>
      <c r="B283" s="17" t="s">
        <v>684</v>
      </c>
      <c r="C283" s="17" t="s">
        <v>19</v>
      </c>
      <c r="D283" s="17" t="s">
        <v>13</v>
      </c>
      <c r="E283" s="17" t="s">
        <v>223</v>
      </c>
      <c r="F283" s="17" t="s">
        <v>15</v>
      </c>
      <c r="G283" s="17" t="s">
        <v>40</v>
      </c>
      <c r="H283" s="17">
        <v>43783</v>
      </c>
      <c r="I283" s="17">
        <v>262569</v>
      </c>
      <c r="J283" s="17" t="s">
        <v>374</v>
      </c>
      <c r="K283" s="17" t="str">
        <f>A283&amp;B283&amp;C283&amp;D283&amp;E283&amp;F283&amp;G283&amp;H283&amp;I283&amp;J283&amp;[1]Sheet1!$G$5</f>
        <v>E0282Jannat HossainMaleSalesSenior Account ExecutiveFull-timeDhaka43783262569E0122Sylhet</v>
      </c>
      <c r="L283" s="17">
        <f t="shared" si="12"/>
        <v>133813</v>
      </c>
      <c r="M283" s="17">
        <f ca="1" t="shared" si="13"/>
        <v>6</v>
      </c>
      <c r="N283" s="18" t="str">
        <f ca="1" t="shared" si="14"/>
        <v>Experienced</v>
      </c>
    </row>
    <row r="284" spans="1:14">
      <c r="A284" s="13" t="s">
        <v>685</v>
      </c>
      <c r="B284" s="14" t="s">
        <v>686</v>
      </c>
      <c r="C284" s="14" t="s">
        <v>12</v>
      </c>
      <c r="D284" s="14" t="s">
        <v>13</v>
      </c>
      <c r="E284" s="14" t="s">
        <v>165</v>
      </c>
      <c r="F284" s="14" t="s">
        <v>15</v>
      </c>
      <c r="G284" s="14" t="s">
        <v>16</v>
      </c>
      <c r="H284" s="14">
        <v>44130</v>
      </c>
      <c r="I284" s="14">
        <v>177614</v>
      </c>
      <c r="J284" s="14" t="s">
        <v>220</v>
      </c>
      <c r="K284" s="14" t="str">
        <f>A284&amp;B284&amp;C284&amp;D284&amp;E284&amp;F284&amp;G284&amp;H284&amp;I284&amp;J284&amp;[1]Sheet1!$G$5</f>
        <v>E0283Shafiq AminFemaleSalesAccount ExecutiveFull-timeKhulna44130177614E0184Sylhet</v>
      </c>
      <c r="L284" s="14">
        <f t="shared" si="12"/>
        <v>133779.5</v>
      </c>
      <c r="M284" s="14">
        <f ca="1" t="shared" si="13"/>
        <v>5</v>
      </c>
      <c r="N284" s="15" t="str">
        <f ca="1" t="shared" si="14"/>
        <v>Mid level</v>
      </c>
    </row>
    <row r="285" spans="1:14">
      <c r="A285" s="16" t="s">
        <v>687</v>
      </c>
      <c r="B285" s="17" t="s">
        <v>688</v>
      </c>
      <c r="C285" s="17" t="s">
        <v>19</v>
      </c>
      <c r="D285" s="17" t="s">
        <v>38</v>
      </c>
      <c r="E285" s="17" t="s">
        <v>77</v>
      </c>
      <c r="F285" s="17" t="s">
        <v>15</v>
      </c>
      <c r="G285" s="17" t="s">
        <v>62</v>
      </c>
      <c r="H285" s="17">
        <v>42824</v>
      </c>
      <c r="I285" s="17">
        <v>78609</v>
      </c>
      <c r="J285" s="17" t="s">
        <v>689</v>
      </c>
      <c r="K285" s="17" t="str">
        <f>A285&amp;B285&amp;C285&amp;D285&amp;E285&amp;F285&amp;G285&amp;H285&amp;I285&amp;J285&amp;[1]Sheet1!$G$5</f>
        <v>E0284Karim AnjumMaleEngineeringJunior Software EngineerFull-timeChattogram4282478609E0976Sylhet</v>
      </c>
      <c r="L285" s="17">
        <f t="shared" si="12"/>
        <v>133746</v>
      </c>
      <c r="M285" s="17">
        <f ca="1" t="shared" si="13"/>
        <v>8</v>
      </c>
      <c r="N285" s="18" t="str">
        <f ca="1" t="shared" si="14"/>
        <v>Experienced</v>
      </c>
    </row>
    <row r="286" spans="1:14">
      <c r="A286" s="13" t="s">
        <v>690</v>
      </c>
      <c r="B286" s="14" t="s">
        <v>691</v>
      </c>
      <c r="C286" s="14" t="s">
        <v>19</v>
      </c>
      <c r="D286" s="14" t="s">
        <v>92</v>
      </c>
      <c r="E286" s="14" t="s">
        <v>391</v>
      </c>
      <c r="F286" s="14" t="s">
        <v>15</v>
      </c>
      <c r="G286" s="14" t="s">
        <v>62</v>
      </c>
      <c r="H286" s="14">
        <v>43530</v>
      </c>
      <c r="I286" s="14">
        <v>90107</v>
      </c>
      <c r="J286" s="14" t="s">
        <v>209</v>
      </c>
      <c r="K286" s="14" t="str">
        <f>A286&amp;B286&amp;C286&amp;D286&amp;E286&amp;F286&amp;G286&amp;H286&amp;I286&amp;J286&amp;[1]Sheet1!$G$5</f>
        <v>E0285Rashed AlamMaleMarketingContent SpecialistFull-timeChattogram4353090107E0425Sylhet</v>
      </c>
      <c r="L286" s="14">
        <f t="shared" si="12"/>
        <v>133779.5</v>
      </c>
      <c r="M286" s="14">
        <f ca="1" t="shared" si="13"/>
        <v>7</v>
      </c>
      <c r="N286" s="15" t="str">
        <f ca="1" t="shared" si="14"/>
        <v>Experienced</v>
      </c>
    </row>
    <row r="287" spans="1:14">
      <c r="A287" s="16" t="s">
        <v>692</v>
      </c>
      <c r="B287" s="17" t="s">
        <v>242</v>
      </c>
      <c r="C287" s="17" t="s">
        <v>12</v>
      </c>
      <c r="D287" s="17" t="s">
        <v>38</v>
      </c>
      <c r="E287" s="17" t="s">
        <v>140</v>
      </c>
      <c r="F287" s="17" t="s">
        <v>15</v>
      </c>
      <c r="G287" s="17" t="s">
        <v>62</v>
      </c>
      <c r="H287" s="17">
        <v>45147</v>
      </c>
      <c r="I287" s="17">
        <v>218934</v>
      </c>
      <c r="J287" s="17" t="s">
        <v>67</v>
      </c>
      <c r="K287" s="17" t="str">
        <f>A287&amp;B287&amp;C287&amp;D287&amp;E287&amp;F287&amp;G287&amp;H287&amp;I287&amp;J287&amp;[1]Sheet1!$G$5</f>
        <v>E0286Imran IslamFemaleEngineeringSenior Software EngineerFull-timeChattogram45147218934E0648Sylhet</v>
      </c>
      <c r="L287" s="17">
        <f t="shared" si="12"/>
        <v>133813</v>
      </c>
      <c r="M287" s="17">
        <f ca="1" t="shared" si="13"/>
        <v>2</v>
      </c>
      <c r="N287" s="18" t="str">
        <f ca="1" t="shared" si="14"/>
        <v>New</v>
      </c>
    </row>
    <row r="288" spans="1:14">
      <c r="A288" s="13" t="s">
        <v>693</v>
      </c>
      <c r="B288" s="14" t="s">
        <v>694</v>
      </c>
      <c r="C288" s="14" t="s">
        <v>12</v>
      </c>
      <c r="D288" s="14" t="s">
        <v>13</v>
      </c>
      <c r="E288" s="14" t="s">
        <v>14</v>
      </c>
      <c r="F288" s="14" t="s">
        <v>15</v>
      </c>
      <c r="G288" s="14" t="s">
        <v>62</v>
      </c>
      <c r="H288" s="14">
        <v>45149</v>
      </c>
      <c r="I288" s="14">
        <v>66490</v>
      </c>
      <c r="J288" s="14"/>
      <c r="K288" s="14" t="str">
        <f>A288&amp;B288&amp;C288&amp;D288&amp;E288&amp;F288&amp;G288&amp;H288&amp;I288&amp;J288&amp;[1]Sheet1!$G$5</f>
        <v>E0287Priya AlamFemaleSalesSales AssociateFull-timeChattogram4514966490Sylhet</v>
      </c>
      <c r="L288" s="14">
        <f t="shared" si="12"/>
        <v>133779.5</v>
      </c>
      <c r="M288" s="14">
        <f ca="1" t="shared" si="13"/>
        <v>2</v>
      </c>
      <c r="N288" s="15" t="str">
        <f ca="1" t="shared" si="14"/>
        <v>New</v>
      </c>
    </row>
    <row r="289" spans="1:14">
      <c r="A289" s="16" t="s">
        <v>695</v>
      </c>
      <c r="B289" s="17" t="s">
        <v>696</v>
      </c>
      <c r="C289" s="17" t="s">
        <v>19</v>
      </c>
      <c r="D289" s="17" t="s">
        <v>92</v>
      </c>
      <c r="E289" s="17" t="s">
        <v>391</v>
      </c>
      <c r="F289" s="17" t="s">
        <v>15</v>
      </c>
      <c r="G289" s="17" t="s">
        <v>28</v>
      </c>
      <c r="H289" s="17">
        <v>44799</v>
      </c>
      <c r="I289" s="17">
        <v>148675</v>
      </c>
      <c r="J289" s="17" t="s">
        <v>464</v>
      </c>
      <c r="K289" s="17" t="str">
        <f>A289&amp;B289&amp;C289&amp;D289&amp;E289&amp;F289&amp;G289&amp;H289&amp;I289&amp;J289&amp;[1]Sheet1!$G$5</f>
        <v>E0288Imran AnjumMaleMarketingContent SpecialistFull-timeRemote44799148675E0656Sylhet</v>
      </c>
      <c r="L289" s="17">
        <f t="shared" si="12"/>
        <v>133813</v>
      </c>
      <c r="M289" s="17">
        <f ca="1" t="shared" si="13"/>
        <v>3</v>
      </c>
      <c r="N289" s="18" t="str">
        <f ca="1" t="shared" si="14"/>
        <v>Mid level</v>
      </c>
    </row>
    <row r="290" spans="1:14">
      <c r="A290" s="13" t="s">
        <v>697</v>
      </c>
      <c r="B290" s="14" t="s">
        <v>698</v>
      </c>
      <c r="C290" s="14" t="s">
        <v>19</v>
      </c>
      <c r="D290" s="14" t="s">
        <v>87</v>
      </c>
      <c r="E290" s="14" t="s">
        <v>88</v>
      </c>
      <c r="F290" s="14" t="s">
        <v>15</v>
      </c>
      <c r="G290" s="14" t="s">
        <v>40</v>
      </c>
      <c r="H290" s="14">
        <v>44363</v>
      </c>
      <c r="I290" s="14">
        <v>198833</v>
      </c>
      <c r="J290" s="14" t="s">
        <v>148</v>
      </c>
      <c r="K290" s="14" t="str">
        <f>A290&amp;B290&amp;C290&amp;D290&amp;E290&amp;F290&amp;G290&amp;H290&amp;I290&amp;J290&amp;[1]Sheet1!$G$5</f>
        <v>E0289Imran AhmedMaleProductProduct AnalystFull-timeDhaka44363198833E0938Sylhet</v>
      </c>
      <c r="L290" s="14">
        <f t="shared" si="12"/>
        <v>133779.5</v>
      </c>
      <c r="M290" s="14">
        <f ca="1" t="shared" si="13"/>
        <v>4</v>
      </c>
      <c r="N290" s="15" t="str">
        <f ca="1" t="shared" si="14"/>
        <v>Mid level</v>
      </c>
    </row>
    <row r="291" spans="1:14">
      <c r="A291" s="16" t="s">
        <v>699</v>
      </c>
      <c r="B291" s="17" t="s">
        <v>700</v>
      </c>
      <c r="C291" s="17" t="s">
        <v>19</v>
      </c>
      <c r="D291" s="17" t="s">
        <v>32</v>
      </c>
      <c r="E291" s="17" t="s">
        <v>57</v>
      </c>
      <c r="F291" s="17" t="s">
        <v>48</v>
      </c>
      <c r="G291" s="17" t="s">
        <v>94</v>
      </c>
      <c r="H291" s="17">
        <v>44528</v>
      </c>
      <c r="I291" s="17">
        <v>99645</v>
      </c>
      <c r="J291" s="17" t="s">
        <v>562</v>
      </c>
      <c r="K291" s="17" t="str">
        <f>A291&amp;B291&amp;C291&amp;D291&amp;E291&amp;F291&amp;G291&amp;H291&amp;I291&amp;J291&amp;[1]Sheet1!$G$5</f>
        <v>E0290Shawon KhanMaleHRHR AssociateContractRajshahi4452899645E0520Sylhet</v>
      </c>
      <c r="L291" s="17">
        <f t="shared" si="12"/>
        <v>133746</v>
      </c>
      <c r="M291" s="17">
        <f ca="1" t="shared" si="13"/>
        <v>4</v>
      </c>
      <c r="N291" s="18" t="str">
        <f ca="1" t="shared" si="14"/>
        <v>Mid level</v>
      </c>
    </row>
    <row r="292" spans="1:14">
      <c r="A292" s="13" t="s">
        <v>701</v>
      </c>
      <c r="B292" s="14" t="s">
        <v>584</v>
      </c>
      <c r="C292" s="14" t="s">
        <v>19</v>
      </c>
      <c r="D292" s="14" t="s">
        <v>38</v>
      </c>
      <c r="E292" s="14" t="s">
        <v>66</v>
      </c>
      <c r="F292" s="14" t="s">
        <v>48</v>
      </c>
      <c r="G292" s="14" t="s">
        <v>62</v>
      </c>
      <c r="H292" s="14">
        <v>45102</v>
      </c>
      <c r="I292" s="14">
        <v>110649</v>
      </c>
      <c r="J292" s="14" t="s">
        <v>286</v>
      </c>
      <c r="K292" s="14" t="str">
        <f>A292&amp;B292&amp;C292&amp;D292&amp;E292&amp;F292&amp;G292&amp;H292&amp;I292&amp;J292&amp;[1]Sheet1!$G$5</f>
        <v>E0291Priya ChowdhuryMaleEngineeringSoftware EngineerContractChattogram45102110649E0085Sylhet</v>
      </c>
      <c r="L292" s="14">
        <f t="shared" si="12"/>
        <v>133779.5</v>
      </c>
      <c r="M292" s="14">
        <f ca="1" t="shared" si="13"/>
        <v>2</v>
      </c>
      <c r="N292" s="15" t="str">
        <f ca="1" t="shared" si="14"/>
        <v>New</v>
      </c>
    </row>
    <row r="293" spans="1:14">
      <c r="A293" s="16" t="s">
        <v>702</v>
      </c>
      <c r="B293" s="17" t="s">
        <v>703</v>
      </c>
      <c r="C293" s="17" t="s">
        <v>12</v>
      </c>
      <c r="D293" s="17" t="s">
        <v>38</v>
      </c>
      <c r="E293" s="17" t="s">
        <v>77</v>
      </c>
      <c r="F293" s="17" t="s">
        <v>48</v>
      </c>
      <c r="G293" s="17" t="s">
        <v>62</v>
      </c>
      <c r="H293" s="17">
        <v>43633</v>
      </c>
      <c r="I293" s="17">
        <v>90407</v>
      </c>
      <c r="J293" s="17" t="s">
        <v>374</v>
      </c>
      <c r="K293" s="17" t="str">
        <f>A293&amp;B293&amp;C293&amp;D293&amp;E293&amp;F293&amp;G293&amp;H293&amp;I293&amp;J293&amp;[1]Sheet1!$G$5</f>
        <v>E0292Zahid ParvinFemaleEngineeringJunior Software EngineerContractChattogram4363390407E0122Sylhet</v>
      </c>
      <c r="L293" s="17">
        <f t="shared" si="12"/>
        <v>133813</v>
      </c>
      <c r="M293" s="17">
        <f ca="1" t="shared" si="13"/>
        <v>6</v>
      </c>
      <c r="N293" s="18" t="str">
        <f ca="1" t="shared" si="14"/>
        <v>Experienced</v>
      </c>
    </row>
    <row r="294" spans="1:14">
      <c r="A294" s="13" t="s">
        <v>704</v>
      </c>
      <c r="B294" s="14" t="s">
        <v>705</v>
      </c>
      <c r="C294" s="14" t="s">
        <v>12</v>
      </c>
      <c r="D294" s="14" t="s">
        <v>52</v>
      </c>
      <c r="E294" s="14" t="s">
        <v>120</v>
      </c>
      <c r="F294" s="14" t="s">
        <v>15</v>
      </c>
      <c r="G294" s="14" t="s">
        <v>34</v>
      </c>
      <c r="H294" s="14">
        <v>42556</v>
      </c>
      <c r="I294" s="14">
        <v>86531</v>
      </c>
      <c r="J294" s="14" t="s">
        <v>449</v>
      </c>
      <c r="K294" s="14" t="str">
        <f>A294&amp;B294&amp;C294&amp;D294&amp;E294&amp;F294&amp;G294&amp;H294&amp;I294&amp;J294&amp;[1]Sheet1!$G$5</f>
        <v>E0293Shawon IslamFemaleOperationsSupply Chain AnalystFull-timeSylhet4255686531E0560Sylhet</v>
      </c>
      <c r="L294" s="14">
        <f t="shared" si="12"/>
        <v>133901</v>
      </c>
      <c r="M294" s="14">
        <f ca="1" t="shared" si="13"/>
        <v>9</v>
      </c>
      <c r="N294" s="15" t="str">
        <f ca="1" t="shared" si="14"/>
        <v>Experienced</v>
      </c>
    </row>
    <row r="295" spans="1:14">
      <c r="A295" s="16" t="s">
        <v>706</v>
      </c>
      <c r="B295" s="17" t="s">
        <v>707</v>
      </c>
      <c r="C295" s="17" t="s">
        <v>19</v>
      </c>
      <c r="D295" s="17" t="s">
        <v>13</v>
      </c>
      <c r="E295" s="17" t="s">
        <v>223</v>
      </c>
      <c r="F295" s="17" t="s">
        <v>15</v>
      </c>
      <c r="G295" s="17" t="s">
        <v>94</v>
      </c>
      <c r="H295" s="17">
        <v>43273</v>
      </c>
      <c r="I295" s="17">
        <v>166965</v>
      </c>
      <c r="J295" s="17" t="s">
        <v>708</v>
      </c>
      <c r="K295" s="17" t="str">
        <f>A295&amp;B295&amp;C295&amp;D295&amp;E295&amp;F295&amp;G295&amp;H295&amp;I295&amp;J295&amp;[1]Sheet1!$G$5</f>
        <v>E0294Ovi AkterMaleSalesSenior Account ExecutiveFull-timeRajshahi43273166965E0965Sylhet</v>
      </c>
      <c r="L295" s="17">
        <f t="shared" si="12"/>
        <v>133989</v>
      </c>
      <c r="M295" s="17">
        <f ca="1" t="shared" si="13"/>
        <v>7</v>
      </c>
      <c r="N295" s="18" t="str">
        <f ca="1" t="shared" si="14"/>
        <v>Experienced</v>
      </c>
    </row>
    <row r="296" spans="1:14">
      <c r="A296" s="13" t="s">
        <v>709</v>
      </c>
      <c r="B296" s="14" t="s">
        <v>710</v>
      </c>
      <c r="C296" s="14" t="s">
        <v>12</v>
      </c>
      <c r="D296" s="14" t="s">
        <v>38</v>
      </c>
      <c r="E296" s="14" t="s">
        <v>39</v>
      </c>
      <c r="F296" s="14" t="s">
        <v>15</v>
      </c>
      <c r="G296" s="14" t="s">
        <v>40</v>
      </c>
      <c r="H296" s="14">
        <v>43988</v>
      </c>
      <c r="I296" s="14">
        <v>220987</v>
      </c>
      <c r="J296" s="14" t="s">
        <v>711</v>
      </c>
      <c r="K296" s="14" t="str">
        <f>A296&amp;B296&amp;C296&amp;D296&amp;E296&amp;F296&amp;G296&amp;H296&amp;I296&amp;J296&amp;[1]Sheet1!$G$5</f>
        <v>E0295Arif RanaFemaleEngineeringDevOps EngineerFull-timeDhaka43988220987E0716Sylhet</v>
      </c>
      <c r="L296" s="14">
        <f t="shared" si="12"/>
        <v>133901</v>
      </c>
      <c r="M296" s="14">
        <f ca="1" t="shared" si="13"/>
        <v>5</v>
      </c>
      <c r="N296" s="15" t="str">
        <f ca="1" t="shared" si="14"/>
        <v>Mid level</v>
      </c>
    </row>
    <row r="297" spans="1:14">
      <c r="A297" s="16" t="s">
        <v>712</v>
      </c>
      <c r="B297" s="17" t="s">
        <v>245</v>
      </c>
      <c r="C297" s="17" t="s">
        <v>12</v>
      </c>
      <c r="D297" s="17" t="s">
        <v>92</v>
      </c>
      <c r="E297" s="17" t="s">
        <v>189</v>
      </c>
      <c r="F297" s="17" t="s">
        <v>15</v>
      </c>
      <c r="G297" s="17" t="s">
        <v>62</v>
      </c>
      <c r="H297" s="17">
        <v>44824</v>
      </c>
      <c r="I297" s="17">
        <v>126321</v>
      </c>
      <c r="J297" s="17" t="s">
        <v>601</v>
      </c>
      <c r="K297" s="17" t="str">
        <f>A297&amp;B297&amp;C297&amp;D297&amp;E297&amp;F297&amp;G297&amp;H297&amp;I297&amp;J297&amp;[1]Sheet1!$G$5</f>
        <v>E0296Sumaiya AlamFemaleMarketingMarketing AssociateFull-timeChattogram44824126321E0543Sylhet</v>
      </c>
      <c r="L297" s="17">
        <f t="shared" si="12"/>
        <v>133813</v>
      </c>
      <c r="M297" s="17">
        <f ca="1" t="shared" si="13"/>
        <v>3</v>
      </c>
      <c r="N297" s="18" t="str">
        <f ca="1" t="shared" si="14"/>
        <v>Mid level</v>
      </c>
    </row>
    <row r="298" spans="1:14">
      <c r="A298" s="13" t="s">
        <v>713</v>
      </c>
      <c r="B298" s="14" t="s">
        <v>714</v>
      </c>
      <c r="C298" s="14" t="s">
        <v>19</v>
      </c>
      <c r="D298" s="14" t="s">
        <v>26</v>
      </c>
      <c r="E298" s="14" t="s">
        <v>162</v>
      </c>
      <c r="F298" s="14" t="s">
        <v>15</v>
      </c>
      <c r="G298" s="14" t="s">
        <v>40</v>
      </c>
      <c r="H298" s="14">
        <v>42594</v>
      </c>
      <c r="I298" s="14">
        <v>142246</v>
      </c>
      <c r="J298" s="14" t="s">
        <v>619</v>
      </c>
      <c r="K298" s="14" t="str">
        <f>A298&amp;B298&amp;C298&amp;D298&amp;E298&amp;F298&amp;G298&amp;H298&amp;I298&amp;J298&amp;[1]Sheet1!$G$5</f>
        <v>E0297Rashed SharminMaleFinanceAccounts ExecutiveFull-timeDhaka42594142246E0936Sylhet</v>
      </c>
      <c r="L298" s="14">
        <f t="shared" si="12"/>
        <v>133901</v>
      </c>
      <c r="M298" s="14">
        <f ca="1" t="shared" si="13"/>
        <v>9</v>
      </c>
      <c r="N298" s="15" t="str">
        <f ca="1" t="shared" si="14"/>
        <v>Experienced</v>
      </c>
    </row>
    <row r="299" spans="1:14">
      <c r="A299" s="16" t="s">
        <v>715</v>
      </c>
      <c r="B299" s="17" t="s">
        <v>635</v>
      </c>
      <c r="C299" s="17" t="s">
        <v>19</v>
      </c>
      <c r="D299" s="17" t="s">
        <v>38</v>
      </c>
      <c r="E299" s="17" t="s">
        <v>77</v>
      </c>
      <c r="F299" s="17" t="s">
        <v>15</v>
      </c>
      <c r="G299" s="17" t="s">
        <v>62</v>
      </c>
      <c r="H299" s="17">
        <v>42401</v>
      </c>
      <c r="I299" s="17">
        <v>105719</v>
      </c>
      <c r="J299" s="17"/>
      <c r="K299" s="17" t="str">
        <f>A299&amp;B299&amp;C299&amp;D299&amp;E299&amp;F299&amp;G299&amp;H299&amp;I299&amp;J299&amp;[1]Sheet1!$G$5</f>
        <v>E0298Nadia BanuMaleEngineeringJunior Software EngineerFull-timeChattogram42401105719Sylhet</v>
      </c>
      <c r="L299" s="17">
        <f t="shared" si="12"/>
        <v>133813</v>
      </c>
      <c r="M299" s="17">
        <f ca="1" t="shared" si="13"/>
        <v>10</v>
      </c>
      <c r="N299" s="18" t="str">
        <f ca="1" t="shared" si="14"/>
        <v>Experienced</v>
      </c>
    </row>
    <row r="300" spans="1:14">
      <c r="A300" s="13" t="s">
        <v>716</v>
      </c>
      <c r="B300" s="14" t="s">
        <v>717</v>
      </c>
      <c r="C300" s="14" t="s">
        <v>19</v>
      </c>
      <c r="D300" s="14" t="s">
        <v>32</v>
      </c>
      <c r="E300" s="14" t="s">
        <v>33</v>
      </c>
      <c r="F300" s="14" t="s">
        <v>15</v>
      </c>
      <c r="G300" s="14" t="s">
        <v>28</v>
      </c>
      <c r="H300" s="14">
        <v>43207</v>
      </c>
      <c r="I300" s="14">
        <v>65312</v>
      </c>
      <c r="J300" s="14" t="s">
        <v>547</v>
      </c>
      <c r="K300" s="14" t="str">
        <f>A300&amp;B300&amp;C300&amp;D300&amp;E300&amp;F300&amp;G300&amp;H300&amp;I300&amp;J300&amp;[1]Sheet1!$G$5</f>
        <v>E0299Sumaiya RanaMaleHRHR Business PartnerFull-timeRemote4320765312E0210Sylhet</v>
      </c>
      <c r="L300" s="14">
        <f t="shared" si="12"/>
        <v>133901</v>
      </c>
      <c r="M300" s="14">
        <f ca="1" t="shared" si="13"/>
        <v>7</v>
      </c>
      <c r="N300" s="15" t="str">
        <f ca="1" t="shared" si="14"/>
        <v>Experienced</v>
      </c>
    </row>
    <row r="301" spans="1:14">
      <c r="A301" s="16" t="s">
        <v>718</v>
      </c>
      <c r="B301" s="17" t="s">
        <v>625</v>
      </c>
      <c r="C301" s="17" t="s">
        <v>12</v>
      </c>
      <c r="D301" s="17" t="s">
        <v>38</v>
      </c>
      <c r="E301" s="17" t="s">
        <v>44</v>
      </c>
      <c r="F301" s="17" t="s">
        <v>15</v>
      </c>
      <c r="G301" s="17" t="s">
        <v>94</v>
      </c>
      <c r="H301" s="17">
        <v>43604</v>
      </c>
      <c r="I301" s="17">
        <v>109499</v>
      </c>
      <c r="J301" s="17" t="s">
        <v>579</v>
      </c>
      <c r="K301" s="17" t="str">
        <f>A301&amp;B301&amp;C301&amp;D301&amp;E301&amp;F301&amp;G301&amp;H301&amp;I301&amp;J301&amp;[1]Sheet1!$G$5</f>
        <v>E0300Mahin AnjumFemaleEngineeringQA EngineerFull-timeRajshahi43604109499E0488Sylhet</v>
      </c>
      <c r="L301" s="17">
        <f t="shared" si="12"/>
        <v>133989</v>
      </c>
      <c r="M301" s="17">
        <f ca="1" t="shared" si="13"/>
        <v>6</v>
      </c>
      <c r="N301" s="18" t="str">
        <f ca="1" t="shared" si="14"/>
        <v>Experienced</v>
      </c>
    </row>
    <row r="302" spans="1:14">
      <c r="A302" s="13" t="s">
        <v>719</v>
      </c>
      <c r="B302" s="14" t="s">
        <v>720</v>
      </c>
      <c r="C302" s="14" t="s">
        <v>12</v>
      </c>
      <c r="D302" s="14" t="s">
        <v>38</v>
      </c>
      <c r="E302" s="14" t="s">
        <v>77</v>
      </c>
      <c r="F302" s="14" t="s">
        <v>15</v>
      </c>
      <c r="G302" s="14" t="s">
        <v>94</v>
      </c>
      <c r="H302" s="14">
        <v>43235</v>
      </c>
      <c r="I302" s="14">
        <v>195905</v>
      </c>
      <c r="J302" s="14" t="s">
        <v>721</v>
      </c>
      <c r="K302" s="14" t="str">
        <f>A302&amp;B302&amp;C302&amp;D302&amp;E302&amp;F302&amp;G302&amp;H302&amp;I302&amp;J302&amp;[1]Sheet1!$G$5</f>
        <v>E0301Rahim BiswasFemaleEngineeringJunior Software EngineerFull-timeRajshahi43235195905E0376Sylhet</v>
      </c>
      <c r="L302" s="14">
        <f t="shared" si="12"/>
        <v>134135</v>
      </c>
      <c r="M302" s="14">
        <f ca="1" t="shared" si="13"/>
        <v>7</v>
      </c>
      <c r="N302" s="15" t="str">
        <f ca="1" t="shared" si="14"/>
        <v>Experienced</v>
      </c>
    </row>
    <row r="303" spans="1:14">
      <c r="A303" s="16" t="s">
        <v>722</v>
      </c>
      <c r="B303" s="17" t="s">
        <v>47</v>
      </c>
      <c r="C303" s="17" t="s">
        <v>19</v>
      </c>
      <c r="D303" s="17" t="s">
        <v>92</v>
      </c>
      <c r="E303" s="17" t="s">
        <v>193</v>
      </c>
      <c r="F303" s="17" t="s">
        <v>15</v>
      </c>
      <c r="G303" s="17" t="s">
        <v>16</v>
      </c>
      <c r="H303" s="17">
        <v>45513</v>
      </c>
      <c r="I303" s="17">
        <v>208862</v>
      </c>
      <c r="J303" s="17" t="s">
        <v>151</v>
      </c>
      <c r="K303" s="17" t="str">
        <f>A303&amp;B303&amp;C303&amp;D303&amp;E303&amp;F303&amp;G303&amp;H303&amp;I303&amp;J303&amp;[1]Sheet1!$G$5</f>
        <v>E0302Karim IslamMaleMarketingMarketing ManagerFull-timeKhulna45513208862E0865Sylhet</v>
      </c>
      <c r="L303" s="17">
        <f t="shared" si="12"/>
        <v>133989</v>
      </c>
      <c r="M303" s="17">
        <f ca="1" t="shared" si="13"/>
        <v>1</v>
      </c>
      <c r="N303" s="18" t="str">
        <f ca="1" t="shared" si="14"/>
        <v>New</v>
      </c>
    </row>
    <row r="304" spans="1:14">
      <c r="A304" s="13" t="s">
        <v>723</v>
      </c>
      <c r="B304" s="14" t="s">
        <v>724</v>
      </c>
      <c r="C304" s="14" t="s">
        <v>12</v>
      </c>
      <c r="D304" s="14" t="s">
        <v>92</v>
      </c>
      <c r="E304" s="14" t="s">
        <v>189</v>
      </c>
      <c r="F304" s="14" t="s">
        <v>48</v>
      </c>
      <c r="G304" s="14" t="s">
        <v>16</v>
      </c>
      <c r="H304" s="14">
        <v>42932</v>
      </c>
      <c r="I304" s="14">
        <v>81885</v>
      </c>
      <c r="J304" s="14" t="s">
        <v>725</v>
      </c>
      <c r="K304" s="14" t="str">
        <f>A304&amp;B304&amp;C304&amp;D304&amp;E304&amp;F304&amp;G304&amp;H304&amp;I304&amp;J304&amp;[1]Sheet1!$G$5</f>
        <v>E0303Priya ShahFemaleMarketingMarketing AssociateContractKhulna4293281885E0801Sylhet</v>
      </c>
      <c r="L304" s="14">
        <f t="shared" si="12"/>
        <v>133901</v>
      </c>
      <c r="M304" s="14">
        <f ca="1" t="shared" si="13"/>
        <v>8</v>
      </c>
      <c r="N304" s="15" t="str">
        <f ca="1" t="shared" si="14"/>
        <v>Experienced</v>
      </c>
    </row>
    <row r="305" spans="1:14">
      <c r="A305" s="16" t="s">
        <v>726</v>
      </c>
      <c r="B305" s="17" t="s">
        <v>469</v>
      </c>
      <c r="C305" s="17" t="s">
        <v>12</v>
      </c>
      <c r="D305" s="17" t="s">
        <v>32</v>
      </c>
      <c r="E305" s="17" t="s">
        <v>130</v>
      </c>
      <c r="F305" s="17" t="s">
        <v>15</v>
      </c>
      <c r="G305" s="17" t="s">
        <v>28</v>
      </c>
      <c r="H305" s="17">
        <v>45500</v>
      </c>
      <c r="I305" s="17">
        <v>83292</v>
      </c>
      <c r="J305" s="17" t="s">
        <v>727</v>
      </c>
      <c r="K305" s="17" t="str">
        <f>A305&amp;B305&amp;C305&amp;D305&amp;E305&amp;F305&amp;G305&amp;H305&amp;I305&amp;J305&amp;[1]Sheet1!$G$5</f>
        <v>E0304Esha IslamFemaleHRRecruiterFull-timeRemote4550083292E0618Sylhet</v>
      </c>
      <c r="L305" s="17">
        <f t="shared" si="12"/>
        <v>133989</v>
      </c>
      <c r="M305" s="17">
        <f ca="1" t="shared" si="13"/>
        <v>1</v>
      </c>
      <c r="N305" s="18" t="str">
        <f ca="1" t="shared" si="14"/>
        <v>New</v>
      </c>
    </row>
    <row r="306" spans="1:14">
      <c r="A306" s="13" t="s">
        <v>728</v>
      </c>
      <c r="B306" s="14" t="s">
        <v>437</v>
      </c>
      <c r="C306" s="14" t="s">
        <v>19</v>
      </c>
      <c r="D306" s="14" t="s">
        <v>26</v>
      </c>
      <c r="E306" s="14" t="s">
        <v>294</v>
      </c>
      <c r="F306" s="14" t="s">
        <v>15</v>
      </c>
      <c r="G306" s="14" t="s">
        <v>16</v>
      </c>
      <c r="H306" s="14">
        <v>43416</v>
      </c>
      <c r="I306" s="14">
        <v>119968</v>
      </c>
      <c r="J306" s="14"/>
      <c r="K306" s="14" t="str">
        <f>A306&amp;B306&amp;C306&amp;D306&amp;E306&amp;F306&amp;G306&amp;H306&amp;I306&amp;J306&amp;[1]Sheet1!$G$5</f>
        <v>E0305Esha BanuMaleFinanceSenior Financial AnalystFull-timeKhulna43416119968Sylhet</v>
      </c>
      <c r="L306" s="14">
        <f t="shared" si="12"/>
        <v>134135</v>
      </c>
      <c r="M306" s="14">
        <f ca="1" t="shared" si="13"/>
        <v>7</v>
      </c>
      <c r="N306" s="15" t="str">
        <f ca="1" t="shared" si="14"/>
        <v>Experienced</v>
      </c>
    </row>
    <row r="307" spans="1:14">
      <c r="A307" s="16" t="s">
        <v>729</v>
      </c>
      <c r="B307" s="17" t="s">
        <v>730</v>
      </c>
      <c r="C307" s="17" t="s">
        <v>19</v>
      </c>
      <c r="D307" s="17" t="s">
        <v>20</v>
      </c>
      <c r="E307" s="17" t="s">
        <v>70</v>
      </c>
      <c r="F307" s="17" t="s">
        <v>15</v>
      </c>
      <c r="G307" s="17" t="s">
        <v>34</v>
      </c>
      <c r="H307" s="17">
        <v>43555</v>
      </c>
      <c r="I307" s="17">
        <v>112609</v>
      </c>
      <c r="J307" s="17" t="s">
        <v>579</v>
      </c>
      <c r="K307" s="17" t="str">
        <f>A307&amp;B307&amp;C307&amp;D307&amp;E307&amp;F307&amp;G307&amp;H307&amp;I307&amp;J307&amp;[1]Sheet1!$G$5</f>
        <v>E0306Sadia KabirMaleCustomer SuccessCustomer Success ManagerFull-timeSylhet43555112609E0488Sylhet</v>
      </c>
      <c r="L307" s="17">
        <f t="shared" si="12"/>
        <v>134281</v>
      </c>
      <c r="M307" s="17">
        <f ca="1" t="shared" si="13"/>
        <v>6</v>
      </c>
      <c r="N307" s="18" t="str">
        <f ca="1" t="shared" si="14"/>
        <v>Experienced</v>
      </c>
    </row>
    <row r="308" spans="1:14">
      <c r="A308" s="13" t="s">
        <v>731</v>
      </c>
      <c r="B308" s="14" t="s">
        <v>732</v>
      </c>
      <c r="C308" s="14" t="s">
        <v>19</v>
      </c>
      <c r="D308" s="14" t="s">
        <v>92</v>
      </c>
      <c r="E308" s="14" t="s">
        <v>126</v>
      </c>
      <c r="F308" s="14" t="s">
        <v>15</v>
      </c>
      <c r="G308" s="14" t="s">
        <v>94</v>
      </c>
      <c r="H308" s="14">
        <v>43713</v>
      </c>
      <c r="I308" s="14">
        <v>88616</v>
      </c>
      <c r="J308" s="14" t="s">
        <v>689</v>
      </c>
      <c r="K308" s="14" t="str">
        <f>A308&amp;B308&amp;C308&amp;D308&amp;E308&amp;F308&amp;G308&amp;H308&amp;I308&amp;J308&amp;[1]Sheet1!$G$5</f>
        <v>E0307Sadia MahmudMaleMarketingSEO SpecialistFull-timeRajshahi4371388616E0976Sylhet</v>
      </c>
      <c r="L308" s="14">
        <f t="shared" si="12"/>
        <v>134308</v>
      </c>
      <c r="M308" s="14">
        <f ca="1" t="shared" si="13"/>
        <v>6</v>
      </c>
      <c r="N308" s="15" t="str">
        <f ca="1" t="shared" si="14"/>
        <v>Experienced</v>
      </c>
    </row>
    <row r="309" spans="1:14">
      <c r="A309" s="16" t="s">
        <v>733</v>
      </c>
      <c r="B309" s="17" t="s">
        <v>734</v>
      </c>
      <c r="C309" s="17" t="s">
        <v>12</v>
      </c>
      <c r="D309" s="17" t="s">
        <v>13</v>
      </c>
      <c r="E309" s="17" t="s">
        <v>223</v>
      </c>
      <c r="F309" s="17" t="s">
        <v>15</v>
      </c>
      <c r="G309" s="17" t="s">
        <v>34</v>
      </c>
      <c r="H309" s="17">
        <v>42861</v>
      </c>
      <c r="I309" s="17">
        <v>89011</v>
      </c>
      <c r="J309" s="17" t="s">
        <v>493</v>
      </c>
      <c r="K309" s="17" t="str">
        <f>A309&amp;B309&amp;C309&amp;D309&amp;E309&amp;F309&amp;G309&amp;H309&amp;I309&amp;J309&amp;[1]Sheet1!$G$5</f>
        <v>E0308Nadia RasheedFemaleSalesSenior Account ExecutiveFull-timeSylhet4286189011E0249Sylhet</v>
      </c>
      <c r="L309" s="17">
        <f t="shared" si="12"/>
        <v>134335</v>
      </c>
      <c r="M309" s="17">
        <f ca="1" t="shared" si="13"/>
        <v>8</v>
      </c>
      <c r="N309" s="18" t="str">
        <f ca="1" t="shared" si="14"/>
        <v>Experienced</v>
      </c>
    </row>
    <row r="310" spans="1:14">
      <c r="A310" s="13" t="s">
        <v>735</v>
      </c>
      <c r="B310" s="14" t="s">
        <v>736</v>
      </c>
      <c r="C310" s="14" t="s">
        <v>12</v>
      </c>
      <c r="D310" s="14" t="s">
        <v>52</v>
      </c>
      <c r="E310" s="14" t="s">
        <v>246</v>
      </c>
      <c r="F310" s="14" t="s">
        <v>15</v>
      </c>
      <c r="G310" s="14" t="s">
        <v>28</v>
      </c>
      <c r="H310" s="14">
        <v>42401</v>
      </c>
      <c r="I310" s="14">
        <v>61353</v>
      </c>
      <c r="J310" s="14" t="s">
        <v>543</v>
      </c>
      <c r="K310" s="14" t="str">
        <f>A310&amp;B310&amp;C310&amp;D310&amp;E310&amp;F310&amp;G310&amp;H310&amp;I310&amp;J310&amp;[1]Sheet1!$G$5</f>
        <v>E0309Rafi JahanFemaleOperationsOperations AssociateFull-timeRemote4240161353E0565Sylhet</v>
      </c>
      <c r="L310" s="14">
        <f t="shared" si="12"/>
        <v>134588.5</v>
      </c>
      <c r="M310" s="14">
        <f ca="1" t="shared" si="13"/>
        <v>10</v>
      </c>
      <c r="N310" s="15" t="str">
        <f ca="1" t="shared" si="14"/>
        <v>Experienced</v>
      </c>
    </row>
    <row r="311" spans="1:14">
      <c r="A311" s="16" t="s">
        <v>285</v>
      </c>
      <c r="B311" s="17" t="s">
        <v>737</v>
      </c>
      <c r="C311" s="17" t="s">
        <v>12</v>
      </c>
      <c r="D311" s="17" t="s">
        <v>87</v>
      </c>
      <c r="E311" s="17" t="s">
        <v>111</v>
      </c>
      <c r="F311" s="17" t="s">
        <v>15</v>
      </c>
      <c r="G311" s="17" t="s">
        <v>94</v>
      </c>
      <c r="H311" s="17">
        <v>44407</v>
      </c>
      <c r="I311" s="17">
        <v>123846</v>
      </c>
      <c r="J311" s="17" t="s">
        <v>288</v>
      </c>
      <c r="K311" s="17" t="str">
        <f>A311&amp;B311&amp;C311&amp;D311&amp;E311&amp;F311&amp;G311&amp;H311&amp;I311&amp;J311&amp;[1]Sheet1!$G$5</f>
        <v>E0310Nafiz ChowdhuryFemaleProductSenior Product ManagerFull-timeRajshahi44407123846E0172Sylhet</v>
      </c>
      <c r="L311" s="17">
        <f t="shared" si="12"/>
        <v>134842</v>
      </c>
      <c r="M311" s="17">
        <f ca="1" t="shared" si="13"/>
        <v>4</v>
      </c>
      <c r="N311" s="18" t="str">
        <f ca="1" t="shared" si="14"/>
        <v>Mid level</v>
      </c>
    </row>
    <row r="312" spans="1:14">
      <c r="A312" s="13" t="s">
        <v>738</v>
      </c>
      <c r="B312" s="14" t="s">
        <v>739</v>
      </c>
      <c r="C312" s="14" t="s">
        <v>12</v>
      </c>
      <c r="D312" s="14" t="s">
        <v>13</v>
      </c>
      <c r="E312" s="14" t="s">
        <v>14</v>
      </c>
      <c r="F312" s="14" t="s">
        <v>15</v>
      </c>
      <c r="G312" s="14" t="s">
        <v>34</v>
      </c>
      <c r="H312" s="14">
        <v>45429</v>
      </c>
      <c r="I312" s="14">
        <v>173306</v>
      </c>
      <c r="J312" s="14"/>
      <c r="K312" s="14" t="str">
        <f>A312&amp;B312&amp;C312&amp;D312&amp;E312&amp;F312&amp;G312&amp;H312&amp;I312&amp;J312&amp;[1]Sheet1!$G$5</f>
        <v>E0311Fahim ParvinFemaleSalesSales AssociateFull-timeSylhet45429173306Sylhet</v>
      </c>
      <c r="L312" s="14">
        <f t="shared" si="12"/>
        <v>134858.5</v>
      </c>
      <c r="M312" s="14">
        <f ca="1" t="shared" si="13"/>
        <v>1</v>
      </c>
      <c r="N312" s="15" t="str">
        <f ca="1" t="shared" si="14"/>
        <v>New</v>
      </c>
    </row>
    <row r="313" spans="1:14">
      <c r="A313" s="16" t="s">
        <v>740</v>
      </c>
      <c r="B313" s="17" t="s">
        <v>315</v>
      </c>
      <c r="C313" s="17" t="s">
        <v>19</v>
      </c>
      <c r="D313" s="17" t="s">
        <v>38</v>
      </c>
      <c r="E313" s="17" t="s">
        <v>39</v>
      </c>
      <c r="F313" s="17" t="s">
        <v>15</v>
      </c>
      <c r="G313" s="17" t="s">
        <v>62</v>
      </c>
      <c r="H313" s="17">
        <v>44133</v>
      </c>
      <c r="I313" s="17">
        <v>216411</v>
      </c>
      <c r="J313" s="17" t="s">
        <v>50</v>
      </c>
      <c r="K313" s="17" t="str">
        <f>A313&amp;B313&amp;C313&amp;D313&amp;E313&amp;F313&amp;G313&amp;H313&amp;I313&amp;J313&amp;[1]Sheet1!$G$5</f>
        <v>E0312Shawon FerdousMaleEngineeringDevOps EngineerFull-timeChattogram44133216411E0008Sylhet</v>
      </c>
      <c r="L313" s="17">
        <f t="shared" si="12"/>
        <v>134842</v>
      </c>
      <c r="M313" s="17">
        <f ca="1" t="shared" si="13"/>
        <v>5</v>
      </c>
      <c r="N313" s="18" t="str">
        <f ca="1" t="shared" si="14"/>
        <v>Mid level</v>
      </c>
    </row>
    <row r="314" spans="1:14">
      <c r="A314" s="13" t="s">
        <v>741</v>
      </c>
      <c r="B314" s="14" t="s">
        <v>742</v>
      </c>
      <c r="C314" s="14" t="s">
        <v>19</v>
      </c>
      <c r="D314" s="14" t="s">
        <v>38</v>
      </c>
      <c r="E314" s="14" t="s">
        <v>140</v>
      </c>
      <c r="F314" s="14" t="s">
        <v>15</v>
      </c>
      <c r="G314" s="14" t="s">
        <v>62</v>
      </c>
      <c r="H314" s="14">
        <v>43089</v>
      </c>
      <c r="I314" s="14">
        <v>254167</v>
      </c>
      <c r="J314" s="14" t="s">
        <v>253</v>
      </c>
      <c r="K314" s="14" t="str">
        <f>A314&amp;B314&amp;C314&amp;D314&amp;E314&amp;F314&amp;G314&amp;H314&amp;I314&amp;J314&amp;[1]Sheet1!$G$5</f>
        <v>E0313Arif RahmanMaleEngineeringSenior Software EngineerFull-timeChattogram43089254167E0109Sylhet</v>
      </c>
      <c r="L314" s="14">
        <f t="shared" si="12"/>
        <v>134588.5</v>
      </c>
      <c r="M314" s="14">
        <f ca="1" t="shared" si="13"/>
        <v>8</v>
      </c>
      <c r="N314" s="15" t="str">
        <f ca="1" t="shared" si="14"/>
        <v>Experienced</v>
      </c>
    </row>
    <row r="315" spans="1:14">
      <c r="A315" s="16" t="s">
        <v>58</v>
      </c>
      <c r="B315" s="17" t="s">
        <v>743</v>
      </c>
      <c r="C315" s="17" t="s">
        <v>19</v>
      </c>
      <c r="D315" s="17" t="s">
        <v>20</v>
      </c>
      <c r="E315" s="17" t="s">
        <v>70</v>
      </c>
      <c r="F315" s="17" t="s">
        <v>48</v>
      </c>
      <c r="G315" s="17" t="s">
        <v>62</v>
      </c>
      <c r="H315" s="17">
        <v>42899</v>
      </c>
      <c r="I315" s="17">
        <v>111527</v>
      </c>
      <c r="J315" s="17" t="s">
        <v>721</v>
      </c>
      <c r="K315" s="17" t="str">
        <f>A315&amp;B315&amp;C315&amp;D315&amp;E315&amp;F315&amp;G315&amp;H315&amp;I315&amp;J315&amp;[1]Sheet1!$G$5</f>
        <v>E0314Nafiz AlamMaleCustomer SuccessCustomer Success ManagerContractChattogram42899111527E0376Sylhet</v>
      </c>
      <c r="L315" s="17">
        <f t="shared" si="12"/>
        <v>134335</v>
      </c>
      <c r="M315" s="17">
        <f ca="1" t="shared" si="13"/>
        <v>8</v>
      </c>
      <c r="N315" s="18" t="str">
        <f ca="1" t="shared" si="14"/>
        <v>Experienced</v>
      </c>
    </row>
    <row r="316" spans="1:14">
      <c r="A316" s="13" t="s">
        <v>744</v>
      </c>
      <c r="B316" s="14" t="s">
        <v>455</v>
      </c>
      <c r="C316" s="14" t="s">
        <v>12</v>
      </c>
      <c r="D316" s="14" t="s">
        <v>52</v>
      </c>
      <c r="E316" s="14" t="s">
        <v>120</v>
      </c>
      <c r="F316" s="14" t="s">
        <v>15</v>
      </c>
      <c r="G316" s="14" t="s">
        <v>28</v>
      </c>
      <c r="H316" s="14">
        <v>43927</v>
      </c>
      <c r="I316" s="14">
        <v>116603</v>
      </c>
      <c r="J316" s="14" t="s">
        <v>175</v>
      </c>
      <c r="K316" s="14" t="str">
        <f>A316&amp;B316&amp;C316&amp;D316&amp;E316&amp;F316&amp;G316&amp;H316&amp;I316&amp;J316&amp;[1]Sheet1!$G$5</f>
        <v>E0315Sadia FerdousFemaleOperationsSupply Chain AnalystFull-timeRemote43927116603E0736Sylhet</v>
      </c>
      <c r="L316" s="14">
        <f t="shared" si="12"/>
        <v>134588.5</v>
      </c>
      <c r="M316" s="14">
        <f ca="1" t="shared" si="13"/>
        <v>5</v>
      </c>
      <c r="N316" s="15" t="str">
        <f ca="1" t="shared" si="14"/>
        <v>Mid level</v>
      </c>
    </row>
    <row r="317" spans="1:14">
      <c r="A317" s="16" t="s">
        <v>745</v>
      </c>
      <c r="B317" s="17" t="s">
        <v>746</v>
      </c>
      <c r="C317" s="17" t="s">
        <v>12</v>
      </c>
      <c r="D317" s="17" t="s">
        <v>26</v>
      </c>
      <c r="E317" s="17" t="s">
        <v>294</v>
      </c>
      <c r="F317" s="17" t="s">
        <v>15</v>
      </c>
      <c r="G317" s="17" t="s">
        <v>16</v>
      </c>
      <c r="H317" s="17">
        <v>44551</v>
      </c>
      <c r="I317" s="17">
        <v>141544</v>
      </c>
      <c r="J317" s="17" t="s">
        <v>397</v>
      </c>
      <c r="K317" s="17" t="str">
        <f>A317&amp;B317&amp;C317&amp;D317&amp;E317&amp;F317&amp;G317&amp;H317&amp;I317&amp;J317&amp;[1]Sheet1!$G$5</f>
        <v>E0316Tania RahmanFemaleFinanceSenior Financial AnalystFull-timeKhulna44551141544E0407Sylhet</v>
      </c>
      <c r="L317" s="17">
        <f t="shared" si="12"/>
        <v>134842</v>
      </c>
      <c r="M317" s="17">
        <f ca="1" t="shared" si="13"/>
        <v>4</v>
      </c>
      <c r="N317" s="18" t="str">
        <f ca="1" t="shared" si="14"/>
        <v>Mid level</v>
      </c>
    </row>
    <row r="318" spans="1:14">
      <c r="A318" s="13" t="s">
        <v>747</v>
      </c>
      <c r="B318" s="14" t="s">
        <v>748</v>
      </c>
      <c r="C318" s="14" t="s">
        <v>19</v>
      </c>
      <c r="D318" s="14" t="s">
        <v>13</v>
      </c>
      <c r="E318" s="14" t="s">
        <v>165</v>
      </c>
      <c r="F318" s="14" t="s">
        <v>15</v>
      </c>
      <c r="G318" s="14" t="s">
        <v>40</v>
      </c>
      <c r="H318" s="14">
        <v>45252</v>
      </c>
      <c r="I318" s="14">
        <v>178865</v>
      </c>
      <c r="J318" s="14" t="s">
        <v>419</v>
      </c>
      <c r="K318" s="14" t="str">
        <f>A318&amp;B318&amp;C318&amp;D318&amp;E318&amp;F318&amp;G318&amp;H318&amp;I318&amp;J318&amp;[1]Sheet1!$G$5</f>
        <v>E0317Sumaiya AkterMaleSalesAccount ExecutiveFull-timeDhaka45252178865E0144Sylhet</v>
      </c>
      <c r="L318" s="14">
        <f t="shared" si="12"/>
        <v>134588.5</v>
      </c>
      <c r="M318" s="14">
        <f ca="1" t="shared" si="13"/>
        <v>2</v>
      </c>
      <c r="N318" s="15" t="str">
        <f ca="1" t="shared" si="14"/>
        <v>New</v>
      </c>
    </row>
    <row r="319" spans="1:14">
      <c r="A319" s="16" t="s">
        <v>749</v>
      </c>
      <c r="B319" s="17" t="s">
        <v>750</v>
      </c>
      <c r="C319" s="17" t="s">
        <v>12</v>
      </c>
      <c r="D319" s="17" t="s">
        <v>38</v>
      </c>
      <c r="E319" s="17" t="s">
        <v>44</v>
      </c>
      <c r="F319" s="17" t="s">
        <v>48</v>
      </c>
      <c r="G319" s="17" t="s">
        <v>28</v>
      </c>
      <c r="H319" s="17">
        <v>43312</v>
      </c>
      <c r="I319" s="17">
        <v>182959</v>
      </c>
      <c r="J319" s="17" t="s">
        <v>134</v>
      </c>
      <c r="K319" s="17" t="str">
        <f>A319&amp;B319&amp;C319&amp;D319&amp;E319&amp;F319&amp;G319&amp;H319&amp;I319&amp;J319&amp;[1]Sheet1!$G$5</f>
        <v>E0318Mitu BanuFemaleEngineeringQA EngineerContractRemote43312182959E0630Sylhet</v>
      </c>
      <c r="L319" s="17">
        <f t="shared" si="12"/>
        <v>134335</v>
      </c>
      <c r="M319" s="17">
        <f ca="1" t="shared" si="13"/>
        <v>7</v>
      </c>
      <c r="N319" s="18" t="str">
        <f ca="1" t="shared" si="14"/>
        <v>Experienced</v>
      </c>
    </row>
    <row r="320" spans="1:14">
      <c r="A320" s="13" t="s">
        <v>751</v>
      </c>
      <c r="B320" s="14" t="s">
        <v>752</v>
      </c>
      <c r="C320" s="14" t="s">
        <v>19</v>
      </c>
      <c r="D320" s="14" t="s">
        <v>38</v>
      </c>
      <c r="E320" s="14" t="s">
        <v>77</v>
      </c>
      <c r="F320" s="14" t="s">
        <v>15</v>
      </c>
      <c r="G320" s="14" t="s">
        <v>94</v>
      </c>
      <c r="H320" s="14">
        <v>44419</v>
      </c>
      <c r="I320" s="14">
        <v>96425</v>
      </c>
      <c r="J320" s="14" t="s">
        <v>471</v>
      </c>
      <c r="K320" s="14" t="str">
        <f>A320&amp;B320&amp;C320&amp;D320&amp;E320&amp;F320&amp;G320&amp;H320&amp;I320&amp;J320&amp;[1]Sheet1!$G$5</f>
        <v>E0319Tasnim BanuMaleEngineeringJunior Software EngineerFull-timeRajshahi4441996425E0909Sylhet</v>
      </c>
      <c r="L320" s="14">
        <f t="shared" si="12"/>
        <v>134308</v>
      </c>
      <c r="M320" s="14">
        <f ca="1" t="shared" si="13"/>
        <v>4</v>
      </c>
      <c r="N320" s="15" t="str">
        <f ca="1" t="shared" si="14"/>
        <v>Mid level</v>
      </c>
    </row>
    <row r="321" spans="1:14">
      <c r="A321" s="16" t="s">
        <v>753</v>
      </c>
      <c r="B321" s="17" t="s">
        <v>754</v>
      </c>
      <c r="C321" s="17" t="s">
        <v>12</v>
      </c>
      <c r="D321" s="17" t="s">
        <v>87</v>
      </c>
      <c r="E321" s="17" t="s">
        <v>88</v>
      </c>
      <c r="F321" s="17" t="s">
        <v>15</v>
      </c>
      <c r="G321" s="17" t="s">
        <v>16</v>
      </c>
      <c r="H321" s="17">
        <v>44658</v>
      </c>
      <c r="I321" s="17">
        <v>176119</v>
      </c>
      <c r="J321" s="17" t="s">
        <v>499</v>
      </c>
      <c r="K321" s="17" t="str">
        <f>A321&amp;B321&amp;C321&amp;D321&amp;E321&amp;F321&amp;G321&amp;H321&amp;I321&amp;J321&amp;[1]Sheet1!$G$5</f>
        <v>E0320Shawon SadiqFemaleProductProduct AnalystFull-timeKhulna44658176119E0595Sylhet</v>
      </c>
      <c r="L321" s="17">
        <f t="shared" si="12"/>
        <v>134335</v>
      </c>
      <c r="M321" s="17">
        <f ca="1" t="shared" si="13"/>
        <v>3</v>
      </c>
      <c r="N321" s="18" t="str">
        <f ca="1" t="shared" si="14"/>
        <v>Mid level</v>
      </c>
    </row>
    <row r="322" spans="1:14">
      <c r="A322" s="13" t="s">
        <v>755</v>
      </c>
      <c r="B322" s="14" t="s">
        <v>609</v>
      </c>
      <c r="C322" s="14" t="s">
        <v>12</v>
      </c>
      <c r="D322" s="14" t="s">
        <v>92</v>
      </c>
      <c r="E322" s="14" t="s">
        <v>391</v>
      </c>
      <c r="F322" s="14" t="s">
        <v>15</v>
      </c>
      <c r="G322" s="14" t="s">
        <v>28</v>
      </c>
      <c r="H322" s="14">
        <v>45783</v>
      </c>
      <c r="I322" s="14">
        <v>70238</v>
      </c>
      <c r="J322" s="14" t="s">
        <v>604</v>
      </c>
      <c r="K322" s="14" t="str">
        <f>A322&amp;B322&amp;C322&amp;D322&amp;E322&amp;F322&amp;G322&amp;H322&amp;I322&amp;J322&amp;[1]Sheet1!$G$5</f>
        <v>E0321Zahid TalukderFemaleMarketingContent SpecialistFull-timeRemote4578370238E0243Sylhet</v>
      </c>
      <c r="L322" s="14">
        <f t="shared" si="12"/>
        <v>134308</v>
      </c>
      <c r="M322" s="14">
        <f ca="1" t="shared" si="13"/>
        <v>0</v>
      </c>
      <c r="N322" s="15" t="str">
        <f ca="1" t="shared" si="14"/>
        <v>New</v>
      </c>
    </row>
    <row r="323" spans="1:14">
      <c r="A323" s="16" t="s">
        <v>756</v>
      </c>
      <c r="B323" s="17" t="s">
        <v>757</v>
      </c>
      <c r="C323" s="17" t="s">
        <v>146</v>
      </c>
      <c r="D323" s="17" t="s">
        <v>26</v>
      </c>
      <c r="E323" s="17" t="s">
        <v>162</v>
      </c>
      <c r="F323" s="17" t="s">
        <v>15</v>
      </c>
      <c r="G323" s="17" t="s">
        <v>28</v>
      </c>
      <c r="H323" s="17">
        <v>45106</v>
      </c>
      <c r="I323" s="17">
        <v>192123</v>
      </c>
      <c r="J323" s="17" t="s">
        <v>549</v>
      </c>
      <c r="K323" s="17" t="str">
        <f>A323&amp;B323&amp;C323&amp;D323&amp;E323&amp;F323&amp;G323&amp;H323&amp;I323&amp;J323&amp;[1]Sheet1!$G$5</f>
        <v>E0322Nadia MahmudNon-binaryFinanceAccounts ExecutiveFull-timeRemote45106192123E0389Sylhet</v>
      </c>
      <c r="L323" s="17">
        <f t="shared" ref="L323:L386" si="15">MEDIAN(I323:I1322)</f>
        <v>134335</v>
      </c>
      <c r="M323" s="17">
        <f ca="1" t="shared" ref="M323:M386" si="16">DATEDIF(H323,TODAY(),"Y")</f>
        <v>2</v>
      </c>
      <c r="N323" s="18" t="str">
        <f ca="1" t="shared" ref="N323:N386" si="17">IF(M323&lt;=2,"New",IF(M323&lt;=5,"Mid level",IF(M323&lt;=10,"Experienced","Long term")))</f>
        <v>New</v>
      </c>
    </row>
    <row r="324" spans="1:14">
      <c r="A324" s="13" t="s">
        <v>758</v>
      </c>
      <c r="B324" s="14" t="s">
        <v>759</v>
      </c>
      <c r="C324" s="14" t="s">
        <v>12</v>
      </c>
      <c r="D324" s="14" t="s">
        <v>32</v>
      </c>
      <c r="E324" s="14" t="s">
        <v>208</v>
      </c>
      <c r="F324" s="14" t="s">
        <v>15</v>
      </c>
      <c r="G324" s="14" t="s">
        <v>40</v>
      </c>
      <c r="H324" s="14">
        <v>45672</v>
      </c>
      <c r="I324" s="14">
        <v>159552</v>
      </c>
      <c r="J324" s="14" t="s">
        <v>295</v>
      </c>
      <c r="K324" s="14" t="str">
        <f>A324&amp;B324&amp;C324&amp;D324&amp;E324&amp;F324&amp;G324&amp;H324&amp;I324&amp;J324&amp;[1]Sheet1!$G$5</f>
        <v>E0323Ovi SharminFemaleHRHR ManagerFull-timeDhaka45672159552E0420Sylhet</v>
      </c>
      <c r="L324" s="14">
        <f t="shared" si="15"/>
        <v>134308</v>
      </c>
      <c r="M324" s="14">
        <f ca="1" t="shared" si="16"/>
        <v>1</v>
      </c>
      <c r="N324" s="15" t="str">
        <f ca="1" t="shared" si="17"/>
        <v>New</v>
      </c>
    </row>
    <row r="325" spans="1:14">
      <c r="A325" s="16" t="s">
        <v>760</v>
      </c>
      <c r="B325" s="17" t="s">
        <v>750</v>
      </c>
      <c r="C325" s="17" t="s">
        <v>12</v>
      </c>
      <c r="D325" s="17" t="s">
        <v>87</v>
      </c>
      <c r="E325" s="17" t="s">
        <v>88</v>
      </c>
      <c r="F325" s="17" t="s">
        <v>15</v>
      </c>
      <c r="G325" s="17" t="s">
        <v>94</v>
      </c>
      <c r="H325" s="17">
        <v>43820</v>
      </c>
      <c r="I325" s="17">
        <v>210429</v>
      </c>
      <c r="J325" s="17" t="s">
        <v>386</v>
      </c>
      <c r="K325" s="17" t="str">
        <f>A325&amp;B325&amp;C325&amp;D325&amp;E325&amp;F325&amp;G325&amp;H325&amp;I325&amp;J325&amp;[1]Sheet1!$G$5</f>
        <v>E0324Mitu BanuFemaleProductProduct AnalystFull-timeRajshahi43820210429E0585Sylhet</v>
      </c>
      <c r="L325" s="17">
        <f t="shared" si="15"/>
        <v>134281</v>
      </c>
      <c r="M325" s="17">
        <f ca="1" t="shared" si="16"/>
        <v>6</v>
      </c>
      <c r="N325" s="18" t="str">
        <f ca="1" t="shared" si="17"/>
        <v>Experienced</v>
      </c>
    </row>
    <row r="326" spans="1:14">
      <c r="A326" s="13" t="s">
        <v>761</v>
      </c>
      <c r="B326" s="14" t="s">
        <v>242</v>
      </c>
      <c r="C326" s="14" t="s">
        <v>19</v>
      </c>
      <c r="D326" s="14" t="s">
        <v>20</v>
      </c>
      <c r="E326" s="14" t="s">
        <v>70</v>
      </c>
      <c r="F326" s="14" t="s">
        <v>15</v>
      </c>
      <c r="G326" s="14" t="s">
        <v>62</v>
      </c>
      <c r="H326" s="14">
        <v>42665</v>
      </c>
      <c r="I326" s="14">
        <v>144541</v>
      </c>
      <c r="J326" s="14" t="s">
        <v>762</v>
      </c>
      <c r="K326" s="14" t="str">
        <f>A326&amp;B326&amp;C326&amp;D326&amp;E326&amp;F326&amp;G326&amp;H326&amp;I326&amp;J326&amp;[1]Sheet1!$G$5</f>
        <v>E0325Imran IslamMaleCustomer SuccessCustomer Success ManagerFull-timeChattogram42665144541E0368Sylhet</v>
      </c>
      <c r="L326" s="14">
        <f t="shared" si="15"/>
        <v>134135</v>
      </c>
      <c r="M326" s="14">
        <f ca="1" t="shared" si="16"/>
        <v>9</v>
      </c>
      <c r="N326" s="15" t="str">
        <f ca="1" t="shared" si="17"/>
        <v>Experienced</v>
      </c>
    </row>
    <row r="327" spans="1:14">
      <c r="A327" s="16" t="s">
        <v>763</v>
      </c>
      <c r="B327" s="17" t="s">
        <v>625</v>
      </c>
      <c r="C327" s="17" t="s">
        <v>12</v>
      </c>
      <c r="D327" s="17" t="s">
        <v>26</v>
      </c>
      <c r="E327" s="17" t="s">
        <v>61</v>
      </c>
      <c r="F327" s="17" t="s">
        <v>15</v>
      </c>
      <c r="G327" s="17" t="s">
        <v>16</v>
      </c>
      <c r="H327" s="17">
        <v>43996</v>
      </c>
      <c r="I327" s="17">
        <v>188550</v>
      </c>
      <c r="J327" s="17" t="s">
        <v>579</v>
      </c>
      <c r="K327" s="17" t="str">
        <f>A327&amp;B327&amp;C327&amp;D327&amp;E327&amp;F327&amp;G327&amp;H327&amp;I327&amp;J327&amp;[1]Sheet1!$G$5</f>
        <v>E0326Mahin AnjumFemaleFinanceFinancial AnalystFull-timeKhulna43996188550E0488Sylhet</v>
      </c>
      <c r="L327" s="17">
        <f t="shared" si="15"/>
        <v>133989</v>
      </c>
      <c r="M327" s="17">
        <f ca="1" t="shared" si="16"/>
        <v>5</v>
      </c>
      <c r="N327" s="18" t="str">
        <f ca="1" t="shared" si="17"/>
        <v>Mid level</v>
      </c>
    </row>
    <row r="328" spans="1:14">
      <c r="A328" s="13" t="s">
        <v>764</v>
      </c>
      <c r="B328" s="14" t="s">
        <v>765</v>
      </c>
      <c r="C328" s="14" t="s">
        <v>19</v>
      </c>
      <c r="D328" s="14" t="s">
        <v>92</v>
      </c>
      <c r="E328" s="14" t="s">
        <v>189</v>
      </c>
      <c r="F328" s="14" t="s">
        <v>15</v>
      </c>
      <c r="G328" s="14" t="s">
        <v>28</v>
      </c>
      <c r="H328" s="14">
        <v>45899</v>
      </c>
      <c r="I328" s="14">
        <v>116526</v>
      </c>
      <c r="J328" s="14" t="s">
        <v>277</v>
      </c>
      <c r="K328" s="14" t="str">
        <f>A328&amp;B328&amp;C328&amp;D328&amp;E328&amp;F328&amp;G328&amp;H328&amp;I328&amp;J328&amp;[1]Sheet1!$G$5</f>
        <v>E0327Farhan AhmedMaleMarketingMarketing AssociateFull-timeRemote45899116526E0278Sylhet</v>
      </c>
      <c r="L328" s="14">
        <f t="shared" si="15"/>
        <v>133901</v>
      </c>
      <c r="M328" s="14">
        <f ca="1" t="shared" si="16"/>
        <v>0</v>
      </c>
      <c r="N328" s="15" t="str">
        <f ca="1" t="shared" si="17"/>
        <v>New</v>
      </c>
    </row>
    <row r="329" spans="1:14">
      <c r="A329" s="16" t="s">
        <v>766</v>
      </c>
      <c r="B329" s="17" t="s">
        <v>192</v>
      </c>
      <c r="C329" s="17" t="s">
        <v>12</v>
      </c>
      <c r="D329" s="17" t="s">
        <v>32</v>
      </c>
      <c r="E329" s="17" t="s">
        <v>33</v>
      </c>
      <c r="F329" s="17" t="s">
        <v>15</v>
      </c>
      <c r="G329" s="17" t="s">
        <v>40</v>
      </c>
      <c r="H329" s="17">
        <v>45409</v>
      </c>
      <c r="I329" s="17">
        <v>114641</v>
      </c>
      <c r="J329" s="17" t="s">
        <v>240</v>
      </c>
      <c r="K329" s="17" t="str">
        <f>A329&amp;B329&amp;C329&amp;D329&amp;E329&amp;F329&amp;G329&amp;H329&amp;I329&amp;J329&amp;[1]Sheet1!$G$5</f>
        <v>E0328Tasnim ShahFemaleHRHR Business PartnerFull-timeDhaka45409114641E0831Sylhet</v>
      </c>
      <c r="L329" s="17">
        <f t="shared" si="15"/>
        <v>133989</v>
      </c>
      <c r="M329" s="17">
        <f ca="1" t="shared" si="16"/>
        <v>1</v>
      </c>
      <c r="N329" s="18" t="str">
        <f ca="1" t="shared" si="17"/>
        <v>New</v>
      </c>
    </row>
    <row r="330" spans="1:14">
      <c r="A330" s="13" t="s">
        <v>767</v>
      </c>
      <c r="B330" s="14" t="s">
        <v>768</v>
      </c>
      <c r="C330" s="14" t="s">
        <v>12</v>
      </c>
      <c r="D330" s="14" t="s">
        <v>13</v>
      </c>
      <c r="E330" s="14" t="s">
        <v>223</v>
      </c>
      <c r="F330" s="14" t="s">
        <v>15</v>
      </c>
      <c r="G330" s="14" t="s">
        <v>28</v>
      </c>
      <c r="H330" s="14">
        <v>42543</v>
      </c>
      <c r="I330" s="14">
        <v>133989</v>
      </c>
      <c r="J330" s="14" t="s">
        <v>102</v>
      </c>
      <c r="K330" s="14" t="str">
        <f>A330&amp;B330&amp;C330&amp;D330&amp;E330&amp;F330&amp;G330&amp;H330&amp;I330&amp;J330&amp;[1]Sheet1!$G$5</f>
        <v>E0329Rashed AkterFemaleSalesSenior Account ExecutiveFull-timeRemote42543133989E0777Sylhet</v>
      </c>
      <c r="L330" s="14">
        <f t="shared" si="15"/>
        <v>134135</v>
      </c>
      <c r="M330" s="14">
        <f ca="1" t="shared" si="16"/>
        <v>9</v>
      </c>
      <c r="N330" s="15" t="str">
        <f ca="1" t="shared" si="17"/>
        <v>Experienced</v>
      </c>
    </row>
    <row r="331" spans="1:14">
      <c r="A331" s="16" t="s">
        <v>306</v>
      </c>
      <c r="B331" s="17" t="s">
        <v>769</v>
      </c>
      <c r="C331" s="17" t="s">
        <v>12</v>
      </c>
      <c r="D331" s="17" t="s">
        <v>87</v>
      </c>
      <c r="E331" s="17" t="s">
        <v>156</v>
      </c>
      <c r="F331" s="17" t="s">
        <v>15</v>
      </c>
      <c r="G331" s="17" t="s">
        <v>62</v>
      </c>
      <c r="H331" s="17">
        <v>44156</v>
      </c>
      <c r="I331" s="17">
        <v>223179</v>
      </c>
      <c r="J331" s="17" t="s">
        <v>186</v>
      </c>
      <c r="K331" s="17" t="str">
        <f>A331&amp;B331&amp;C331&amp;D331&amp;E331&amp;F331&amp;G331&amp;H331&amp;I331&amp;J331&amp;[1]Sheet1!$G$5</f>
        <v>E0330Mitu RasheedFemaleProductAssociate Product ManagerFull-timeChattogram44156223179E0927Sylhet</v>
      </c>
      <c r="L331" s="17">
        <f t="shared" si="15"/>
        <v>134281</v>
      </c>
      <c r="M331" s="17">
        <f ca="1" t="shared" si="16"/>
        <v>5</v>
      </c>
      <c r="N331" s="18" t="str">
        <f ca="1" t="shared" si="17"/>
        <v>Mid level</v>
      </c>
    </row>
    <row r="332" spans="1:14">
      <c r="A332" s="13" t="s">
        <v>770</v>
      </c>
      <c r="B332" s="14" t="s">
        <v>771</v>
      </c>
      <c r="C332" s="14" t="s">
        <v>12</v>
      </c>
      <c r="D332" s="14" t="s">
        <v>13</v>
      </c>
      <c r="E332" s="14" t="s">
        <v>165</v>
      </c>
      <c r="F332" s="14" t="s">
        <v>15</v>
      </c>
      <c r="G332" s="14" t="s">
        <v>28</v>
      </c>
      <c r="H332" s="14">
        <v>42446</v>
      </c>
      <c r="I332" s="14">
        <v>111484</v>
      </c>
      <c r="J332" s="14" t="s">
        <v>89</v>
      </c>
      <c r="K332" s="14" t="str">
        <f>A332&amp;B332&amp;C332&amp;D332&amp;E332&amp;F332&amp;G332&amp;H332&amp;I332&amp;J332&amp;[1]Sheet1!$G$5</f>
        <v>E0331Shawon AminFemaleSalesAccount ExecutiveFull-timeRemote42446111484E0783Sylhet</v>
      </c>
      <c r="L332" s="14">
        <f t="shared" si="15"/>
        <v>134047</v>
      </c>
      <c r="M332" s="14">
        <f ca="1" t="shared" si="16"/>
        <v>10</v>
      </c>
      <c r="N332" s="15" t="str">
        <f ca="1" t="shared" si="17"/>
        <v>Experienced</v>
      </c>
    </row>
    <row r="333" spans="1:14">
      <c r="A333" s="16" t="s">
        <v>772</v>
      </c>
      <c r="B333" s="17" t="s">
        <v>463</v>
      </c>
      <c r="C333" s="17" t="s">
        <v>19</v>
      </c>
      <c r="D333" s="17" t="s">
        <v>26</v>
      </c>
      <c r="E333" s="17" t="s">
        <v>294</v>
      </c>
      <c r="F333" s="17" t="s">
        <v>15</v>
      </c>
      <c r="G333" s="17" t="s">
        <v>16</v>
      </c>
      <c r="H333" s="17">
        <v>44253</v>
      </c>
      <c r="I333" s="17">
        <v>105193</v>
      </c>
      <c r="J333" s="17" t="s">
        <v>773</v>
      </c>
      <c r="K333" s="17" t="str">
        <f>A333&amp;B333&amp;C333&amp;D333&amp;E333&amp;F333&amp;G333&amp;H333&amp;I333&amp;J333&amp;[1]Sheet1!$G$5</f>
        <v>E0332Ovi RahmanMaleFinanceSenior Financial AnalystFull-timeKhulna44253105193E0845Sylhet</v>
      </c>
      <c r="L333" s="17">
        <f t="shared" si="15"/>
        <v>134281</v>
      </c>
      <c r="M333" s="17">
        <f ca="1" t="shared" si="16"/>
        <v>5</v>
      </c>
      <c r="N333" s="18" t="str">
        <f ca="1" t="shared" si="17"/>
        <v>Mid level</v>
      </c>
    </row>
    <row r="334" spans="1:14">
      <c r="A334" s="13" t="s">
        <v>774</v>
      </c>
      <c r="B334" s="14" t="s">
        <v>775</v>
      </c>
      <c r="C334" s="14" t="s">
        <v>12</v>
      </c>
      <c r="D334" s="14" t="s">
        <v>38</v>
      </c>
      <c r="E334" s="14" t="s">
        <v>66</v>
      </c>
      <c r="F334" s="14" t="s">
        <v>15</v>
      </c>
      <c r="G334" s="14" t="s">
        <v>34</v>
      </c>
      <c r="H334" s="14">
        <v>42688</v>
      </c>
      <c r="I334" s="14">
        <v>220613</v>
      </c>
      <c r="J334" s="14" t="s">
        <v>436</v>
      </c>
      <c r="K334" s="14" t="str">
        <f>A334&amp;B334&amp;C334&amp;D334&amp;E334&amp;F334&amp;G334&amp;H334&amp;I334&amp;J334&amp;[1]Sheet1!$G$5</f>
        <v>E0333Tania ShahFemaleEngineeringSoftware EngineerFull-timeSylhet42688220613E0152Sylhet</v>
      </c>
      <c r="L334" s="14">
        <f t="shared" si="15"/>
        <v>134308</v>
      </c>
      <c r="M334" s="14">
        <f ca="1" t="shared" si="16"/>
        <v>9</v>
      </c>
      <c r="N334" s="15" t="str">
        <f ca="1" t="shared" si="17"/>
        <v>Experienced</v>
      </c>
    </row>
    <row r="335" spans="1:14">
      <c r="A335" s="16" t="s">
        <v>776</v>
      </c>
      <c r="B335" s="17" t="s">
        <v>396</v>
      </c>
      <c r="C335" s="17" t="s">
        <v>19</v>
      </c>
      <c r="D335" s="17" t="s">
        <v>38</v>
      </c>
      <c r="E335" s="17" t="s">
        <v>84</v>
      </c>
      <c r="F335" s="17" t="s">
        <v>48</v>
      </c>
      <c r="G335" s="17" t="s">
        <v>28</v>
      </c>
      <c r="H335" s="17">
        <v>45901</v>
      </c>
      <c r="I335" s="17">
        <v>214751</v>
      </c>
      <c r="J335" s="17" t="s">
        <v>570</v>
      </c>
      <c r="K335" s="17" t="str">
        <f>A335&amp;B335&amp;C335&amp;D335&amp;E335&amp;F335&amp;G335&amp;H335&amp;I335&amp;J335&amp;[1]Sheet1!$G$5</f>
        <v>E0334Lamia HaiderMaleEngineeringEngineering ManagerContractRemote45901214751E0533Sylhet</v>
      </c>
      <c r="L335" s="17">
        <f t="shared" si="15"/>
        <v>134281</v>
      </c>
      <c r="M335" s="17">
        <f ca="1" t="shared" si="16"/>
        <v>0</v>
      </c>
      <c r="N335" s="18" t="str">
        <f ca="1" t="shared" si="17"/>
        <v>New</v>
      </c>
    </row>
    <row r="336" spans="1:14">
      <c r="A336" s="13" t="s">
        <v>777</v>
      </c>
      <c r="B336" s="14" t="s">
        <v>778</v>
      </c>
      <c r="C336" s="14" t="s">
        <v>12</v>
      </c>
      <c r="D336" s="14" t="s">
        <v>38</v>
      </c>
      <c r="E336" s="14" t="s">
        <v>84</v>
      </c>
      <c r="F336" s="14" t="s">
        <v>15</v>
      </c>
      <c r="G336" s="14" t="s">
        <v>28</v>
      </c>
      <c r="H336" s="14">
        <v>43652</v>
      </c>
      <c r="I336" s="14">
        <v>166907</v>
      </c>
      <c r="J336" s="14" t="s">
        <v>776</v>
      </c>
      <c r="K336" s="14" t="str">
        <f>A336&amp;B336&amp;C336&amp;D336&amp;E336&amp;F336&amp;G336&amp;H336&amp;I336&amp;J336&amp;[1]Sheet1!$G$5</f>
        <v>E0335Arif AnjumFemaleEngineeringEngineering ManagerFull-timeRemote43652166907E0334Sylhet</v>
      </c>
      <c r="L336" s="14">
        <f t="shared" si="15"/>
        <v>134047</v>
      </c>
      <c r="M336" s="14">
        <f ca="1" t="shared" si="16"/>
        <v>6</v>
      </c>
      <c r="N336" s="15" t="str">
        <f ca="1" t="shared" si="17"/>
        <v>Experienced</v>
      </c>
    </row>
    <row r="337" spans="1:14">
      <c r="A337" s="16" t="s">
        <v>779</v>
      </c>
      <c r="B337" s="17" t="s">
        <v>597</v>
      </c>
      <c r="C337" s="17" t="s">
        <v>12</v>
      </c>
      <c r="D337" s="17" t="s">
        <v>38</v>
      </c>
      <c r="E337" s="17" t="s">
        <v>44</v>
      </c>
      <c r="F337" s="17" t="s">
        <v>15</v>
      </c>
      <c r="G337" s="17" t="s">
        <v>62</v>
      </c>
      <c r="H337" s="17">
        <v>44728</v>
      </c>
      <c r="I337" s="17">
        <v>146147</v>
      </c>
      <c r="J337" s="17" t="s">
        <v>464</v>
      </c>
      <c r="K337" s="17" t="str">
        <f>A337&amp;B337&amp;C337&amp;D337&amp;E337&amp;F337&amp;G337&amp;H337&amp;I337&amp;J337&amp;[1]Sheet1!$G$5</f>
        <v>E0336Farhan SultanaFemaleEngineeringQA EngineerFull-timeChattogram44728146147E0656Sylhet</v>
      </c>
      <c r="L337" s="17">
        <f t="shared" si="15"/>
        <v>133813</v>
      </c>
      <c r="M337" s="17">
        <f ca="1" t="shared" si="16"/>
        <v>3</v>
      </c>
      <c r="N337" s="18" t="str">
        <f ca="1" t="shared" si="17"/>
        <v>Mid level</v>
      </c>
    </row>
    <row r="338" spans="1:14">
      <c r="A338" s="13" t="s">
        <v>780</v>
      </c>
      <c r="B338" s="14" t="s">
        <v>781</v>
      </c>
      <c r="C338" s="14" t="s">
        <v>19</v>
      </c>
      <c r="D338" s="14" t="s">
        <v>52</v>
      </c>
      <c r="E338" s="14" t="s">
        <v>246</v>
      </c>
      <c r="F338" s="14" t="s">
        <v>15</v>
      </c>
      <c r="G338" s="14" t="s">
        <v>94</v>
      </c>
      <c r="H338" s="14">
        <v>44128</v>
      </c>
      <c r="I338" s="14">
        <v>75475</v>
      </c>
      <c r="J338" s="14" t="s">
        <v>782</v>
      </c>
      <c r="K338" s="14" t="str">
        <f>A338&amp;B338&amp;C338&amp;D338&amp;E338&amp;F338&amp;G338&amp;H338&amp;I338&amp;J338&amp;[1]Sheet1!$G$5</f>
        <v>E0337Zahid HaiderMaleOperationsOperations AssociateFull-timeRajshahi4412875475E0749Sylhet</v>
      </c>
      <c r="L338" s="14">
        <f t="shared" si="15"/>
        <v>133779.5</v>
      </c>
      <c r="M338" s="14">
        <f ca="1" t="shared" si="16"/>
        <v>5</v>
      </c>
      <c r="N338" s="15" t="str">
        <f ca="1" t="shared" si="17"/>
        <v>Mid level</v>
      </c>
    </row>
    <row r="339" spans="1:14">
      <c r="A339" s="16" t="s">
        <v>783</v>
      </c>
      <c r="B339" s="17" t="s">
        <v>784</v>
      </c>
      <c r="C339" s="17" t="s">
        <v>12</v>
      </c>
      <c r="D339" s="17" t="s">
        <v>26</v>
      </c>
      <c r="E339" s="17" t="s">
        <v>294</v>
      </c>
      <c r="F339" s="17" t="s">
        <v>15</v>
      </c>
      <c r="G339" s="17" t="s">
        <v>16</v>
      </c>
      <c r="H339" s="17">
        <v>44718</v>
      </c>
      <c r="I339" s="17">
        <v>202663</v>
      </c>
      <c r="J339" s="17"/>
      <c r="K339" s="17" t="str">
        <f>A339&amp;B339&amp;C339&amp;D339&amp;E339&amp;F339&amp;G339&amp;H339&amp;I339&amp;J339&amp;[1]Sheet1!$G$5</f>
        <v>E0338Noman AlamFemaleFinanceSenior Financial AnalystFull-timeKhulna44718202663Sylhet</v>
      </c>
      <c r="L339" s="17">
        <f t="shared" si="15"/>
        <v>133813</v>
      </c>
      <c r="M339" s="17">
        <f ca="1" t="shared" si="16"/>
        <v>3</v>
      </c>
      <c r="N339" s="18" t="str">
        <f ca="1" t="shared" si="17"/>
        <v>Mid level</v>
      </c>
    </row>
    <row r="340" spans="1:14">
      <c r="A340" s="13" t="s">
        <v>785</v>
      </c>
      <c r="B340" s="14" t="s">
        <v>261</v>
      </c>
      <c r="C340" s="14" t="s">
        <v>19</v>
      </c>
      <c r="D340" s="14" t="s">
        <v>92</v>
      </c>
      <c r="E340" s="14" t="s">
        <v>189</v>
      </c>
      <c r="F340" s="14" t="s">
        <v>15</v>
      </c>
      <c r="G340" s="14" t="s">
        <v>16</v>
      </c>
      <c r="H340" s="14">
        <v>44026</v>
      </c>
      <c r="I340" s="14">
        <v>59142</v>
      </c>
      <c r="J340" s="14" t="s">
        <v>786</v>
      </c>
      <c r="K340" s="14" t="str">
        <f>A340&amp;B340&amp;C340&amp;D340&amp;E340&amp;F340&amp;G340&amp;H340&amp;I340&amp;J340&amp;[1]Sheet1!$G$5</f>
        <v>E0339Shawon AlamMaleMarketingMarketing AssociateFull-timeKhulna4402659142E0668Sylhet</v>
      </c>
      <c r="L340" s="14">
        <f t="shared" si="15"/>
        <v>133779.5</v>
      </c>
      <c r="M340" s="14">
        <f ca="1" t="shared" si="16"/>
        <v>5</v>
      </c>
      <c r="N340" s="15" t="str">
        <f ca="1" t="shared" si="17"/>
        <v>Mid level</v>
      </c>
    </row>
    <row r="341" spans="1:14">
      <c r="A341" s="16" t="s">
        <v>787</v>
      </c>
      <c r="B341" s="17" t="s">
        <v>788</v>
      </c>
      <c r="C341" s="17" t="s">
        <v>19</v>
      </c>
      <c r="D341" s="17" t="s">
        <v>38</v>
      </c>
      <c r="E341" s="17" t="s">
        <v>77</v>
      </c>
      <c r="F341" s="17" t="s">
        <v>15</v>
      </c>
      <c r="G341" s="17" t="s">
        <v>28</v>
      </c>
      <c r="H341" s="17">
        <v>45276</v>
      </c>
      <c r="I341" s="17">
        <v>79373</v>
      </c>
      <c r="J341" s="17"/>
      <c r="K341" s="17" t="str">
        <f>A341&amp;B341&amp;C341&amp;D341&amp;E341&amp;F341&amp;G341&amp;H341&amp;I341&amp;J341&amp;[1]Sheet1!$G$5</f>
        <v>E0340Imran RanaMaleEngineeringJunior Software EngineerFull-timeRemote4527679373Sylhet</v>
      </c>
      <c r="L341" s="17">
        <f t="shared" si="15"/>
        <v>133813</v>
      </c>
      <c r="M341" s="17">
        <f ca="1" t="shared" si="16"/>
        <v>2</v>
      </c>
      <c r="N341" s="18" t="str">
        <f ca="1" t="shared" si="17"/>
        <v>New</v>
      </c>
    </row>
    <row r="342" spans="1:14">
      <c r="A342" s="13" t="s">
        <v>789</v>
      </c>
      <c r="B342" s="14" t="s">
        <v>790</v>
      </c>
      <c r="C342" s="14" t="s">
        <v>12</v>
      </c>
      <c r="D342" s="14" t="s">
        <v>92</v>
      </c>
      <c r="E342" s="14" t="s">
        <v>391</v>
      </c>
      <c r="F342" s="14" t="s">
        <v>15</v>
      </c>
      <c r="G342" s="14" t="s">
        <v>40</v>
      </c>
      <c r="H342" s="14">
        <v>44992</v>
      </c>
      <c r="I342" s="14">
        <v>70398</v>
      </c>
      <c r="J342" s="14"/>
      <c r="K342" s="14" t="str">
        <f>A342&amp;B342&amp;C342&amp;D342&amp;E342&amp;F342&amp;G342&amp;H342&amp;I342&amp;J342&amp;[1]Sheet1!$G$5</f>
        <v>E0341Tania AlamFemaleMarketingContent SpecialistFull-timeDhaka4499270398Sylhet</v>
      </c>
      <c r="L342" s="14">
        <f t="shared" si="15"/>
        <v>134047</v>
      </c>
      <c r="M342" s="14">
        <f ca="1" t="shared" si="16"/>
        <v>3</v>
      </c>
      <c r="N342" s="15" t="str">
        <f ca="1" t="shared" si="17"/>
        <v>Mid level</v>
      </c>
    </row>
    <row r="343" spans="1:14">
      <c r="A343" s="16" t="s">
        <v>791</v>
      </c>
      <c r="B343" s="17" t="s">
        <v>792</v>
      </c>
      <c r="C343" s="17" t="s">
        <v>19</v>
      </c>
      <c r="D343" s="17" t="s">
        <v>92</v>
      </c>
      <c r="E343" s="17" t="s">
        <v>391</v>
      </c>
      <c r="F343" s="17" t="s">
        <v>15</v>
      </c>
      <c r="G343" s="17" t="s">
        <v>16</v>
      </c>
      <c r="H343" s="17">
        <v>44080</v>
      </c>
      <c r="I343" s="17">
        <v>80395</v>
      </c>
      <c r="J343" s="17" t="s">
        <v>29</v>
      </c>
      <c r="K343" s="17" t="str">
        <f>A343&amp;B343&amp;C343&amp;D343&amp;E343&amp;F343&amp;G343&amp;H343&amp;I343&amp;J343&amp;[1]Sheet1!$G$5</f>
        <v>E0342Nafiz ParvinMaleMarketingContent SpecialistFull-timeKhulna4408080395E0990Sylhet</v>
      </c>
      <c r="L343" s="17">
        <f t="shared" si="15"/>
        <v>134281</v>
      </c>
      <c r="M343" s="17">
        <f ca="1" t="shared" si="16"/>
        <v>5</v>
      </c>
      <c r="N343" s="18" t="str">
        <f ca="1" t="shared" si="17"/>
        <v>Mid level</v>
      </c>
    </row>
    <row r="344" spans="1:14">
      <c r="A344" s="13" t="s">
        <v>793</v>
      </c>
      <c r="B344" s="14" t="s">
        <v>794</v>
      </c>
      <c r="C344" s="14" t="s">
        <v>19</v>
      </c>
      <c r="D344" s="14" t="s">
        <v>38</v>
      </c>
      <c r="E344" s="14" t="s">
        <v>39</v>
      </c>
      <c r="F344" s="14" t="s">
        <v>15</v>
      </c>
      <c r="G344" s="14" t="s">
        <v>28</v>
      </c>
      <c r="H344" s="14">
        <v>43555</v>
      </c>
      <c r="I344" s="14">
        <v>177426</v>
      </c>
      <c r="J344" s="14" t="s">
        <v>275</v>
      </c>
      <c r="K344" s="14" t="str">
        <f>A344&amp;B344&amp;C344&amp;D344&amp;E344&amp;F344&amp;G344&amp;H344&amp;I344&amp;J344&amp;[1]Sheet1!$G$5</f>
        <v>E0343Mitu AkterMaleEngineeringDevOps EngineerFull-timeRemote43555177426E0081Sylhet</v>
      </c>
      <c r="L344" s="14">
        <f t="shared" si="15"/>
        <v>134308</v>
      </c>
      <c r="M344" s="14">
        <f ca="1" t="shared" si="16"/>
        <v>6</v>
      </c>
      <c r="N344" s="15" t="str">
        <f ca="1" t="shared" si="17"/>
        <v>Experienced</v>
      </c>
    </row>
    <row r="345" spans="1:14">
      <c r="A345" s="16" t="s">
        <v>795</v>
      </c>
      <c r="B345" s="17" t="s">
        <v>211</v>
      </c>
      <c r="C345" s="17" t="s">
        <v>19</v>
      </c>
      <c r="D345" s="17" t="s">
        <v>13</v>
      </c>
      <c r="E345" s="17" t="s">
        <v>223</v>
      </c>
      <c r="F345" s="17" t="s">
        <v>15</v>
      </c>
      <c r="G345" s="17" t="s">
        <v>94</v>
      </c>
      <c r="H345" s="17">
        <v>42841</v>
      </c>
      <c r="I345" s="17">
        <v>110823</v>
      </c>
      <c r="J345" s="17"/>
      <c r="K345" s="17" t="str">
        <f>A345&amp;B345&amp;C345&amp;D345&amp;E345&amp;F345&amp;G345&amp;H345&amp;I345&amp;J345&amp;[1]Sheet1!$G$5</f>
        <v>E0344Sadia RasheedMaleSalesSenior Account ExecutiveFull-timeRajshahi42841110823Sylhet</v>
      </c>
      <c r="L345" s="17">
        <f t="shared" si="15"/>
        <v>134281</v>
      </c>
      <c r="M345" s="17">
        <f ca="1" t="shared" si="16"/>
        <v>8</v>
      </c>
      <c r="N345" s="18" t="str">
        <f ca="1" t="shared" si="17"/>
        <v>Experienced</v>
      </c>
    </row>
    <row r="346" spans="1:14">
      <c r="A346" s="13" t="s">
        <v>796</v>
      </c>
      <c r="B346" s="14" t="s">
        <v>603</v>
      </c>
      <c r="C346" s="14" t="s">
        <v>19</v>
      </c>
      <c r="D346" s="14" t="s">
        <v>13</v>
      </c>
      <c r="E346" s="14" t="s">
        <v>223</v>
      </c>
      <c r="F346" s="14" t="s">
        <v>15</v>
      </c>
      <c r="G346" s="14" t="s">
        <v>94</v>
      </c>
      <c r="H346" s="14">
        <v>44029</v>
      </c>
      <c r="I346" s="14">
        <v>220957</v>
      </c>
      <c r="J346" s="14" t="s">
        <v>262</v>
      </c>
      <c r="K346" s="14" t="str">
        <f>A346&amp;B346&amp;C346&amp;D346&amp;E346&amp;F346&amp;G346&amp;H346&amp;I346&amp;J346&amp;[1]Sheet1!$G$5</f>
        <v>E0345Shawon SarkerMaleSalesSenior Account ExecutiveFull-timeRajshahi44029220957E0075Sylhet</v>
      </c>
      <c r="L346" s="14">
        <f t="shared" si="15"/>
        <v>134308</v>
      </c>
      <c r="M346" s="14">
        <f ca="1" t="shared" si="16"/>
        <v>5</v>
      </c>
      <c r="N346" s="15" t="str">
        <f ca="1" t="shared" si="17"/>
        <v>Mid level</v>
      </c>
    </row>
    <row r="347" spans="1:14">
      <c r="A347" s="16" t="s">
        <v>797</v>
      </c>
      <c r="B347" s="17" t="s">
        <v>798</v>
      </c>
      <c r="C347" s="17" t="s">
        <v>12</v>
      </c>
      <c r="D347" s="17" t="s">
        <v>32</v>
      </c>
      <c r="E347" s="17" t="s">
        <v>130</v>
      </c>
      <c r="F347" s="17" t="s">
        <v>15</v>
      </c>
      <c r="G347" s="17" t="s">
        <v>62</v>
      </c>
      <c r="H347" s="17">
        <v>42455</v>
      </c>
      <c r="I347" s="17">
        <v>106259</v>
      </c>
      <c r="J347" s="17" t="s">
        <v>799</v>
      </c>
      <c r="K347" s="17" t="str">
        <f>A347&amp;B347&amp;C347&amp;D347&amp;E347&amp;F347&amp;G347&amp;H347&amp;I347&amp;J347&amp;[1]Sheet1!$G$5</f>
        <v>E0346Shawon RasheedFemaleHRRecruiterFull-timeChattogram42455106259E0772Sylhet</v>
      </c>
      <c r="L347" s="17">
        <f t="shared" si="15"/>
        <v>134281</v>
      </c>
      <c r="M347" s="17">
        <f ca="1" t="shared" si="16"/>
        <v>9</v>
      </c>
      <c r="N347" s="18" t="str">
        <f ca="1" t="shared" si="17"/>
        <v>Experienced</v>
      </c>
    </row>
    <row r="348" spans="1:14">
      <c r="A348" s="13" t="s">
        <v>800</v>
      </c>
      <c r="B348" s="14" t="s">
        <v>801</v>
      </c>
      <c r="C348" s="14" t="s">
        <v>12</v>
      </c>
      <c r="D348" s="14" t="s">
        <v>32</v>
      </c>
      <c r="E348" s="14" t="s">
        <v>130</v>
      </c>
      <c r="F348" s="14" t="s">
        <v>15</v>
      </c>
      <c r="G348" s="14" t="s">
        <v>28</v>
      </c>
      <c r="H348" s="14">
        <v>43700</v>
      </c>
      <c r="I348" s="14">
        <v>126480</v>
      </c>
      <c r="J348" s="14" t="s">
        <v>74</v>
      </c>
      <c r="K348" s="14" t="str">
        <f>A348&amp;B348&amp;C348&amp;D348&amp;E348&amp;F348&amp;G348&amp;H348&amp;I348&amp;J348&amp;[1]Sheet1!$G$5</f>
        <v>E0347Sajid SadiqFemaleHRRecruiterFull-timeRemote43700126480E0396Sylhet</v>
      </c>
      <c r="L348" s="14">
        <f t="shared" si="15"/>
        <v>134308</v>
      </c>
      <c r="M348" s="14">
        <f ca="1" t="shared" si="16"/>
        <v>6</v>
      </c>
      <c r="N348" s="15" t="str">
        <f ca="1" t="shared" si="17"/>
        <v>Experienced</v>
      </c>
    </row>
    <row r="349" spans="1:14">
      <c r="A349" s="16" t="s">
        <v>802</v>
      </c>
      <c r="B349" s="17" t="s">
        <v>116</v>
      </c>
      <c r="C349" s="17" t="s">
        <v>19</v>
      </c>
      <c r="D349" s="17" t="s">
        <v>38</v>
      </c>
      <c r="E349" s="17" t="s">
        <v>66</v>
      </c>
      <c r="F349" s="17" t="s">
        <v>15</v>
      </c>
      <c r="G349" s="17" t="s">
        <v>28</v>
      </c>
      <c r="H349" s="17">
        <v>43073</v>
      </c>
      <c r="I349" s="17">
        <v>181290</v>
      </c>
      <c r="J349" s="17" t="s">
        <v>601</v>
      </c>
      <c r="K349" s="17" t="str">
        <f>A349&amp;B349&amp;C349&amp;D349&amp;E349&amp;F349&amp;G349&amp;H349&amp;I349&amp;J349&amp;[1]Sheet1!$G$5</f>
        <v>E0348Fahim AminMaleEngineeringSoftware EngineerFull-timeRemote43073181290E0543Sylhet</v>
      </c>
      <c r="L349" s="17">
        <f t="shared" si="15"/>
        <v>134335</v>
      </c>
      <c r="M349" s="17">
        <f ca="1" t="shared" si="16"/>
        <v>8</v>
      </c>
      <c r="N349" s="18" t="str">
        <f ca="1" t="shared" si="17"/>
        <v>Experienced</v>
      </c>
    </row>
    <row r="350" spans="1:14">
      <c r="A350" s="13" t="s">
        <v>803</v>
      </c>
      <c r="B350" s="14" t="s">
        <v>798</v>
      </c>
      <c r="C350" s="14" t="s">
        <v>12</v>
      </c>
      <c r="D350" s="14" t="s">
        <v>13</v>
      </c>
      <c r="E350" s="14" t="s">
        <v>98</v>
      </c>
      <c r="F350" s="14" t="s">
        <v>15</v>
      </c>
      <c r="G350" s="14" t="s">
        <v>34</v>
      </c>
      <c r="H350" s="14">
        <v>45652</v>
      </c>
      <c r="I350" s="14">
        <v>235921</v>
      </c>
      <c r="J350" s="14" t="s">
        <v>671</v>
      </c>
      <c r="K350" s="14" t="str">
        <f>A350&amp;B350&amp;C350&amp;D350&amp;E350&amp;F350&amp;G350&amp;H350&amp;I350&amp;J350&amp;[1]Sheet1!$G$5</f>
        <v>E0349Shawon RasheedFemaleSalesSales ManagerFull-timeSylhet45652235921E0642Sylhet</v>
      </c>
      <c r="L350" s="14">
        <f t="shared" si="15"/>
        <v>134308</v>
      </c>
      <c r="M350" s="14">
        <f ca="1" t="shared" si="16"/>
        <v>1</v>
      </c>
      <c r="N350" s="15" t="str">
        <f ca="1" t="shared" si="17"/>
        <v>New</v>
      </c>
    </row>
    <row r="351" spans="1:14">
      <c r="A351" s="16" t="s">
        <v>804</v>
      </c>
      <c r="B351" s="17" t="s">
        <v>805</v>
      </c>
      <c r="C351" s="17" t="s">
        <v>19</v>
      </c>
      <c r="D351" s="17" t="s">
        <v>32</v>
      </c>
      <c r="E351" s="17" t="s">
        <v>57</v>
      </c>
      <c r="F351" s="17" t="s">
        <v>15</v>
      </c>
      <c r="G351" s="17" t="s">
        <v>62</v>
      </c>
      <c r="H351" s="17">
        <v>44901</v>
      </c>
      <c r="I351" s="17">
        <v>57356</v>
      </c>
      <c r="J351" s="17"/>
      <c r="K351" s="17" t="str">
        <f>A351&amp;B351&amp;C351&amp;D351&amp;E351&amp;F351&amp;G351&amp;H351&amp;I351&amp;J351&amp;[1]Sheet1!$G$5</f>
        <v>E0350Nabila ChowdhuryMaleHRHR AssociateFull-timeChattogram4490157356Sylhet</v>
      </c>
      <c r="L351" s="17">
        <f t="shared" si="15"/>
        <v>134281</v>
      </c>
      <c r="M351" s="17">
        <f ca="1" t="shared" si="16"/>
        <v>3</v>
      </c>
      <c r="N351" s="18" t="str">
        <f ca="1" t="shared" si="17"/>
        <v>Mid level</v>
      </c>
    </row>
    <row r="352" spans="1:14">
      <c r="A352" s="13" t="s">
        <v>806</v>
      </c>
      <c r="B352" s="14" t="s">
        <v>424</v>
      </c>
      <c r="C352" s="14" t="s">
        <v>146</v>
      </c>
      <c r="D352" s="14" t="s">
        <v>92</v>
      </c>
      <c r="E352" s="14" t="s">
        <v>193</v>
      </c>
      <c r="F352" s="14" t="s">
        <v>15</v>
      </c>
      <c r="G352" s="14" t="s">
        <v>34</v>
      </c>
      <c r="H352" s="14">
        <v>44254</v>
      </c>
      <c r="I352" s="14">
        <v>132366</v>
      </c>
      <c r="J352" s="14" t="s">
        <v>250</v>
      </c>
      <c r="K352" s="14" t="str">
        <f>A352&amp;B352&amp;C352&amp;D352&amp;E352&amp;F352&amp;G352&amp;H352&amp;I352&amp;J352&amp;[1]Sheet1!$G$5</f>
        <v>E0351Shawon TalukderNon-binaryMarketingMarketing ManagerFull-timeSylhet44254132366E0159Sylhet</v>
      </c>
      <c r="L352" s="14">
        <f t="shared" si="15"/>
        <v>134308</v>
      </c>
      <c r="M352" s="14">
        <f ca="1" t="shared" si="16"/>
        <v>5</v>
      </c>
      <c r="N352" s="15" t="str">
        <f ca="1" t="shared" si="17"/>
        <v>Mid level</v>
      </c>
    </row>
    <row r="353" spans="1:14">
      <c r="A353" s="16" t="s">
        <v>807</v>
      </c>
      <c r="B353" s="17" t="s">
        <v>808</v>
      </c>
      <c r="C353" s="17" t="s">
        <v>19</v>
      </c>
      <c r="D353" s="17" t="s">
        <v>52</v>
      </c>
      <c r="E353" s="17" t="s">
        <v>120</v>
      </c>
      <c r="F353" s="17" t="s">
        <v>15</v>
      </c>
      <c r="G353" s="17" t="s">
        <v>40</v>
      </c>
      <c r="H353" s="17">
        <v>45777</v>
      </c>
      <c r="I353" s="17">
        <v>99779</v>
      </c>
      <c r="J353" s="17" t="s">
        <v>627</v>
      </c>
      <c r="K353" s="17" t="str">
        <f>A353&amp;B353&amp;C353&amp;D353&amp;E353&amp;F353&amp;G353&amp;H353&amp;I353&amp;J353&amp;[1]Sheet1!$G$5</f>
        <v>E0352Ayesha RasheedMaleOperationsSupply Chain AnalystFull-timeDhaka4577799779E0448Sylhet</v>
      </c>
      <c r="L353" s="17">
        <f t="shared" si="15"/>
        <v>134335</v>
      </c>
      <c r="M353" s="17">
        <f ca="1" t="shared" si="16"/>
        <v>0</v>
      </c>
      <c r="N353" s="18" t="str">
        <f ca="1" t="shared" si="17"/>
        <v>New</v>
      </c>
    </row>
    <row r="354" spans="1:14">
      <c r="A354" s="13" t="s">
        <v>809</v>
      </c>
      <c r="B354" s="14" t="s">
        <v>810</v>
      </c>
      <c r="C354" s="14" t="s">
        <v>12</v>
      </c>
      <c r="D354" s="14" t="s">
        <v>32</v>
      </c>
      <c r="E354" s="14" t="s">
        <v>130</v>
      </c>
      <c r="F354" s="14" t="s">
        <v>15</v>
      </c>
      <c r="G354" s="14" t="s">
        <v>62</v>
      </c>
      <c r="H354" s="14">
        <v>45194</v>
      </c>
      <c r="I354" s="14">
        <v>107395</v>
      </c>
      <c r="J354" s="14"/>
      <c r="K354" s="14" t="str">
        <f>A354&amp;B354&amp;C354&amp;D354&amp;E354&amp;F354&amp;G354&amp;H354&amp;I354&amp;J354&amp;[1]Sheet1!$G$5</f>
        <v>E0353Ayesha FerdousFemaleHRRecruiterFull-timeChattogram45194107395Sylhet</v>
      </c>
      <c r="L354" s="14">
        <f t="shared" si="15"/>
        <v>134588.5</v>
      </c>
      <c r="M354" s="14">
        <f ca="1" t="shared" si="16"/>
        <v>2</v>
      </c>
      <c r="N354" s="15" t="str">
        <f ca="1" t="shared" si="17"/>
        <v>New</v>
      </c>
    </row>
    <row r="355" spans="1:14">
      <c r="A355" s="16" t="s">
        <v>811</v>
      </c>
      <c r="B355" s="17" t="s">
        <v>812</v>
      </c>
      <c r="C355" s="17" t="s">
        <v>19</v>
      </c>
      <c r="D355" s="17" t="s">
        <v>38</v>
      </c>
      <c r="E355" s="17" t="s">
        <v>44</v>
      </c>
      <c r="F355" s="17" t="s">
        <v>15</v>
      </c>
      <c r="G355" s="17" t="s">
        <v>62</v>
      </c>
      <c r="H355" s="17">
        <v>43852</v>
      </c>
      <c r="I355" s="17">
        <v>168443</v>
      </c>
      <c r="J355" s="17" t="s">
        <v>813</v>
      </c>
      <c r="K355" s="17" t="str">
        <f>A355&amp;B355&amp;C355&amp;D355&amp;E355&amp;F355&amp;G355&amp;H355&amp;I355&amp;J355&amp;[1]Sheet1!$G$5</f>
        <v>E0354Karim AhmedMaleEngineeringQA EngineerFull-timeChattogram43852168443E0991Sylhet</v>
      </c>
      <c r="L355" s="17">
        <f t="shared" si="15"/>
        <v>134842</v>
      </c>
      <c r="M355" s="17">
        <f ca="1" t="shared" si="16"/>
        <v>6</v>
      </c>
      <c r="N355" s="18" t="str">
        <f ca="1" t="shared" si="17"/>
        <v>Experienced</v>
      </c>
    </row>
    <row r="356" spans="1:14">
      <c r="A356" s="13" t="s">
        <v>814</v>
      </c>
      <c r="B356" s="14" t="s">
        <v>815</v>
      </c>
      <c r="C356" s="14" t="s">
        <v>146</v>
      </c>
      <c r="D356" s="14" t="s">
        <v>38</v>
      </c>
      <c r="E356" s="14" t="s">
        <v>140</v>
      </c>
      <c r="F356" s="14" t="s">
        <v>15</v>
      </c>
      <c r="G356" s="14" t="s">
        <v>94</v>
      </c>
      <c r="H356" s="14">
        <v>42730</v>
      </c>
      <c r="I356" s="14">
        <v>284119</v>
      </c>
      <c r="J356" s="14" t="s">
        <v>169</v>
      </c>
      <c r="K356" s="14" t="str">
        <f>A356&amp;B356&amp;C356&amp;D356&amp;E356&amp;F356&amp;G356&amp;H356&amp;I356&amp;J356&amp;[1]Sheet1!$G$5</f>
        <v>E0355Farhan KhanNon-binaryEngineeringSenior Software EngineerFull-timeRajshahi42730284119E0251Sylhet</v>
      </c>
      <c r="L356" s="14">
        <f t="shared" si="15"/>
        <v>134588.5</v>
      </c>
      <c r="M356" s="14">
        <f ca="1" t="shared" si="16"/>
        <v>9</v>
      </c>
      <c r="N356" s="15" t="str">
        <f ca="1" t="shared" si="17"/>
        <v>Experienced</v>
      </c>
    </row>
    <row r="357" spans="1:14">
      <c r="A357" s="16" t="s">
        <v>131</v>
      </c>
      <c r="B357" s="17" t="s">
        <v>252</v>
      </c>
      <c r="C357" s="17" t="s">
        <v>19</v>
      </c>
      <c r="D357" s="17" t="s">
        <v>32</v>
      </c>
      <c r="E357" s="17" t="s">
        <v>208</v>
      </c>
      <c r="F357" s="17" t="s">
        <v>15</v>
      </c>
      <c r="G357" s="17" t="s">
        <v>40</v>
      </c>
      <c r="H357" s="17">
        <v>44158</v>
      </c>
      <c r="I357" s="17">
        <v>89306</v>
      </c>
      <c r="J357" s="17" t="s">
        <v>166</v>
      </c>
      <c r="K357" s="17" t="str">
        <f>A357&amp;B357&amp;C357&amp;D357&amp;E357&amp;F357&amp;G357&amp;H357&amp;I357&amp;J357&amp;[1]Sheet1!$G$5</f>
        <v>E0356Mahin KhanMaleHRHR ManagerFull-timeDhaka4415889306E0849Sylhet</v>
      </c>
      <c r="L357" s="17">
        <f t="shared" si="15"/>
        <v>134335</v>
      </c>
      <c r="M357" s="17">
        <f ca="1" t="shared" si="16"/>
        <v>5</v>
      </c>
      <c r="N357" s="18" t="str">
        <f ca="1" t="shared" si="17"/>
        <v>Mid level</v>
      </c>
    </row>
    <row r="358" spans="1:14">
      <c r="A358" s="13" t="s">
        <v>412</v>
      </c>
      <c r="B358" s="14" t="s">
        <v>707</v>
      </c>
      <c r="C358" s="14" t="s">
        <v>12</v>
      </c>
      <c r="D358" s="14" t="s">
        <v>38</v>
      </c>
      <c r="E358" s="14" t="s">
        <v>84</v>
      </c>
      <c r="F358" s="14" t="s">
        <v>15</v>
      </c>
      <c r="G358" s="14" t="s">
        <v>28</v>
      </c>
      <c r="H358" s="14">
        <v>45829</v>
      </c>
      <c r="I358" s="14">
        <v>150615</v>
      </c>
      <c r="J358" s="14" t="s">
        <v>601</v>
      </c>
      <c r="K358" s="14" t="str">
        <f>A358&amp;B358&amp;C358&amp;D358&amp;E358&amp;F358&amp;G358&amp;H358&amp;I358&amp;J358&amp;[1]Sheet1!$G$5</f>
        <v>E0357Ovi AkterFemaleEngineeringEngineering ManagerFull-timeRemote45829150615E0543Sylhet</v>
      </c>
      <c r="L358" s="14">
        <f t="shared" si="15"/>
        <v>134588.5</v>
      </c>
      <c r="M358" s="14">
        <f ca="1" t="shared" si="16"/>
        <v>0</v>
      </c>
      <c r="N358" s="15" t="str">
        <f ca="1" t="shared" si="17"/>
        <v>New</v>
      </c>
    </row>
    <row r="359" spans="1:14">
      <c r="A359" s="16" t="s">
        <v>816</v>
      </c>
      <c r="B359" s="17" t="s">
        <v>817</v>
      </c>
      <c r="C359" s="17" t="s">
        <v>19</v>
      </c>
      <c r="D359" s="17" t="s">
        <v>92</v>
      </c>
      <c r="E359" s="17" t="s">
        <v>391</v>
      </c>
      <c r="F359" s="17" t="s">
        <v>15</v>
      </c>
      <c r="G359" s="17" t="s">
        <v>62</v>
      </c>
      <c r="H359" s="17">
        <v>42803</v>
      </c>
      <c r="I359" s="17">
        <v>104105</v>
      </c>
      <c r="J359" s="17" t="s">
        <v>464</v>
      </c>
      <c r="K359" s="17" t="str">
        <f>A359&amp;B359&amp;C359&amp;D359&amp;E359&amp;F359&amp;G359&amp;H359&amp;I359&amp;J359&amp;[1]Sheet1!$G$5</f>
        <v>E0358Arif SarkerMaleMarketingContent SpecialistFull-timeChattogram42803104105E0656Sylhet</v>
      </c>
      <c r="L359" s="17">
        <f t="shared" si="15"/>
        <v>134335</v>
      </c>
      <c r="M359" s="17">
        <f ca="1" t="shared" si="16"/>
        <v>9</v>
      </c>
      <c r="N359" s="18" t="str">
        <f ca="1" t="shared" si="17"/>
        <v>Experienced</v>
      </c>
    </row>
    <row r="360" spans="1:14">
      <c r="A360" s="13" t="s">
        <v>818</v>
      </c>
      <c r="B360" s="14" t="s">
        <v>214</v>
      </c>
      <c r="C360" s="14" t="s">
        <v>19</v>
      </c>
      <c r="D360" s="14" t="s">
        <v>20</v>
      </c>
      <c r="E360" s="14" t="s">
        <v>147</v>
      </c>
      <c r="F360" s="14" t="s">
        <v>15</v>
      </c>
      <c r="G360" s="14" t="s">
        <v>40</v>
      </c>
      <c r="H360" s="14">
        <v>43366</v>
      </c>
      <c r="I360" s="14">
        <v>44753</v>
      </c>
      <c r="J360" s="14" t="s">
        <v>154</v>
      </c>
      <c r="K360" s="14" t="str">
        <f>A360&amp;B360&amp;C360&amp;D360&amp;E360&amp;F360&amp;G360&amp;H360&amp;I360&amp;J360&amp;[1]Sheet1!$G$5</f>
        <v>E0359Shawon MiahMaleCustomer SuccessSupport AssociateFull-timeDhaka4336644753E0037Sylhet</v>
      </c>
      <c r="L360" s="14">
        <f t="shared" si="15"/>
        <v>134588.5</v>
      </c>
      <c r="M360" s="14">
        <f ca="1" t="shared" si="16"/>
        <v>7</v>
      </c>
      <c r="N360" s="15" t="str">
        <f ca="1" t="shared" si="17"/>
        <v>Experienced</v>
      </c>
    </row>
    <row r="361" spans="1:14">
      <c r="A361" s="16" t="s">
        <v>819</v>
      </c>
      <c r="B361" s="17" t="s">
        <v>820</v>
      </c>
      <c r="C361" s="17" t="s">
        <v>19</v>
      </c>
      <c r="D361" s="17" t="s">
        <v>92</v>
      </c>
      <c r="E361" s="17" t="s">
        <v>93</v>
      </c>
      <c r="F361" s="17" t="s">
        <v>15</v>
      </c>
      <c r="G361" s="17" t="s">
        <v>16</v>
      </c>
      <c r="H361" s="17">
        <v>44154</v>
      </c>
      <c r="I361" s="17">
        <v>108200</v>
      </c>
      <c r="J361" s="17" t="s">
        <v>490</v>
      </c>
      <c r="K361" s="17" t="str">
        <f>A361&amp;B361&amp;C361&amp;D361&amp;E361&amp;F361&amp;G361&amp;H361&amp;I361&amp;J361&amp;[1]Sheet1!$G$5</f>
        <v>E0360Imran HasanMaleMarketingGrowth MarketerFull-timeKhulna44154108200E0686Sylhet</v>
      </c>
      <c r="L361" s="17">
        <f t="shared" si="15"/>
        <v>134842</v>
      </c>
      <c r="M361" s="17">
        <f ca="1" t="shared" si="16"/>
        <v>5</v>
      </c>
      <c r="N361" s="18" t="str">
        <f ca="1" t="shared" si="17"/>
        <v>Mid level</v>
      </c>
    </row>
    <row r="362" spans="1:14">
      <c r="A362" s="13" t="s">
        <v>821</v>
      </c>
      <c r="B362" s="14" t="s">
        <v>822</v>
      </c>
      <c r="C362" s="14" t="s">
        <v>12</v>
      </c>
      <c r="D362" s="14" t="s">
        <v>13</v>
      </c>
      <c r="E362" s="14" t="s">
        <v>98</v>
      </c>
      <c r="F362" s="14" t="s">
        <v>15</v>
      </c>
      <c r="G362" s="14" t="s">
        <v>28</v>
      </c>
      <c r="H362" s="14">
        <v>44782</v>
      </c>
      <c r="I362" s="14">
        <v>173554</v>
      </c>
      <c r="J362" s="14"/>
      <c r="K362" s="14" t="str">
        <f>A362&amp;B362&amp;C362&amp;D362&amp;E362&amp;F362&amp;G362&amp;H362&amp;I362&amp;J362&amp;[1]Sheet1!$G$5</f>
        <v>E0361Rahim AhmedFemaleSalesSales ManagerFull-timeRemote44782173554Sylhet</v>
      </c>
      <c r="L362" s="14">
        <f t="shared" si="15"/>
        <v>134858.5</v>
      </c>
      <c r="M362" s="14">
        <f ca="1" t="shared" si="16"/>
        <v>3</v>
      </c>
      <c r="N362" s="15" t="str">
        <f ca="1" t="shared" si="17"/>
        <v>Mid level</v>
      </c>
    </row>
    <row r="363" spans="1:14">
      <c r="A363" s="16" t="s">
        <v>823</v>
      </c>
      <c r="B363" s="17" t="s">
        <v>633</v>
      </c>
      <c r="C363" s="17" t="s">
        <v>19</v>
      </c>
      <c r="D363" s="17" t="s">
        <v>32</v>
      </c>
      <c r="E363" s="17" t="s">
        <v>57</v>
      </c>
      <c r="F363" s="17" t="s">
        <v>15</v>
      </c>
      <c r="G363" s="17" t="s">
        <v>28</v>
      </c>
      <c r="H363" s="17">
        <v>44010</v>
      </c>
      <c r="I363" s="17">
        <v>75264</v>
      </c>
      <c r="J363" s="17" t="s">
        <v>604</v>
      </c>
      <c r="K363" s="17" t="str">
        <f>A363&amp;B363&amp;C363&amp;D363&amp;E363&amp;F363&amp;G363&amp;H363&amp;I363&amp;J363&amp;[1]Sheet1!$G$5</f>
        <v>E0362Priya HossainMaleHRHR AssociateFull-timeRemote4401075264E0243Sylhet</v>
      </c>
      <c r="L363" s="17">
        <f t="shared" si="15"/>
        <v>134842</v>
      </c>
      <c r="M363" s="17">
        <f ca="1" t="shared" si="16"/>
        <v>5</v>
      </c>
      <c r="N363" s="18" t="str">
        <f ca="1" t="shared" si="17"/>
        <v>Mid level</v>
      </c>
    </row>
    <row r="364" spans="1:14">
      <c r="A364" s="13" t="s">
        <v>824</v>
      </c>
      <c r="B364" s="14" t="s">
        <v>825</v>
      </c>
      <c r="C364" s="14" t="s">
        <v>12</v>
      </c>
      <c r="D364" s="14" t="s">
        <v>13</v>
      </c>
      <c r="E364" s="14" t="s">
        <v>223</v>
      </c>
      <c r="F364" s="14" t="s">
        <v>15</v>
      </c>
      <c r="G364" s="14" t="s">
        <v>62</v>
      </c>
      <c r="H364" s="14">
        <v>44516</v>
      </c>
      <c r="I364" s="14">
        <v>147296</v>
      </c>
      <c r="J364" s="14" t="s">
        <v>131</v>
      </c>
      <c r="K364" s="14" t="str">
        <f>A364&amp;B364&amp;C364&amp;D364&amp;E364&amp;F364&amp;G364&amp;H364&amp;I364&amp;J364&amp;[1]Sheet1!$G$5</f>
        <v>E0363Rahim SultanaFemaleSalesSenior Account ExecutiveFull-timeChattogram44516147296E0356Sylhet</v>
      </c>
      <c r="L364" s="14">
        <f t="shared" si="15"/>
        <v>134858.5</v>
      </c>
      <c r="M364" s="14">
        <f ca="1" t="shared" si="16"/>
        <v>4</v>
      </c>
      <c r="N364" s="15" t="str">
        <f ca="1" t="shared" si="17"/>
        <v>Mid level</v>
      </c>
    </row>
    <row r="365" spans="1:14">
      <c r="A365" s="16" t="s">
        <v>826</v>
      </c>
      <c r="B365" s="17" t="s">
        <v>492</v>
      </c>
      <c r="C365" s="17" t="s">
        <v>19</v>
      </c>
      <c r="D365" s="17" t="s">
        <v>92</v>
      </c>
      <c r="E365" s="17" t="s">
        <v>93</v>
      </c>
      <c r="F365" s="17" t="s">
        <v>15</v>
      </c>
      <c r="G365" s="17" t="s">
        <v>40</v>
      </c>
      <c r="H365" s="17">
        <v>42692</v>
      </c>
      <c r="I365" s="17">
        <v>90486</v>
      </c>
      <c r="J365" s="17" t="s">
        <v>298</v>
      </c>
      <c r="K365" s="17" t="str">
        <f>A365&amp;B365&amp;C365&amp;D365&amp;E365&amp;F365&amp;G365&amp;H365&amp;I365&amp;J365&amp;[1]Sheet1!$G$5</f>
        <v>E0364Ovi MorshedMaleMarketingGrowth MarketerFull-timeDhaka4269290486E0404Sylhet</v>
      </c>
      <c r="L365" s="17">
        <f t="shared" si="15"/>
        <v>134842</v>
      </c>
      <c r="M365" s="17">
        <f ca="1" t="shared" si="16"/>
        <v>9</v>
      </c>
      <c r="N365" s="18" t="str">
        <f ca="1" t="shared" si="17"/>
        <v>Experienced</v>
      </c>
    </row>
    <row r="366" spans="1:14">
      <c r="A366" s="13" t="s">
        <v>591</v>
      </c>
      <c r="B366" s="14" t="s">
        <v>827</v>
      </c>
      <c r="C366" s="14" t="s">
        <v>19</v>
      </c>
      <c r="D366" s="14" t="s">
        <v>20</v>
      </c>
      <c r="E366" s="14" t="s">
        <v>70</v>
      </c>
      <c r="F366" s="14" t="s">
        <v>15</v>
      </c>
      <c r="G366" s="14" t="s">
        <v>94</v>
      </c>
      <c r="H366" s="14">
        <v>43991</v>
      </c>
      <c r="I366" s="14">
        <v>126897</v>
      </c>
      <c r="J366" s="14" t="s">
        <v>601</v>
      </c>
      <c r="K366" s="14" t="str">
        <f>A366&amp;B366&amp;C366&amp;D366&amp;E366&amp;F366&amp;G366&amp;H366&amp;I366&amp;J366&amp;[1]Sheet1!$G$5</f>
        <v>E0365Esha HasanMaleCustomer SuccessCustomer Success ManagerFull-timeRajshahi43991126897E0543Sylhet</v>
      </c>
      <c r="L366" s="14">
        <f t="shared" si="15"/>
        <v>134858.5</v>
      </c>
      <c r="M366" s="14">
        <f ca="1" t="shared" si="16"/>
        <v>5</v>
      </c>
      <c r="N366" s="15" t="str">
        <f ca="1" t="shared" si="17"/>
        <v>Mid level</v>
      </c>
    </row>
    <row r="367" spans="1:14">
      <c r="A367" s="16" t="s">
        <v>828</v>
      </c>
      <c r="B367" s="17" t="s">
        <v>829</v>
      </c>
      <c r="C367" s="17" t="s">
        <v>12</v>
      </c>
      <c r="D367" s="17" t="s">
        <v>13</v>
      </c>
      <c r="E367" s="17" t="s">
        <v>14</v>
      </c>
      <c r="F367" s="17" t="s">
        <v>15</v>
      </c>
      <c r="G367" s="17" t="s">
        <v>28</v>
      </c>
      <c r="H367" s="17">
        <v>43640</v>
      </c>
      <c r="I367" s="17">
        <v>89410</v>
      </c>
      <c r="J367" s="17"/>
      <c r="K367" s="17" t="str">
        <f>A367&amp;B367&amp;C367&amp;D367&amp;E367&amp;F367&amp;G367&amp;H367&amp;I367&amp;J367&amp;[1]Sheet1!$G$5</f>
        <v>E0366Priya HaiderFemaleSalesSales AssociateFull-timeRemote4364089410Sylhet</v>
      </c>
      <c r="L367" s="17">
        <f t="shared" si="15"/>
        <v>134875</v>
      </c>
      <c r="M367" s="17">
        <f ca="1" t="shared" si="16"/>
        <v>6</v>
      </c>
      <c r="N367" s="18" t="str">
        <f ca="1" t="shared" si="17"/>
        <v>Experienced</v>
      </c>
    </row>
    <row r="368" spans="1:14">
      <c r="A368" s="13" t="s">
        <v>830</v>
      </c>
      <c r="B368" s="14" t="s">
        <v>831</v>
      </c>
      <c r="C368" s="14" t="s">
        <v>19</v>
      </c>
      <c r="D368" s="14" t="s">
        <v>20</v>
      </c>
      <c r="E368" s="14" t="s">
        <v>70</v>
      </c>
      <c r="F368" s="14" t="s">
        <v>22</v>
      </c>
      <c r="G368" s="14" t="s">
        <v>16</v>
      </c>
      <c r="H368" s="14">
        <v>45424</v>
      </c>
      <c r="I368" s="14">
        <v>100267</v>
      </c>
      <c r="J368" s="14" t="s">
        <v>114</v>
      </c>
      <c r="K368" s="14" t="str">
        <f>A368&amp;B368&amp;C368&amp;D368&amp;E368&amp;F368&amp;G368&amp;H368&amp;I368&amp;J368&amp;[1]Sheet1!$G$5</f>
        <v>E0367Tania SharminMaleCustomer SuccessCustomer Success ManagerInternKhulna45424100267E0989Sylhet</v>
      </c>
      <c r="L368" s="14">
        <f t="shared" si="15"/>
        <v>134973.5</v>
      </c>
      <c r="M368" s="14">
        <f ca="1" t="shared" si="16"/>
        <v>1</v>
      </c>
      <c r="N368" s="15" t="str">
        <f ca="1" t="shared" si="17"/>
        <v>New</v>
      </c>
    </row>
    <row r="369" spans="1:14">
      <c r="A369" s="16" t="s">
        <v>762</v>
      </c>
      <c r="B369" s="17" t="s">
        <v>832</v>
      </c>
      <c r="C369" s="17" t="s">
        <v>12</v>
      </c>
      <c r="D369" s="17" t="s">
        <v>20</v>
      </c>
      <c r="E369" s="17" t="s">
        <v>70</v>
      </c>
      <c r="F369" s="17" t="s">
        <v>48</v>
      </c>
      <c r="G369" s="17" t="s">
        <v>28</v>
      </c>
      <c r="H369" s="17">
        <v>43760</v>
      </c>
      <c r="I369" s="17">
        <v>157989</v>
      </c>
      <c r="J369" s="17"/>
      <c r="K369" s="17" t="str">
        <f>A369&amp;B369&amp;C369&amp;D369&amp;E369&amp;F369&amp;G369&amp;H369&amp;I369&amp;J369&amp;[1]Sheet1!$G$5</f>
        <v>E0368Tania HossainFemaleCustomer SuccessCustomer Success ManagerContractRemote43760157989Sylhet</v>
      </c>
      <c r="L369" s="17">
        <f t="shared" si="15"/>
        <v>135072</v>
      </c>
      <c r="M369" s="17">
        <f ca="1" t="shared" si="16"/>
        <v>6</v>
      </c>
      <c r="N369" s="18" t="str">
        <f ca="1" t="shared" si="17"/>
        <v>Experienced</v>
      </c>
    </row>
    <row r="370" spans="1:14">
      <c r="A370" s="13" t="s">
        <v>833</v>
      </c>
      <c r="B370" s="14" t="s">
        <v>198</v>
      </c>
      <c r="C370" s="14" t="s">
        <v>19</v>
      </c>
      <c r="D370" s="14" t="s">
        <v>38</v>
      </c>
      <c r="E370" s="14" t="s">
        <v>77</v>
      </c>
      <c r="F370" s="14" t="s">
        <v>15</v>
      </c>
      <c r="G370" s="14" t="s">
        <v>28</v>
      </c>
      <c r="H370" s="14">
        <v>43277</v>
      </c>
      <c r="I370" s="14">
        <v>153782</v>
      </c>
      <c r="J370" s="14" t="s">
        <v>369</v>
      </c>
      <c r="K370" s="14" t="str">
        <f>A370&amp;B370&amp;C370&amp;D370&amp;E370&amp;F370&amp;G370&amp;H370&amp;I370&amp;J370&amp;[1]Sheet1!$G$5</f>
        <v>E0369Noman SultanaMaleEngineeringJunior Software EngineerFull-timeRemote43277153782E0881Sylhet</v>
      </c>
      <c r="L370" s="14">
        <f t="shared" si="15"/>
        <v>134973.5</v>
      </c>
      <c r="M370" s="14">
        <f ca="1" t="shared" si="16"/>
        <v>7</v>
      </c>
      <c r="N370" s="15" t="str">
        <f ca="1" t="shared" si="17"/>
        <v>Experienced</v>
      </c>
    </row>
    <row r="371" spans="1:14">
      <c r="A371" s="16" t="s">
        <v>834</v>
      </c>
      <c r="B371" s="17" t="s">
        <v>835</v>
      </c>
      <c r="C371" s="17" t="s">
        <v>12</v>
      </c>
      <c r="D371" s="17" t="s">
        <v>38</v>
      </c>
      <c r="E371" s="17" t="s">
        <v>66</v>
      </c>
      <c r="F371" s="17" t="s">
        <v>48</v>
      </c>
      <c r="G371" s="17" t="s">
        <v>28</v>
      </c>
      <c r="H371" s="17">
        <v>43734</v>
      </c>
      <c r="I371" s="17">
        <v>140850</v>
      </c>
      <c r="J371" s="17" t="s">
        <v>134</v>
      </c>
      <c r="K371" s="17" t="str">
        <f>A371&amp;B371&amp;C371&amp;D371&amp;E371&amp;F371&amp;G371&amp;H371&amp;I371&amp;J371&amp;[1]Sheet1!$G$5</f>
        <v>E0370Shafiq MahmudFemaleEngineeringSoftware EngineerContractRemote43734140850E0630Sylhet</v>
      </c>
      <c r="L371" s="17">
        <f t="shared" si="15"/>
        <v>134875</v>
      </c>
      <c r="M371" s="17">
        <f ca="1" t="shared" si="16"/>
        <v>6</v>
      </c>
      <c r="N371" s="18" t="str">
        <f ca="1" t="shared" si="17"/>
        <v>Experienced</v>
      </c>
    </row>
    <row r="372" spans="1:14">
      <c r="A372" s="13" t="s">
        <v>836</v>
      </c>
      <c r="B372" s="14" t="s">
        <v>837</v>
      </c>
      <c r="C372" s="14" t="s">
        <v>19</v>
      </c>
      <c r="D372" s="14" t="s">
        <v>38</v>
      </c>
      <c r="E372" s="14" t="s">
        <v>84</v>
      </c>
      <c r="F372" s="14" t="s">
        <v>15</v>
      </c>
      <c r="G372" s="14" t="s">
        <v>34</v>
      </c>
      <c r="H372" s="14">
        <v>45561</v>
      </c>
      <c r="I372" s="14">
        <v>166149</v>
      </c>
      <c r="J372" s="14" t="s">
        <v>838</v>
      </c>
      <c r="K372" s="14" t="str">
        <f>A372&amp;B372&amp;C372&amp;D372&amp;E372&amp;F372&amp;G372&amp;H372&amp;I372&amp;J372&amp;[1]Sheet1!$G$5</f>
        <v>E0371Ovi SadiqMaleEngineeringEngineering ManagerFull-timeSylhet45561166149E0871Sylhet</v>
      </c>
      <c r="L372" s="14">
        <f t="shared" si="15"/>
        <v>134858.5</v>
      </c>
      <c r="M372" s="14">
        <f ca="1" t="shared" si="16"/>
        <v>1</v>
      </c>
      <c r="N372" s="15" t="str">
        <f ca="1" t="shared" si="17"/>
        <v>New</v>
      </c>
    </row>
    <row r="373" spans="1:14">
      <c r="A373" s="16" t="s">
        <v>839</v>
      </c>
      <c r="B373" s="17" t="s">
        <v>840</v>
      </c>
      <c r="C373" s="17" t="s">
        <v>12</v>
      </c>
      <c r="D373" s="17" t="s">
        <v>38</v>
      </c>
      <c r="E373" s="17" t="s">
        <v>77</v>
      </c>
      <c r="F373" s="17" t="s">
        <v>15</v>
      </c>
      <c r="G373" s="17" t="s">
        <v>28</v>
      </c>
      <c r="H373" s="17">
        <v>43058</v>
      </c>
      <c r="I373" s="17">
        <v>114574</v>
      </c>
      <c r="J373" s="17" t="s">
        <v>67</v>
      </c>
      <c r="K373" s="17" t="str">
        <f>A373&amp;B373&amp;C373&amp;D373&amp;E373&amp;F373&amp;G373&amp;H373&amp;I373&amp;J373&amp;[1]Sheet1!$G$5</f>
        <v>E0372Tamanna HaiderFemaleEngineeringJunior Software EngineerFull-timeRemote43058114574E0648Sylhet</v>
      </c>
      <c r="L373" s="17">
        <f t="shared" si="15"/>
        <v>134842</v>
      </c>
      <c r="M373" s="17">
        <f ca="1" t="shared" si="16"/>
        <v>8</v>
      </c>
      <c r="N373" s="18" t="str">
        <f ca="1" t="shared" si="17"/>
        <v>Experienced</v>
      </c>
    </row>
    <row r="374" spans="1:14">
      <c r="A374" s="13" t="s">
        <v>841</v>
      </c>
      <c r="B374" s="14" t="s">
        <v>422</v>
      </c>
      <c r="C374" s="14" t="s">
        <v>12</v>
      </c>
      <c r="D374" s="14" t="s">
        <v>38</v>
      </c>
      <c r="E374" s="14" t="s">
        <v>39</v>
      </c>
      <c r="F374" s="14" t="s">
        <v>15</v>
      </c>
      <c r="G374" s="14" t="s">
        <v>34</v>
      </c>
      <c r="H374" s="14">
        <v>42682</v>
      </c>
      <c r="I374" s="14">
        <v>214819</v>
      </c>
      <c r="J374" s="14" t="s">
        <v>842</v>
      </c>
      <c r="K374" s="14" t="str">
        <f>A374&amp;B374&amp;C374&amp;D374&amp;E374&amp;F374&amp;G374&amp;H374&amp;I374&amp;J374&amp;[1]Sheet1!$G$5</f>
        <v>E0373Sajid RanaFemaleEngineeringDevOps EngineerFull-timeSylhet42682214819E0465Sylhet</v>
      </c>
      <c r="L374" s="14">
        <f t="shared" si="15"/>
        <v>134858.5</v>
      </c>
      <c r="M374" s="14">
        <f ca="1" t="shared" si="16"/>
        <v>9</v>
      </c>
      <c r="N374" s="15" t="str">
        <f ca="1" t="shared" si="17"/>
        <v>Experienced</v>
      </c>
    </row>
    <row r="375" spans="1:14">
      <c r="A375" s="16" t="s">
        <v>843</v>
      </c>
      <c r="B375" s="17" t="s">
        <v>844</v>
      </c>
      <c r="C375" s="17" t="s">
        <v>12</v>
      </c>
      <c r="D375" s="17" t="s">
        <v>26</v>
      </c>
      <c r="E375" s="17" t="s">
        <v>61</v>
      </c>
      <c r="F375" s="17" t="s">
        <v>15</v>
      </c>
      <c r="G375" s="17" t="s">
        <v>40</v>
      </c>
      <c r="H375" s="17">
        <v>44460</v>
      </c>
      <c r="I375" s="17">
        <v>126300</v>
      </c>
      <c r="J375" s="17" t="s">
        <v>727</v>
      </c>
      <c r="K375" s="17" t="str">
        <f>A375&amp;B375&amp;C375&amp;D375&amp;E375&amp;F375&amp;G375&amp;H375&amp;I375&amp;J375&amp;[1]Sheet1!$G$5</f>
        <v>E0374Sumaiya MorshedFemaleFinanceFinancial AnalystFull-timeDhaka44460126300E0618Sylhet</v>
      </c>
      <c r="L375" s="17">
        <f t="shared" si="15"/>
        <v>134842</v>
      </c>
      <c r="M375" s="17">
        <f ca="1" t="shared" si="16"/>
        <v>4</v>
      </c>
      <c r="N375" s="18" t="str">
        <f ca="1" t="shared" si="17"/>
        <v>Mid level</v>
      </c>
    </row>
    <row r="376" spans="1:14">
      <c r="A376" s="13" t="s">
        <v>845</v>
      </c>
      <c r="B376" s="14" t="s">
        <v>831</v>
      </c>
      <c r="C376" s="14" t="s">
        <v>19</v>
      </c>
      <c r="D376" s="14" t="s">
        <v>38</v>
      </c>
      <c r="E376" s="14" t="s">
        <v>66</v>
      </c>
      <c r="F376" s="14" t="s">
        <v>22</v>
      </c>
      <c r="G376" s="14" t="s">
        <v>62</v>
      </c>
      <c r="H376" s="14">
        <v>44963</v>
      </c>
      <c r="I376" s="14">
        <v>145347</v>
      </c>
      <c r="J376" s="14"/>
      <c r="K376" s="14" t="str">
        <f>A376&amp;B376&amp;C376&amp;D376&amp;E376&amp;F376&amp;G376&amp;H376&amp;I376&amp;J376&amp;[1]Sheet1!$G$5</f>
        <v>E0375Tania SharminMaleEngineeringSoftware EngineerInternChattogram44963145347Sylhet</v>
      </c>
      <c r="L376" s="14">
        <f t="shared" si="15"/>
        <v>134858.5</v>
      </c>
      <c r="M376" s="14">
        <f ca="1" t="shared" si="16"/>
        <v>3</v>
      </c>
      <c r="N376" s="15" t="str">
        <f ca="1" t="shared" si="17"/>
        <v>Mid level</v>
      </c>
    </row>
    <row r="377" spans="1:14">
      <c r="A377" s="16" t="s">
        <v>721</v>
      </c>
      <c r="B377" s="17" t="s">
        <v>245</v>
      </c>
      <c r="C377" s="17" t="s">
        <v>19</v>
      </c>
      <c r="D377" s="17" t="s">
        <v>87</v>
      </c>
      <c r="E377" s="17" t="s">
        <v>111</v>
      </c>
      <c r="F377" s="17" t="s">
        <v>15</v>
      </c>
      <c r="G377" s="17" t="s">
        <v>40</v>
      </c>
      <c r="H377" s="17">
        <v>42837</v>
      </c>
      <c r="I377" s="17">
        <v>292121</v>
      </c>
      <c r="J377" s="17" t="s">
        <v>676</v>
      </c>
      <c r="K377" s="17" t="str">
        <f>A377&amp;B377&amp;C377&amp;D377&amp;E377&amp;F377&amp;G377&amp;H377&amp;I377&amp;J377&amp;[1]Sheet1!$G$5</f>
        <v>E0376Sumaiya AlamMaleProductSenior Product ManagerFull-timeDhaka42837292121E0528Sylhet</v>
      </c>
      <c r="L377" s="17">
        <f t="shared" si="15"/>
        <v>134842</v>
      </c>
      <c r="M377" s="17">
        <f ca="1" t="shared" si="16"/>
        <v>8</v>
      </c>
      <c r="N377" s="18" t="str">
        <f ca="1" t="shared" si="17"/>
        <v>Experienced</v>
      </c>
    </row>
    <row r="378" spans="1:14">
      <c r="A378" s="13" t="s">
        <v>846</v>
      </c>
      <c r="B378" s="14" t="s">
        <v>847</v>
      </c>
      <c r="C378" s="14" t="s">
        <v>12</v>
      </c>
      <c r="D378" s="14" t="s">
        <v>52</v>
      </c>
      <c r="E378" s="14" t="s">
        <v>120</v>
      </c>
      <c r="F378" s="14" t="s">
        <v>15</v>
      </c>
      <c r="G378" s="14" t="s">
        <v>40</v>
      </c>
      <c r="H378" s="14">
        <v>44543</v>
      </c>
      <c r="I378" s="14">
        <v>137578</v>
      </c>
      <c r="J378" s="14" t="s">
        <v>230</v>
      </c>
      <c r="K378" s="14" t="str">
        <f>A378&amp;B378&amp;C378&amp;D378&amp;E378&amp;F378&amp;G378&amp;H378&amp;I378&amp;J378&amp;[1]Sheet1!$G$5</f>
        <v>E0377Tasnim AkterFemaleOperationsSupply Chain AnalystFull-timeDhaka44543137578E0063Sylhet</v>
      </c>
      <c r="L378" s="14">
        <f t="shared" si="15"/>
        <v>134588.5</v>
      </c>
      <c r="M378" s="14">
        <f ca="1" t="shared" si="16"/>
        <v>4</v>
      </c>
      <c r="N378" s="15" t="str">
        <f ca="1" t="shared" si="17"/>
        <v>Mid level</v>
      </c>
    </row>
    <row r="379" spans="1:14">
      <c r="A379" s="16" t="s">
        <v>848</v>
      </c>
      <c r="B379" s="17" t="s">
        <v>849</v>
      </c>
      <c r="C379" s="17" t="s">
        <v>19</v>
      </c>
      <c r="D379" s="17" t="s">
        <v>38</v>
      </c>
      <c r="E379" s="17" t="s">
        <v>140</v>
      </c>
      <c r="F379" s="17" t="s">
        <v>22</v>
      </c>
      <c r="G379" s="17" t="s">
        <v>28</v>
      </c>
      <c r="H379" s="17">
        <v>44458</v>
      </c>
      <c r="I379" s="17">
        <v>138211</v>
      </c>
      <c r="J379" s="17" t="s">
        <v>777</v>
      </c>
      <c r="K379" s="17" t="str">
        <f>A379&amp;B379&amp;C379&amp;D379&amp;E379&amp;F379&amp;G379&amp;H379&amp;I379&amp;J379&amp;[1]Sheet1!$G$5</f>
        <v>E0378Ovi ShahMaleEngineeringSenior Software EngineerInternRemote44458138211E0335Sylhet</v>
      </c>
      <c r="L379" s="17">
        <f t="shared" si="15"/>
        <v>134335</v>
      </c>
      <c r="M379" s="17">
        <f ca="1" t="shared" si="16"/>
        <v>4</v>
      </c>
      <c r="N379" s="18" t="str">
        <f ca="1" t="shared" si="17"/>
        <v>Mid level</v>
      </c>
    </row>
    <row r="380" spans="1:14">
      <c r="A380" s="13" t="s">
        <v>850</v>
      </c>
      <c r="B380" s="14" t="s">
        <v>851</v>
      </c>
      <c r="C380" s="14" t="s">
        <v>19</v>
      </c>
      <c r="D380" s="14" t="s">
        <v>52</v>
      </c>
      <c r="E380" s="14" t="s">
        <v>120</v>
      </c>
      <c r="F380" s="14" t="s">
        <v>15</v>
      </c>
      <c r="G380" s="14" t="s">
        <v>16</v>
      </c>
      <c r="H380" s="14">
        <v>43164</v>
      </c>
      <c r="I380" s="14">
        <v>86949</v>
      </c>
      <c r="J380" s="14" t="s">
        <v>344</v>
      </c>
      <c r="K380" s="14" t="str">
        <f>A380&amp;B380&amp;C380&amp;D380&amp;E380&amp;F380&amp;G380&amp;H380&amp;I380&amp;J380&amp;[1]Sheet1!$G$5</f>
        <v>E0379Karim HaiderMaleOperationsSupply Chain AnalystFull-timeKhulna4316486949E0861Sylhet</v>
      </c>
      <c r="L380" s="14">
        <f t="shared" si="15"/>
        <v>134308</v>
      </c>
      <c r="M380" s="14">
        <f ca="1" t="shared" si="16"/>
        <v>8</v>
      </c>
      <c r="N380" s="15" t="str">
        <f ca="1" t="shared" si="17"/>
        <v>Experienced</v>
      </c>
    </row>
    <row r="381" spans="1:14">
      <c r="A381" s="16" t="s">
        <v>63</v>
      </c>
      <c r="B381" s="17" t="s">
        <v>852</v>
      </c>
      <c r="C381" s="17" t="s">
        <v>12</v>
      </c>
      <c r="D381" s="17" t="s">
        <v>87</v>
      </c>
      <c r="E381" s="17" t="s">
        <v>349</v>
      </c>
      <c r="F381" s="17" t="s">
        <v>48</v>
      </c>
      <c r="G381" s="17" t="s">
        <v>28</v>
      </c>
      <c r="H381" s="17">
        <v>45549</v>
      </c>
      <c r="I381" s="17">
        <v>212485</v>
      </c>
      <c r="J381" s="17" t="s">
        <v>594</v>
      </c>
      <c r="K381" s="17" t="str">
        <f>A381&amp;B381&amp;C381&amp;D381&amp;E381&amp;F381&amp;G381&amp;H381&amp;I381&amp;J381&amp;[1]Sheet1!$G$5</f>
        <v>E0380Rafi ShahFemaleProductProduct ManagerContractRemote45549212485E0231Sylhet</v>
      </c>
      <c r="L381" s="17">
        <f t="shared" si="15"/>
        <v>134335</v>
      </c>
      <c r="M381" s="17">
        <f ca="1" t="shared" si="16"/>
        <v>1</v>
      </c>
      <c r="N381" s="18" t="str">
        <f ca="1" t="shared" si="17"/>
        <v>New</v>
      </c>
    </row>
    <row r="382" spans="1:14">
      <c r="A382" s="13" t="s">
        <v>853</v>
      </c>
      <c r="B382" s="14" t="s">
        <v>854</v>
      </c>
      <c r="C382" s="14" t="s">
        <v>12</v>
      </c>
      <c r="D382" s="14" t="s">
        <v>38</v>
      </c>
      <c r="E382" s="14" t="s">
        <v>77</v>
      </c>
      <c r="F382" s="14" t="s">
        <v>48</v>
      </c>
      <c r="G382" s="14" t="s">
        <v>94</v>
      </c>
      <c r="H382" s="14">
        <v>43801</v>
      </c>
      <c r="I382" s="14">
        <v>106629</v>
      </c>
      <c r="J382" s="14" t="s">
        <v>855</v>
      </c>
      <c r="K382" s="14" t="str">
        <f>A382&amp;B382&amp;C382&amp;D382&amp;E382&amp;F382&amp;G382&amp;H382&amp;I382&amp;J382&amp;[1]Sheet1!$G$5</f>
        <v>E0381Imran SadiqFemaleEngineeringJunior Software EngineerContractRajshahi43801106629E0870Sylhet</v>
      </c>
      <c r="L382" s="14">
        <f t="shared" si="15"/>
        <v>134308</v>
      </c>
      <c r="M382" s="14">
        <f ca="1" t="shared" si="16"/>
        <v>6</v>
      </c>
      <c r="N382" s="15" t="str">
        <f ca="1" t="shared" si="17"/>
        <v>Experienced</v>
      </c>
    </row>
    <row r="383" spans="1:14">
      <c r="A383" s="16" t="s">
        <v>856</v>
      </c>
      <c r="B383" s="17" t="s">
        <v>857</v>
      </c>
      <c r="C383" s="17" t="s">
        <v>19</v>
      </c>
      <c r="D383" s="17" t="s">
        <v>26</v>
      </c>
      <c r="E383" s="17" t="s">
        <v>61</v>
      </c>
      <c r="F383" s="17" t="s">
        <v>15</v>
      </c>
      <c r="G383" s="17" t="s">
        <v>62</v>
      </c>
      <c r="H383" s="17">
        <v>43808</v>
      </c>
      <c r="I383" s="17">
        <v>154672</v>
      </c>
      <c r="J383" s="17" t="s">
        <v>482</v>
      </c>
      <c r="K383" s="17" t="str">
        <f>A383&amp;B383&amp;C383&amp;D383&amp;E383&amp;F383&amp;G383&amp;H383&amp;I383&amp;J383&amp;[1]Sheet1!$G$5</f>
        <v>E0382Farhan SharminMaleFinanceFinancial AnalystFull-timeChattogram43808154672E0229Sylhet</v>
      </c>
      <c r="L383" s="17">
        <f t="shared" si="15"/>
        <v>134335</v>
      </c>
      <c r="M383" s="17">
        <f ca="1" t="shared" si="16"/>
        <v>6</v>
      </c>
      <c r="N383" s="18" t="str">
        <f ca="1" t="shared" si="17"/>
        <v>Experienced</v>
      </c>
    </row>
    <row r="384" spans="1:14">
      <c r="A384" s="13" t="s">
        <v>196</v>
      </c>
      <c r="B384" s="14" t="s">
        <v>284</v>
      </c>
      <c r="C384" s="14" t="s">
        <v>19</v>
      </c>
      <c r="D384" s="14" t="s">
        <v>32</v>
      </c>
      <c r="E384" s="14" t="s">
        <v>208</v>
      </c>
      <c r="F384" s="14" t="s">
        <v>15</v>
      </c>
      <c r="G384" s="14" t="s">
        <v>28</v>
      </c>
      <c r="H384" s="14">
        <v>45349</v>
      </c>
      <c r="I384" s="14">
        <v>97415</v>
      </c>
      <c r="J384" s="14" t="s">
        <v>836</v>
      </c>
      <c r="K384" s="14" t="str">
        <f>A384&amp;B384&amp;C384&amp;D384&amp;E384&amp;F384&amp;G384&amp;H384&amp;I384&amp;J384&amp;[1]Sheet1!$G$5</f>
        <v>E0383Tamanna RasheedMaleHRHR ManagerFull-timeRemote4534997415E0371Sylhet</v>
      </c>
      <c r="L384" s="14">
        <f t="shared" si="15"/>
        <v>134308</v>
      </c>
      <c r="M384" s="14">
        <f ca="1" t="shared" si="16"/>
        <v>2</v>
      </c>
      <c r="N384" s="15" t="str">
        <f ca="1" t="shared" si="17"/>
        <v>New</v>
      </c>
    </row>
    <row r="385" spans="1:14">
      <c r="A385" s="16" t="s">
        <v>858</v>
      </c>
      <c r="B385" s="17" t="s">
        <v>327</v>
      </c>
      <c r="C385" s="17" t="s">
        <v>19</v>
      </c>
      <c r="D385" s="17" t="s">
        <v>52</v>
      </c>
      <c r="E385" s="17" t="s">
        <v>246</v>
      </c>
      <c r="F385" s="17" t="s">
        <v>15</v>
      </c>
      <c r="G385" s="17" t="s">
        <v>16</v>
      </c>
      <c r="H385" s="17">
        <v>45724</v>
      </c>
      <c r="I385" s="17">
        <v>74721</v>
      </c>
      <c r="J385" s="17" t="s">
        <v>341</v>
      </c>
      <c r="K385" s="17" t="str">
        <f>A385&amp;B385&amp;C385&amp;D385&amp;E385&amp;F385&amp;G385&amp;H385&amp;I385&amp;J385&amp;[1]Sheet1!$G$5</f>
        <v>E0384Sadia SadiqMaleOperationsOperations AssociateFull-timeKhulna4572474721E0828Sylhet</v>
      </c>
      <c r="L385" s="17">
        <f t="shared" si="15"/>
        <v>134335</v>
      </c>
      <c r="M385" s="17">
        <f ca="1" t="shared" si="16"/>
        <v>1</v>
      </c>
      <c r="N385" s="18" t="str">
        <f ca="1" t="shared" si="17"/>
        <v>New</v>
      </c>
    </row>
    <row r="386" spans="1:14">
      <c r="A386" s="13" t="s">
        <v>859</v>
      </c>
      <c r="B386" s="14" t="s">
        <v>261</v>
      </c>
      <c r="C386" s="14" t="s">
        <v>19</v>
      </c>
      <c r="D386" s="14" t="s">
        <v>26</v>
      </c>
      <c r="E386" s="14" t="s">
        <v>294</v>
      </c>
      <c r="F386" s="14" t="s">
        <v>15</v>
      </c>
      <c r="G386" s="14" t="s">
        <v>28</v>
      </c>
      <c r="H386" s="14">
        <v>45013</v>
      </c>
      <c r="I386" s="14">
        <v>117580</v>
      </c>
      <c r="J386" s="14" t="s">
        <v>776</v>
      </c>
      <c r="K386" s="14" t="str">
        <f>A386&amp;B386&amp;C386&amp;D386&amp;E386&amp;F386&amp;G386&amp;H386&amp;I386&amp;J386&amp;[1]Sheet1!$G$5</f>
        <v>E0385Shawon AlamMaleFinanceSenior Financial AnalystFull-timeRemote45013117580E0334Sylhet</v>
      </c>
      <c r="L386" s="14">
        <f t="shared" si="15"/>
        <v>134588.5</v>
      </c>
      <c r="M386" s="14">
        <f ca="1" t="shared" si="16"/>
        <v>2</v>
      </c>
      <c r="N386" s="15" t="str">
        <f ca="1" t="shared" si="17"/>
        <v>New</v>
      </c>
    </row>
    <row r="387" spans="1:14">
      <c r="A387" s="16" t="s">
        <v>860</v>
      </c>
      <c r="B387" s="17" t="s">
        <v>861</v>
      </c>
      <c r="C387" s="17" t="s">
        <v>19</v>
      </c>
      <c r="D387" s="17" t="s">
        <v>52</v>
      </c>
      <c r="E387" s="17" t="s">
        <v>246</v>
      </c>
      <c r="F387" s="17" t="s">
        <v>15</v>
      </c>
      <c r="G387" s="17" t="s">
        <v>16</v>
      </c>
      <c r="H387" s="17">
        <v>45708</v>
      </c>
      <c r="I387" s="17">
        <v>126200</v>
      </c>
      <c r="J387" s="17" t="s">
        <v>862</v>
      </c>
      <c r="K387" s="17" t="str">
        <f>A387&amp;B387&amp;C387&amp;D387&amp;E387&amp;F387&amp;G387&amp;H387&amp;I387&amp;J387&amp;[1]Sheet1!$G$5</f>
        <v>E0386Sumaiya SadiqMaleOperationsOperations AssociateFull-timeKhulna45708126200E0467Sylhet</v>
      </c>
      <c r="L387" s="17">
        <f t="shared" ref="L387:L450" si="18">MEDIAN(I387:I1386)</f>
        <v>134842</v>
      </c>
      <c r="M387" s="17">
        <f ca="1" t="shared" ref="M387:M450" si="19">DATEDIF(H387,TODAY(),"Y")</f>
        <v>1</v>
      </c>
      <c r="N387" s="18" t="str">
        <f ca="1" t="shared" ref="N387:N450" si="20">IF(M387&lt;=2,"New",IF(M387&lt;=5,"Mid level",IF(M387&lt;=10,"Experienced","Long term")))</f>
        <v>New</v>
      </c>
    </row>
    <row r="388" spans="1:14">
      <c r="A388" s="13" t="s">
        <v>863</v>
      </c>
      <c r="B388" s="14" t="s">
        <v>864</v>
      </c>
      <c r="C388" s="14" t="s">
        <v>19</v>
      </c>
      <c r="D388" s="14" t="s">
        <v>87</v>
      </c>
      <c r="E388" s="14" t="s">
        <v>349</v>
      </c>
      <c r="F388" s="14" t="s">
        <v>15</v>
      </c>
      <c r="G388" s="14" t="s">
        <v>62</v>
      </c>
      <c r="H388" s="14">
        <v>42974</v>
      </c>
      <c r="I388" s="14">
        <v>199943</v>
      </c>
      <c r="J388" s="14" t="s">
        <v>865</v>
      </c>
      <c r="K388" s="14" t="str">
        <f>A388&amp;B388&amp;C388&amp;D388&amp;E388&amp;F388&amp;G388&amp;H388&amp;I388&amp;J388&amp;[1]Sheet1!$G$5</f>
        <v>E0387Karim AlamMaleProductProduct ManagerFull-timeChattogram42974199943E0968Sylhet</v>
      </c>
      <c r="L388" s="14">
        <f t="shared" si="18"/>
        <v>134858.5</v>
      </c>
      <c r="M388" s="14">
        <f ca="1" t="shared" si="19"/>
        <v>8</v>
      </c>
      <c r="N388" s="15" t="str">
        <f ca="1" t="shared" si="20"/>
        <v>Experienced</v>
      </c>
    </row>
    <row r="389" spans="1:14">
      <c r="A389" s="16" t="s">
        <v>866</v>
      </c>
      <c r="B389" s="17" t="s">
        <v>867</v>
      </c>
      <c r="C389" s="17" t="s">
        <v>19</v>
      </c>
      <c r="D389" s="17" t="s">
        <v>38</v>
      </c>
      <c r="E389" s="17" t="s">
        <v>77</v>
      </c>
      <c r="F389" s="17" t="s">
        <v>15</v>
      </c>
      <c r="G389" s="17" t="s">
        <v>94</v>
      </c>
      <c r="H389" s="17">
        <v>43337</v>
      </c>
      <c r="I389" s="17">
        <v>173688</v>
      </c>
      <c r="J389" s="17" t="s">
        <v>112</v>
      </c>
      <c r="K389" s="17" t="str">
        <f>A389&amp;B389&amp;C389&amp;D389&amp;E389&amp;F389&amp;G389&amp;H389&amp;I389&amp;J389&amp;[1]Sheet1!$G$5</f>
        <v>E0388Sadia RahmanMaleEngineeringJunior Software EngineerFull-timeRajshahi43337173688E0024Sylhet</v>
      </c>
      <c r="L389" s="17">
        <f t="shared" si="18"/>
        <v>134842</v>
      </c>
      <c r="M389" s="17">
        <f ca="1" t="shared" si="19"/>
        <v>7</v>
      </c>
      <c r="N389" s="18" t="str">
        <f ca="1" t="shared" si="20"/>
        <v>Experienced</v>
      </c>
    </row>
    <row r="390" spans="1:14">
      <c r="A390" s="13" t="s">
        <v>549</v>
      </c>
      <c r="B390" s="14" t="s">
        <v>531</v>
      </c>
      <c r="C390" s="14" t="s">
        <v>12</v>
      </c>
      <c r="D390" s="14" t="s">
        <v>26</v>
      </c>
      <c r="E390" s="14" t="s">
        <v>27</v>
      </c>
      <c r="F390" s="14" t="s">
        <v>15</v>
      </c>
      <c r="G390" s="14" t="s">
        <v>62</v>
      </c>
      <c r="H390" s="14">
        <v>42791</v>
      </c>
      <c r="I390" s="14">
        <v>114847</v>
      </c>
      <c r="J390" s="14" t="s">
        <v>607</v>
      </c>
      <c r="K390" s="14" t="str">
        <f>A390&amp;B390&amp;C390&amp;D390&amp;E390&amp;F390&amp;G390&amp;H390&amp;I390&amp;J390&amp;[1]Sheet1!$G$5</f>
        <v>E0389Mitu MahmudFemaleFinanceFinance ManagerFull-timeChattogram42791114847E0237Sylhet</v>
      </c>
      <c r="L390" s="14">
        <f t="shared" si="18"/>
        <v>134588.5</v>
      </c>
      <c r="M390" s="14">
        <f ca="1" t="shared" si="19"/>
        <v>9</v>
      </c>
      <c r="N390" s="15" t="str">
        <f ca="1" t="shared" si="20"/>
        <v>Experienced</v>
      </c>
    </row>
    <row r="391" spans="1:14">
      <c r="A391" s="16" t="s">
        <v>868</v>
      </c>
      <c r="B391" s="17" t="s">
        <v>869</v>
      </c>
      <c r="C391" s="17" t="s">
        <v>12</v>
      </c>
      <c r="D391" s="17" t="s">
        <v>52</v>
      </c>
      <c r="E391" s="17" t="s">
        <v>120</v>
      </c>
      <c r="F391" s="17" t="s">
        <v>15</v>
      </c>
      <c r="G391" s="17" t="s">
        <v>62</v>
      </c>
      <c r="H391" s="17">
        <v>42969</v>
      </c>
      <c r="I391" s="17">
        <v>93598</v>
      </c>
      <c r="J391" s="17"/>
      <c r="K391" s="17" t="str">
        <f>A391&amp;B391&amp;C391&amp;D391&amp;E391&amp;F391&amp;G391&amp;H391&amp;I391&amp;J391&amp;[1]Sheet1!$G$5</f>
        <v>E0390Shawon RahmanFemaleOperationsSupply Chain AnalystFull-timeChattogram4296993598Sylhet</v>
      </c>
      <c r="L391" s="17">
        <f t="shared" si="18"/>
        <v>134842</v>
      </c>
      <c r="M391" s="17">
        <f ca="1" t="shared" si="19"/>
        <v>8</v>
      </c>
      <c r="N391" s="18" t="str">
        <f ca="1" t="shared" si="20"/>
        <v>Experienced</v>
      </c>
    </row>
    <row r="392" spans="1:14">
      <c r="A392" s="13" t="s">
        <v>870</v>
      </c>
      <c r="B392" s="14" t="s">
        <v>51</v>
      </c>
      <c r="C392" s="14" t="s">
        <v>12</v>
      </c>
      <c r="D392" s="14" t="s">
        <v>20</v>
      </c>
      <c r="E392" s="14" t="s">
        <v>147</v>
      </c>
      <c r="F392" s="14" t="s">
        <v>15</v>
      </c>
      <c r="G392" s="14" t="s">
        <v>16</v>
      </c>
      <c r="H392" s="14">
        <v>43418</v>
      </c>
      <c r="I392" s="14">
        <v>115895</v>
      </c>
      <c r="J392" s="14" t="s">
        <v>507</v>
      </c>
      <c r="K392" s="14" t="str">
        <f>A392&amp;B392&amp;C392&amp;D392&amp;E392&amp;F392&amp;G392&amp;H392&amp;I392&amp;J392&amp;[1]Sheet1!$G$5</f>
        <v>E0391Imran FerdousFemaleCustomer SuccessSupport AssociateFull-timeKhulna43418115895E0198Sylhet</v>
      </c>
      <c r="L392" s="14">
        <f t="shared" si="18"/>
        <v>134858.5</v>
      </c>
      <c r="M392" s="14">
        <f ca="1" t="shared" si="19"/>
        <v>7</v>
      </c>
      <c r="N392" s="15" t="str">
        <f ca="1" t="shared" si="20"/>
        <v>Experienced</v>
      </c>
    </row>
    <row r="393" spans="1:14">
      <c r="A393" s="16" t="s">
        <v>871</v>
      </c>
      <c r="B393" s="17" t="s">
        <v>872</v>
      </c>
      <c r="C393" s="17" t="s">
        <v>12</v>
      </c>
      <c r="D393" s="17" t="s">
        <v>13</v>
      </c>
      <c r="E393" s="17" t="s">
        <v>14</v>
      </c>
      <c r="F393" s="17" t="s">
        <v>15</v>
      </c>
      <c r="G393" s="17" t="s">
        <v>40</v>
      </c>
      <c r="H393" s="17">
        <v>43178</v>
      </c>
      <c r="I393" s="17">
        <v>78604</v>
      </c>
      <c r="J393" s="17" t="s">
        <v>547</v>
      </c>
      <c r="K393" s="17" t="str">
        <f>A393&amp;B393&amp;C393&amp;D393&amp;E393&amp;F393&amp;G393&amp;H393&amp;I393&amp;J393&amp;[1]Sheet1!$G$5</f>
        <v>E0392Imran ChowdhuryFemaleSalesSales AssociateFull-timeDhaka4317878604E0210Sylhet</v>
      </c>
      <c r="L393" s="17">
        <f t="shared" si="18"/>
        <v>134875</v>
      </c>
      <c r="M393" s="17">
        <f ca="1" t="shared" si="19"/>
        <v>7</v>
      </c>
      <c r="N393" s="18" t="str">
        <f ca="1" t="shared" si="20"/>
        <v>Experienced</v>
      </c>
    </row>
    <row r="394" spans="1:14">
      <c r="A394" s="13" t="s">
        <v>873</v>
      </c>
      <c r="B394" s="14" t="s">
        <v>874</v>
      </c>
      <c r="C394" s="14" t="s">
        <v>19</v>
      </c>
      <c r="D394" s="14" t="s">
        <v>13</v>
      </c>
      <c r="E394" s="14" t="s">
        <v>14</v>
      </c>
      <c r="F394" s="14" t="s">
        <v>15</v>
      </c>
      <c r="G394" s="14" t="s">
        <v>16</v>
      </c>
      <c r="H394" s="14">
        <v>43080</v>
      </c>
      <c r="I394" s="14">
        <v>131840</v>
      </c>
      <c r="J394" s="14" t="s">
        <v>456</v>
      </c>
      <c r="K394" s="14" t="str">
        <f>A394&amp;B394&amp;C394&amp;D394&amp;E394&amp;F394&amp;G394&amp;H394&amp;I394&amp;J394&amp;[1]Sheet1!$G$5</f>
        <v>E0393Rafi HossainMaleSalesSales AssociateFull-timeKhulna43080131840E0416Sylhet</v>
      </c>
      <c r="L394" s="14">
        <f t="shared" si="18"/>
        <v>134973.5</v>
      </c>
      <c r="M394" s="14">
        <f ca="1" t="shared" si="19"/>
        <v>8</v>
      </c>
      <c r="N394" s="15" t="str">
        <f ca="1" t="shared" si="20"/>
        <v>Experienced</v>
      </c>
    </row>
    <row r="395" spans="1:14">
      <c r="A395" s="16" t="s">
        <v>875</v>
      </c>
      <c r="B395" s="17" t="s">
        <v>876</v>
      </c>
      <c r="C395" s="17" t="s">
        <v>19</v>
      </c>
      <c r="D395" s="17" t="s">
        <v>52</v>
      </c>
      <c r="E395" s="17" t="s">
        <v>120</v>
      </c>
      <c r="F395" s="17" t="s">
        <v>15</v>
      </c>
      <c r="G395" s="17" t="s">
        <v>28</v>
      </c>
      <c r="H395" s="17">
        <v>44837</v>
      </c>
      <c r="I395" s="17">
        <v>135229</v>
      </c>
      <c r="J395" s="17" t="s">
        <v>589</v>
      </c>
      <c r="K395" s="17" t="str">
        <f>A395&amp;B395&amp;C395&amp;D395&amp;E395&amp;F395&amp;G395&amp;H395&amp;I395&amp;J395&amp;[1]Sheet1!$G$5</f>
        <v>E0394Jannat ShahMaleOperationsSupply Chain AnalystFull-timeRemote44837135229E0538Sylhet</v>
      </c>
      <c r="L395" s="17">
        <f t="shared" si="18"/>
        <v>135072</v>
      </c>
      <c r="M395" s="17">
        <f ca="1" t="shared" si="19"/>
        <v>3</v>
      </c>
      <c r="N395" s="18" t="str">
        <f ca="1" t="shared" si="20"/>
        <v>Mid level</v>
      </c>
    </row>
    <row r="396" spans="1:14">
      <c r="A396" s="13" t="s">
        <v>877</v>
      </c>
      <c r="B396" s="14" t="s">
        <v>878</v>
      </c>
      <c r="C396" s="14" t="s">
        <v>19</v>
      </c>
      <c r="D396" s="14" t="s">
        <v>13</v>
      </c>
      <c r="E396" s="14" t="s">
        <v>165</v>
      </c>
      <c r="F396" s="14" t="s">
        <v>15</v>
      </c>
      <c r="G396" s="14" t="s">
        <v>28</v>
      </c>
      <c r="H396" s="14">
        <v>42996</v>
      </c>
      <c r="I396" s="14">
        <v>181022</v>
      </c>
      <c r="J396" s="14" t="s">
        <v>879</v>
      </c>
      <c r="K396" s="14" t="str">
        <f>A396&amp;B396&amp;C396&amp;D396&amp;E396&amp;F396&amp;G396&amp;H396&amp;I396&amp;J396&amp;[1]Sheet1!$G$5</f>
        <v>E0395Fahim SultanaMaleSalesAccount ExecutiveFull-timeRemote42996181022E0745Sylhet</v>
      </c>
      <c r="L396" s="14">
        <f t="shared" si="18"/>
        <v>134973.5</v>
      </c>
      <c r="M396" s="14">
        <f ca="1" t="shared" si="19"/>
        <v>8</v>
      </c>
      <c r="N396" s="15" t="str">
        <f ca="1" t="shared" si="20"/>
        <v>Experienced</v>
      </c>
    </row>
    <row r="397" spans="1:14">
      <c r="A397" s="16" t="s">
        <v>74</v>
      </c>
      <c r="B397" s="17" t="s">
        <v>297</v>
      </c>
      <c r="C397" s="17" t="s">
        <v>19</v>
      </c>
      <c r="D397" s="17" t="s">
        <v>20</v>
      </c>
      <c r="E397" s="17" t="s">
        <v>70</v>
      </c>
      <c r="F397" s="17" t="s">
        <v>15</v>
      </c>
      <c r="G397" s="17" t="s">
        <v>34</v>
      </c>
      <c r="H397" s="17">
        <v>45483</v>
      </c>
      <c r="I397" s="17">
        <v>99838</v>
      </c>
      <c r="J397" s="17" t="s">
        <v>583</v>
      </c>
      <c r="K397" s="17" t="str">
        <f>A397&amp;B397&amp;C397&amp;D397&amp;E397&amp;F397&amp;G397&amp;H397&amp;I397&amp;J397&amp;[1]Sheet1!$G$5</f>
        <v>E0396Mitu ChowdhuryMaleCustomer SuccessCustomer Success ManagerFull-timeSylhet4548399838E0226Sylhet</v>
      </c>
      <c r="L397" s="17">
        <f t="shared" si="18"/>
        <v>134875</v>
      </c>
      <c r="M397" s="17">
        <f ca="1" t="shared" si="19"/>
        <v>1</v>
      </c>
      <c r="N397" s="18" t="str">
        <f ca="1" t="shared" si="20"/>
        <v>New</v>
      </c>
    </row>
    <row r="398" spans="1:14">
      <c r="A398" s="13" t="s">
        <v>880</v>
      </c>
      <c r="B398" s="14" t="s">
        <v>881</v>
      </c>
      <c r="C398" s="14" t="s">
        <v>19</v>
      </c>
      <c r="D398" s="14" t="s">
        <v>52</v>
      </c>
      <c r="E398" s="14" t="s">
        <v>120</v>
      </c>
      <c r="F398" s="14" t="s">
        <v>15</v>
      </c>
      <c r="G398" s="14" t="s">
        <v>28</v>
      </c>
      <c r="H398" s="14">
        <v>45479</v>
      </c>
      <c r="I398" s="14">
        <v>143446</v>
      </c>
      <c r="J398" s="14" t="s">
        <v>74</v>
      </c>
      <c r="K398" s="14" t="str">
        <f>A398&amp;B398&amp;C398&amp;D398&amp;E398&amp;F398&amp;G398&amp;H398&amp;I398&amp;J398&amp;[1]Sheet1!$G$5</f>
        <v>E0397Nafiz BanuMaleOperationsSupply Chain AnalystFull-timeRemote45479143446E0396Sylhet</v>
      </c>
      <c r="L398" s="14">
        <f t="shared" si="18"/>
        <v>134973.5</v>
      </c>
      <c r="M398" s="14">
        <f ca="1" t="shared" si="19"/>
        <v>1</v>
      </c>
      <c r="N398" s="15" t="str">
        <f ca="1" t="shared" si="20"/>
        <v>New</v>
      </c>
    </row>
    <row r="399" spans="1:14">
      <c r="A399" s="16" t="s">
        <v>882</v>
      </c>
      <c r="B399" s="17" t="s">
        <v>883</v>
      </c>
      <c r="C399" s="17" t="s">
        <v>12</v>
      </c>
      <c r="D399" s="17" t="s">
        <v>13</v>
      </c>
      <c r="E399" s="17" t="s">
        <v>14</v>
      </c>
      <c r="F399" s="17" t="s">
        <v>15</v>
      </c>
      <c r="G399" s="17" t="s">
        <v>28</v>
      </c>
      <c r="H399" s="17">
        <v>45054</v>
      </c>
      <c r="I399" s="17">
        <v>79711</v>
      </c>
      <c r="J399" s="17" t="s">
        <v>884</v>
      </c>
      <c r="K399" s="17" t="str">
        <f>A399&amp;B399&amp;C399&amp;D399&amp;E399&amp;F399&amp;G399&amp;H399&amp;I399&amp;J399&amp;[1]Sheet1!$G$5</f>
        <v>E0398Tania IslamFemaleSalesSales AssociateFull-timeRemote4505479711E0874Sylhet</v>
      </c>
      <c r="L399" s="17">
        <f t="shared" si="18"/>
        <v>134875</v>
      </c>
      <c r="M399" s="17">
        <f ca="1" t="shared" si="19"/>
        <v>2</v>
      </c>
      <c r="N399" s="18" t="str">
        <f ca="1" t="shared" si="20"/>
        <v>New</v>
      </c>
    </row>
    <row r="400" spans="1:14">
      <c r="A400" s="13" t="s">
        <v>885</v>
      </c>
      <c r="B400" s="14" t="s">
        <v>886</v>
      </c>
      <c r="C400" s="14" t="s">
        <v>12</v>
      </c>
      <c r="D400" s="14" t="s">
        <v>26</v>
      </c>
      <c r="E400" s="14" t="s">
        <v>294</v>
      </c>
      <c r="F400" s="14" t="s">
        <v>48</v>
      </c>
      <c r="G400" s="14" t="s">
        <v>40</v>
      </c>
      <c r="H400" s="14">
        <v>42678</v>
      </c>
      <c r="I400" s="14">
        <v>209505</v>
      </c>
      <c r="J400" s="14" t="s">
        <v>215</v>
      </c>
      <c r="K400" s="14" t="str">
        <f>A400&amp;B400&amp;C400&amp;D400&amp;E400&amp;F400&amp;G400&amp;H400&amp;I400&amp;J400&amp;[1]Sheet1!$G$5</f>
        <v>E0399Lamia SadiqFemaleFinanceSenior Financial AnalystContractDhaka42678209505E0580Sylhet</v>
      </c>
      <c r="L400" s="14">
        <f t="shared" si="18"/>
        <v>134973.5</v>
      </c>
      <c r="M400" s="14">
        <f ca="1" t="shared" si="19"/>
        <v>9</v>
      </c>
      <c r="N400" s="15" t="str">
        <f ca="1" t="shared" si="20"/>
        <v>Experienced</v>
      </c>
    </row>
    <row r="401" spans="1:14">
      <c r="A401" s="16" t="s">
        <v>887</v>
      </c>
      <c r="B401" s="17" t="s">
        <v>888</v>
      </c>
      <c r="C401" s="17" t="s">
        <v>19</v>
      </c>
      <c r="D401" s="17" t="s">
        <v>26</v>
      </c>
      <c r="E401" s="17" t="s">
        <v>294</v>
      </c>
      <c r="F401" s="17" t="s">
        <v>15</v>
      </c>
      <c r="G401" s="17" t="s">
        <v>94</v>
      </c>
      <c r="H401" s="17">
        <v>43095</v>
      </c>
      <c r="I401" s="17">
        <v>127752</v>
      </c>
      <c r="J401" s="17" t="s">
        <v>889</v>
      </c>
      <c r="K401" s="17" t="str">
        <f>A401&amp;B401&amp;C401&amp;D401&amp;E401&amp;F401&amp;G401&amp;H401&amp;I401&amp;J401&amp;[1]Sheet1!$G$5</f>
        <v>E0400Farhan HasanMaleFinanceSenior Financial AnalystFull-timeRajshahi43095127752E0479Sylhet</v>
      </c>
      <c r="L401" s="17">
        <f t="shared" si="18"/>
        <v>134875</v>
      </c>
      <c r="M401" s="17">
        <f ca="1" t="shared" si="19"/>
        <v>8</v>
      </c>
      <c r="N401" s="18" t="str">
        <f ca="1" t="shared" si="20"/>
        <v>Experienced</v>
      </c>
    </row>
    <row r="402" spans="1:14">
      <c r="A402" s="13" t="s">
        <v>890</v>
      </c>
      <c r="B402" s="14" t="s">
        <v>829</v>
      </c>
      <c r="C402" s="14" t="s">
        <v>19</v>
      </c>
      <c r="D402" s="14" t="s">
        <v>38</v>
      </c>
      <c r="E402" s="14" t="s">
        <v>77</v>
      </c>
      <c r="F402" s="14" t="s">
        <v>15</v>
      </c>
      <c r="G402" s="14" t="s">
        <v>28</v>
      </c>
      <c r="H402" s="14">
        <v>45535</v>
      </c>
      <c r="I402" s="14">
        <v>175759</v>
      </c>
      <c r="J402" s="14" t="s">
        <v>309</v>
      </c>
      <c r="K402" s="14" t="str">
        <f>A402&amp;B402&amp;C402&amp;D402&amp;E402&amp;F402&amp;G402&amp;H402&amp;I402&amp;J402&amp;[1]Sheet1!$G$5</f>
        <v>E0401Priya HaiderMaleEngineeringJunior Software EngineerFull-timeRemote45535175759E0197Sylhet</v>
      </c>
      <c r="L402" s="14">
        <f t="shared" si="18"/>
        <v>134973.5</v>
      </c>
      <c r="M402" s="14">
        <f ca="1" t="shared" si="19"/>
        <v>1</v>
      </c>
      <c r="N402" s="15" t="str">
        <f ca="1" t="shared" si="20"/>
        <v>New</v>
      </c>
    </row>
    <row r="403" spans="1:14">
      <c r="A403" s="16" t="s">
        <v>891</v>
      </c>
      <c r="B403" s="17" t="s">
        <v>775</v>
      </c>
      <c r="C403" s="17" t="s">
        <v>19</v>
      </c>
      <c r="D403" s="17" t="s">
        <v>20</v>
      </c>
      <c r="E403" s="17" t="s">
        <v>147</v>
      </c>
      <c r="F403" s="17" t="s">
        <v>15</v>
      </c>
      <c r="G403" s="17" t="s">
        <v>28</v>
      </c>
      <c r="H403" s="17">
        <v>44942</v>
      </c>
      <c r="I403" s="17">
        <v>82536</v>
      </c>
      <c r="J403" s="17" t="s">
        <v>585</v>
      </c>
      <c r="K403" s="17" t="str">
        <f>A403&amp;B403&amp;C403&amp;D403&amp;E403&amp;F403&amp;G403&amp;H403&amp;I403&amp;J403&amp;[1]Sheet1!$G$5</f>
        <v>E0402Tania ShahMaleCustomer SuccessSupport AssociateFull-timeRemote4494282536E0241Sylhet</v>
      </c>
      <c r="L403" s="17">
        <f t="shared" si="18"/>
        <v>134875</v>
      </c>
      <c r="M403" s="17">
        <f ca="1" t="shared" si="19"/>
        <v>3</v>
      </c>
      <c r="N403" s="18" t="str">
        <f ca="1" t="shared" si="20"/>
        <v>Mid level</v>
      </c>
    </row>
    <row r="404" spans="1:14">
      <c r="A404" s="13" t="s">
        <v>892</v>
      </c>
      <c r="B404" s="14" t="s">
        <v>893</v>
      </c>
      <c r="C404" s="14" t="s">
        <v>19</v>
      </c>
      <c r="D404" s="14" t="s">
        <v>92</v>
      </c>
      <c r="E404" s="14" t="s">
        <v>189</v>
      </c>
      <c r="F404" s="14" t="s">
        <v>48</v>
      </c>
      <c r="G404" s="14" t="s">
        <v>62</v>
      </c>
      <c r="H404" s="14">
        <v>44393</v>
      </c>
      <c r="I404" s="14">
        <v>97997</v>
      </c>
      <c r="J404" s="14" t="s">
        <v>89</v>
      </c>
      <c r="K404" s="14" t="str">
        <f>A404&amp;B404&amp;C404&amp;D404&amp;E404&amp;F404&amp;G404&amp;H404&amp;I404&amp;J404&amp;[1]Sheet1!$G$5</f>
        <v>E0403Rafi SharminMaleMarketingMarketing AssociateContractChattogram4439397997E0783Sylhet</v>
      </c>
      <c r="L404" s="14">
        <f t="shared" si="18"/>
        <v>134973.5</v>
      </c>
      <c r="M404" s="14">
        <f ca="1" t="shared" si="19"/>
        <v>4</v>
      </c>
      <c r="N404" s="15" t="str">
        <f ca="1" t="shared" si="20"/>
        <v>Mid level</v>
      </c>
    </row>
    <row r="405" spans="1:14">
      <c r="A405" s="16" t="s">
        <v>298</v>
      </c>
      <c r="B405" s="17" t="s">
        <v>894</v>
      </c>
      <c r="C405" s="17" t="s">
        <v>12</v>
      </c>
      <c r="D405" s="17" t="s">
        <v>52</v>
      </c>
      <c r="E405" s="17" t="s">
        <v>53</v>
      </c>
      <c r="F405" s="17" t="s">
        <v>15</v>
      </c>
      <c r="G405" s="17" t="s">
        <v>94</v>
      </c>
      <c r="H405" s="17">
        <v>44270</v>
      </c>
      <c r="I405" s="17">
        <v>148933</v>
      </c>
      <c r="J405" s="17" t="s">
        <v>392</v>
      </c>
      <c r="K405" s="17" t="str">
        <f>A405&amp;B405&amp;C405&amp;D405&amp;E405&amp;F405&amp;G405&amp;H405&amp;I405&amp;J405&amp;[1]Sheet1!$G$5</f>
        <v>E0404Imran KhanFemaleOperationsOperations ManagerFull-timeRajshahi44270148933E0979Sylhet</v>
      </c>
      <c r="L405" s="17">
        <f t="shared" si="18"/>
        <v>135072</v>
      </c>
      <c r="M405" s="17">
        <f ca="1" t="shared" si="19"/>
        <v>5</v>
      </c>
      <c r="N405" s="18" t="str">
        <f ca="1" t="shared" si="20"/>
        <v>Mid level</v>
      </c>
    </row>
    <row r="406" spans="1:14">
      <c r="A406" s="13" t="s">
        <v>895</v>
      </c>
      <c r="B406" s="14" t="s">
        <v>896</v>
      </c>
      <c r="C406" s="14" t="s">
        <v>12</v>
      </c>
      <c r="D406" s="14" t="s">
        <v>13</v>
      </c>
      <c r="E406" s="14" t="s">
        <v>223</v>
      </c>
      <c r="F406" s="14" t="s">
        <v>15</v>
      </c>
      <c r="G406" s="14" t="s">
        <v>28</v>
      </c>
      <c r="H406" s="14">
        <v>45460</v>
      </c>
      <c r="I406" s="14">
        <v>161212</v>
      </c>
      <c r="J406" s="14" t="s">
        <v>102</v>
      </c>
      <c r="K406" s="14" t="str">
        <f>A406&amp;B406&amp;C406&amp;D406&amp;E406&amp;F406&amp;G406&amp;H406&amp;I406&amp;J406&amp;[1]Sheet1!$G$5</f>
        <v>E0405Rahim HossainFemaleSalesSenior Account ExecutiveFull-timeRemote45460161212E0777Sylhet</v>
      </c>
      <c r="L406" s="14">
        <f t="shared" si="18"/>
        <v>134973.5</v>
      </c>
      <c r="M406" s="14">
        <f ca="1" t="shared" si="19"/>
        <v>1</v>
      </c>
      <c r="N406" s="15" t="str">
        <f ca="1" t="shared" si="20"/>
        <v>New</v>
      </c>
    </row>
    <row r="407" spans="1:14">
      <c r="A407" s="16" t="s">
        <v>897</v>
      </c>
      <c r="B407" s="17" t="s">
        <v>898</v>
      </c>
      <c r="C407" s="17" t="s">
        <v>19</v>
      </c>
      <c r="D407" s="17" t="s">
        <v>52</v>
      </c>
      <c r="E407" s="17" t="s">
        <v>120</v>
      </c>
      <c r="F407" s="17" t="s">
        <v>15</v>
      </c>
      <c r="G407" s="17" t="s">
        <v>40</v>
      </c>
      <c r="H407" s="17">
        <v>44679</v>
      </c>
      <c r="I407" s="17">
        <v>133746</v>
      </c>
      <c r="J407" s="17" t="s">
        <v>102</v>
      </c>
      <c r="K407" s="17" t="str">
        <f>A407&amp;B407&amp;C407&amp;D407&amp;E407&amp;F407&amp;G407&amp;H407&amp;I407&amp;J407&amp;[1]Sheet1!$G$5</f>
        <v>E0406Karim ParvinMaleOperationsSupply Chain AnalystFull-timeDhaka44679133746E0777Sylhet</v>
      </c>
      <c r="L407" s="17">
        <f t="shared" si="18"/>
        <v>134875</v>
      </c>
      <c r="M407" s="17">
        <f ca="1" t="shared" si="19"/>
        <v>3</v>
      </c>
      <c r="N407" s="18" t="str">
        <f ca="1" t="shared" si="20"/>
        <v>Mid level</v>
      </c>
    </row>
    <row r="408" spans="1:14">
      <c r="A408" s="13" t="s">
        <v>397</v>
      </c>
      <c r="B408" s="14" t="s">
        <v>261</v>
      </c>
      <c r="C408" s="14" t="s">
        <v>19</v>
      </c>
      <c r="D408" s="14" t="s">
        <v>13</v>
      </c>
      <c r="E408" s="14" t="s">
        <v>98</v>
      </c>
      <c r="F408" s="14" t="s">
        <v>15</v>
      </c>
      <c r="G408" s="14" t="s">
        <v>16</v>
      </c>
      <c r="H408" s="14">
        <v>45482</v>
      </c>
      <c r="I408" s="14">
        <v>154689</v>
      </c>
      <c r="J408" s="14" t="s">
        <v>259</v>
      </c>
      <c r="K408" s="14" t="str">
        <f>A408&amp;B408&amp;C408&amp;D408&amp;E408&amp;F408&amp;G408&amp;H408&amp;I408&amp;J408&amp;[1]Sheet1!$G$5</f>
        <v>E0407Shawon AlamMaleSalesSales ManagerFull-timeKhulna45482154689E0239Sylhet</v>
      </c>
      <c r="L408" s="14">
        <f t="shared" si="18"/>
        <v>134973.5</v>
      </c>
      <c r="M408" s="14">
        <f ca="1" t="shared" si="19"/>
        <v>1</v>
      </c>
      <c r="N408" s="15" t="str">
        <f ca="1" t="shared" si="20"/>
        <v>New</v>
      </c>
    </row>
    <row r="409" spans="1:14">
      <c r="A409" s="16" t="s">
        <v>899</v>
      </c>
      <c r="B409" s="17" t="s">
        <v>236</v>
      </c>
      <c r="C409" s="17" t="s">
        <v>19</v>
      </c>
      <c r="D409" s="17" t="s">
        <v>38</v>
      </c>
      <c r="E409" s="17" t="s">
        <v>39</v>
      </c>
      <c r="F409" s="17" t="s">
        <v>15</v>
      </c>
      <c r="G409" s="17" t="s">
        <v>62</v>
      </c>
      <c r="H409" s="17">
        <v>44743</v>
      </c>
      <c r="I409" s="17">
        <v>115869</v>
      </c>
      <c r="J409" s="17" t="s">
        <v>220</v>
      </c>
      <c r="K409" s="17" t="str">
        <f>A409&amp;B409&amp;C409&amp;D409&amp;E409&amp;F409&amp;G409&amp;H409&amp;I409&amp;J409&amp;[1]Sheet1!$G$5</f>
        <v>E0408Sadia AkterMaleEngineeringDevOps EngineerFull-timeChattogram44743115869E0184Sylhet</v>
      </c>
      <c r="L409" s="17">
        <f t="shared" si="18"/>
        <v>134875</v>
      </c>
      <c r="M409" s="17">
        <f ca="1" t="shared" si="19"/>
        <v>3</v>
      </c>
      <c r="N409" s="18" t="str">
        <f ca="1" t="shared" si="20"/>
        <v>Mid level</v>
      </c>
    </row>
    <row r="410" spans="1:14">
      <c r="A410" s="13" t="s">
        <v>900</v>
      </c>
      <c r="B410" s="14" t="s">
        <v>901</v>
      </c>
      <c r="C410" s="14" t="s">
        <v>12</v>
      </c>
      <c r="D410" s="14" t="s">
        <v>20</v>
      </c>
      <c r="E410" s="14" t="s">
        <v>21</v>
      </c>
      <c r="F410" s="14" t="s">
        <v>48</v>
      </c>
      <c r="G410" s="14" t="s">
        <v>28</v>
      </c>
      <c r="H410" s="14">
        <v>44208</v>
      </c>
      <c r="I410" s="14">
        <v>66765</v>
      </c>
      <c r="J410" s="14" t="s">
        <v>23</v>
      </c>
      <c r="K410" s="14" t="str">
        <f>A410&amp;B410&amp;C410&amp;D410&amp;E410&amp;F410&amp;G410&amp;H410&amp;I410&amp;J410&amp;[1]Sheet1!$G$5</f>
        <v>E0409Ayesha MorshedFemaleCustomer SuccessSupport SpecialistContractRemote4420866765E0890Sylhet</v>
      </c>
      <c r="L410" s="14">
        <f t="shared" si="18"/>
        <v>134973.5</v>
      </c>
      <c r="M410" s="14">
        <f ca="1" t="shared" si="19"/>
        <v>5</v>
      </c>
      <c r="N410" s="15" t="str">
        <f ca="1" t="shared" si="20"/>
        <v>Mid level</v>
      </c>
    </row>
    <row r="411" spans="1:14">
      <c r="A411" s="16" t="s">
        <v>902</v>
      </c>
      <c r="B411" s="17" t="s">
        <v>541</v>
      </c>
      <c r="C411" s="17" t="s">
        <v>19</v>
      </c>
      <c r="D411" s="17" t="s">
        <v>38</v>
      </c>
      <c r="E411" s="17" t="s">
        <v>39</v>
      </c>
      <c r="F411" s="17" t="s">
        <v>15</v>
      </c>
      <c r="G411" s="17" t="s">
        <v>62</v>
      </c>
      <c r="H411" s="17">
        <v>45159</v>
      </c>
      <c r="I411" s="17">
        <v>223811</v>
      </c>
      <c r="J411" s="17" t="s">
        <v>419</v>
      </c>
      <c r="K411" s="17" t="str">
        <f>A411&amp;B411&amp;C411&amp;D411&amp;E411&amp;F411&amp;G411&amp;H411&amp;I411&amp;J411&amp;[1]Sheet1!$G$5</f>
        <v>E0410Jannat IslamMaleEngineeringDevOps EngineerFull-timeChattogram45159223811E0144Sylhet</v>
      </c>
      <c r="L411" s="17">
        <f t="shared" si="18"/>
        <v>135072</v>
      </c>
      <c r="M411" s="17">
        <f ca="1" t="shared" si="19"/>
        <v>2</v>
      </c>
      <c r="N411" s="18" t="str">
        <f ca="1" t="shared" si="20"/>
        <v>New</v>
      </c>
    </row>
    <row r="412" spans="1:14">
      <c r="A412" s="13" t="s">
        <v>903</v>
      </c>
      <c r="B412" s="14" t="s">
        <v>904</v>
      </c>
      <c r="C412" s="14" t="s">
        <v>12</v>
      </c>
      <c r="D412" s="14" t="s">
        <v>87</v>
      </c>
      <c r="E412" s="14" t="s">
        <v>88</v>
      </c>
      <c r="F412" s="14" t="s">
        <v>15</v>
      </c>
      <c r="G412" s="14" t="s">
        <v>28</v>
      </c>
      <c r="H412" s="14">
        <v>44682</v>
      </c>
      <c r="I412" s="14">
        <v>232842</v>
      </c>
      <c r="J412" s="14" t="s">
        <v>253</v>
      </c>
      <c r="K412" s="14" t="str">
        <f>A412&amp;B412&amp;C412&amp;D412&amp;E412&amp;F412&amp;G412&amp;H412&amp;I412&amp;J412&amp;[1]Sheet1!$G$5</f>
        <v>E0411Nafiz HaiderFemaleProductProduct AnalystFull-timeRemote44682232842E0109Sylhet</v>
      </c>
      <c r="L412" s="14">
        <f t="shared" si="18"/>
        <v>134973.5</v>
      </c>
      <c r="M412" s="14">
        <f ca="1" t="shared" si="19"/>
        <v>3</v>
      </c>
      <c r="N412" s="15" t="str">
        <f ca="1" t="shared" si="20"/>
        <v>Mid level</v>
      </c>
    </row>
    <row r="413" spans="1:14">
      <c r="A413" s="16" t="s">
        <v>905</v>
      </c>
      <c r="B413" s="17" t="s">
        <v>906</v>
      </c>
      <c r="C413" s="17" t="s">
        <v>12</v>
      </c>
      <c r="D413" s="17" t="s">
        <v>20</v>
      </c>
      <c r="E413" s="17" t="s">
        <v>147</v>
      </c>
      <c r="F413" s="17" t="s">
        <v>15</v>
      </c>
      <c r="G413" s="17" t="s">
        <v>40</v>
      </c>
      <c r="H413" s="17">
        <v>45003</v>
      </c>
      <c r="I413" s="17">
        <v>46051</v>
      </c>
      <c r="J413" s="17" t="s">
        <v>711</v>
      </c>
      <c r="K413" s="17" t="str">
        <f>A413&amp;B413&amp;C413&amp;D413&amp;E413&amp;F413&amp;G413&amp;H413&amp;I413&amp;J413&amp;[1]Sheet1!$G$5</f>
        <v>E0412Ayesha ShahFemaleCustomer SuccessSupport AssociateFull-timeDhaka4500346051E0716Sylhet</v>
      </c>
      <c r="L413" s="17">
        <f t="shared" si="18"/>
        <v>134875</v>
      </c>
      <c r="M413" s="17">
        <f ca="1" t="shared" si="19"/>
        <v>2</v>
      </c>
      <c r="N413" s="18" t="str">
        <f ca="1" t="shared" si="20"/>
        <v>New</v>
      </c>
    </row>
    <row r="414" spans="1:14">
      <c r="A414" s="13" t="s">
        <v>907</v>
      </c>
      <c r="B414" s="14" t="s">
        <v>195</v>
      </c>
      <c r="C414" s="14" t="s">
        <v>12</v>
      </c>
      <c r="D414" s="14" t="s">
        <v>20</v>
      </c>
      <c r="E414" s="14" t="s">
        <v>147</v>
      </c>
      <c r="F414" s="14" t="s">
        <v>15</v>
      </c>
      <c r="G414" s="14" t="s">
        <v>16</v>
      </c>
      <c r="H414" s="14">
        <v>44972</v>
      </c>
      <c r="I414" s="14">
        <v>67599</v>
      </c>
      <c r="J414" s="14" t="s">
        <v>908</v>
      </c>
      <c r="K414" s="14" t="str">
        <f>A414&amp;B414&amp;C414&amp;D414&amp;E414&amp;F414&amp;G414&amp;H414&amp;I414&amp;J414&amp;[1]Sheet1!$G$5</f>
        <v>E0413Rahim RasheedFemaleCustomer SuccessSupport AssociateFull-timeKhulna4497267599E0513Sylhet</v>
      </c>
      <c r="L414" s="14">
        <f t="shared" si="18"/>
        <v>134973.5</v>
      </c>
      <c r="M414" s="14">
        <f ca="1" t="shared" si="19"/>
        <v>3</v>
      </c>
      <c r="N414" s="15" t="str">
        <f ca="1" t="shared" si="20"/>
        <v>Mid level</v>
      </c>
    </row>
    <row r="415" spans="1:14">
      <c r="A415" s="16" t="s">
        <v>909</v>
      </c>
      <c r="B415" s="17" t="s">
        <v>910</v>
      </c>
      <c r="C415" s="17" t="s">
        <v>19</v>
      </c>
      <c r="D415" s="17" t="s">
        <v>92</v>
      </c>
      <c r="E415" s="17" t="s">
        <v>189</v>
      </c>
      <c r="F415" s="17" t="s">
        <v>15</v>
      </c>
      <c r="G415" s="17" t="s">
        <v>94</v>
      </c>
      <c r="H415" s="17">
        <v>44928</v>
      </c>
      <c r="I415" s="17">
        <v>60095</v>
      </c>
      <c r="J415" s="17" t="s">
        <v>911</v>
      </c>
      <c r="K415" s="17" t="str">
        <f>A415&amp;B415&amp;C415&amp;D415&amp;E415&amp;F415&amp;G415&amp;H415&amp;I415&amp;J415&amp;[1]Sheet1!$G$5</f>
        <v>E0414Mitu AlamMaleMarketingMarketing AssociateFull-timeRajshahi4492860095E0812Sylhet</v>
      </c>
      <c r="L415" s="17">
        <f t="shared" si="18"/>
        <v>135072</v>
      </c>
      <c r="M415" s="17">
        <f ca="1" t="shared" si="19"/>
        <v>3</v>
      </c>
      <c r="N415" s="18" t="str">
        <f ca="1" t="shared" si="20"/>
        <v>Mid level</v>
      </c>
    </row>
    <row r="416" spans="1:14">
      <c r="A416" s="13" t="s">
        <v>912</v>
      </c>
      <c r="B416" s="14" t="s">
        <v>263</v>
      </c>
      <c r="C416" s="14" t="s">
        <v>19</v>
      </c>
      <c r="D416" s="14" t="s">
        <v>32</v>
      </c>
      <c r="E416" s="14" t="s">
        <v>130</v>
      </c>
      <c r="F416" s="14" t="s">
        <v>15</v>
      </c>
      <c r="G416" s="14" t="s">
        <v>28</v>
      </c>
      <c r="H416" s="14">
        <v>43693</v>
      </c>
      <c r="I416" s="14">
        <v>74293</v>
      </c>
      <c r="J416" s="14" t="s">
        <v>179</v>
      </c>
      <c r="K416" s="14" t="str">
        <f>A416&amp;B416&amp;C416&amp;D416&amp;E416&amp;F416&amp;G416&amp;H416&amp;I416&amp;J416&amp;[1]Sheet1!$G$5</f>
        <v>E0415Shafiq SharminMaleHRRecruiterFull-timeRemote4369374293E0045Sylhet</v>
      </c>
      <c r="L416" s="14">
        <f t="shared" si="18"/>
        <v>135184.5</v>
      </c>
      <c r="M416" s="14">
        <f ca="1" t="shared" si="19"/>
        <v>6</v>
      </c>
      <c r="N416" s="15" t="str">
        <f ca="1" t="shared" si="20"/>
        <v>Experienced</v>
      </c>
    </row>
    <row r="417" spans="1:14">
      <c r="A417" s="16" t="s">
        <v>456</v>
      </c>
      <c r="B417" s="17" t="s">
        <v>913</v>
      </c>
      <c r="C417" s="17" t="s">
        <v>19</v>
      </c>
      <c r="D417" s="17" t="s">
        <v>13</v>
      </c>
      <c r="E417" s="17" t="s">
        <v>98</v>
      </c>
      <c r="F417" s="17" t="s">
        <v>15</v>
      </c>
      <c r="G417" s="17" t="s">
        <v>34</v>
      </c>
      <c r="H417" s="17">
        <v>44939</v>
      </c>
      <c r="I417" s="17">
        <v>127508</v>
      </c>
      <c r="J417" s="17" t="s">
        <v>762</v>
      </c>
      <c r="K417" s="17" t="str">
        <f>A417&amp;B417&amp;C417&amp;D417&amp;E417&amp;F417&amp;G417&amp;H417&amp;I417&amp;J417&amp;[1]Sheet1!$G$5</f>
        <v>E0416Shawon MorshedMaleSalesSales ManagerFull-timeSylhet44939127508E0368Sylhet</v>
      </c>
      <c r="L417" s="17">
        <f t="shared" si="18"/>
        <v>135297</v>
      </c>
      <c r="M417" s="17">
        <f ca="1" t="shared" si="19"/>
        <v>3</v>
      </c>
      <c r="N417" s="18" t="str">
        <f ca="1" t="shared" si="20"/>
        <v>Mid level</v>
      </c>
    </row>
    <row r="418" spans="1:14">
      <c r="A418" s="13" t="s">
        <v>914</v>
      </c>
      <c r="B418" s="14" t="s">
        <v>915</v>
      </c>
      <c r="C418" s="14" t="s">
        <v>19</v>
      </c>
      <c r="D418" s="14" t="s">
        <v>87</v>
      </c>
      <c r="E418" s="14" t="s">
        <v>88</v>
      </c>
      <c r="F418" s="14" t="s">
        <v>15</v>
      </c>
      <c r="G418" s="14" t="s">
        <v>62</v>
      </c>
      <c r="H418" s="14">
        <v>43664</v>
      </c>
      <c r="I418" s="14">
        <v>151332</v>
      </c>
      <c r="J418" s="14" t="s">
        <v>908</v>
      </c>
      <c r="K418" s="14" t="str">
        <f>A418&amp;B418&amp;C418&amp;D418&amp;E418&amp;F418&amp;G418&amp;H418&amp;I418&amp;J418&amp;[1]Sheet1!$G$5</f>
        <v>E0417Mitu ParvinMaleProductProduct AnalystFull-timeChattogram43664151332E0513Sylhet</v>
      </c>
      <c r="L418" s="14">
        <f t="shared" si="18"/>
        <v>135421</v>
      </c>
      <c r="M418" s="14">
        <f ca="1" t="shared" si="19"/>
        <v>6</v>
      </c>
      <c r="N418" s="15" t="str">
        <f ca="1" t="shared" si="20"/>
        <v>Experienced</v>
      </c>
    </row>
    <row r="419" spans="1:14">
      <c r="A419" s="16" t="s">
        <v>916</v>
      </c>
      <c r="B419" s="17" t="s">
        <v>917</v>
      </c>
      <c r="C419" s="17" t="s">
        <v>19</v>
      </c>
      <c r="D419" s="17" t="s">
        <v>13</v>
      </c>
      <c r="E419" s="17" t="s">
        <v>14</v>
      </c>
      <c r="F419" s="17" t="s">
        <v>15</v>
      </c>
      <c r="G419" s="17" t="s">
        <v>62</v>
      </c>
      <c r="H419" s="17">
        <v>42988</v>
      </c>
      <c r="I419" s="17">
        <v>78808</v>
      </c>
      <c r="J419" s="17" t="s">
        <v>918</v>
      </c>
      <c r="K419" s="17" t="str">
        <f>A419&amp;B419&amp;C419&amp;D419&amp;E419&amp;F419&amp;G419&amp;H419&amp;I419&amp;J419&amp;[1]Sheet1!$G$5</f>
        <v>E0418Ayesha AminMaleSalesSales AssociateFull-timeChattogram4298878808E0954Sylhet</v>
      </c>
      <c r="L419" s="17">
        <f t="shared" si="18"/>
        <v>135297</v>
      </c>
      <c r="M419" s="17">
        <f ca="1" t="shared" si="19"/>
        <v>8</v>
      </c>
      <c r="N419" s="18" t="str">
        <f ca="1" t="shared" si="20"/>
        <v>Experienced</v>
      </c>
    </row>
    <row r="420" spans="1:14">
      <c r="A420" s="13" t="s">
        <v>919</v>
      </c>
      <c r="B420" s="14" t="s">
        <v>346</v>
      </c>
      <c r="C420" s="14" t="s">
        <v>12</v>
      </c>
      <c r="D420" s="14" t="s">
        <v>26</v>
      </c>
      <c r="E420" s="14" t="s">
        <v>61</v>
      </c>
      <c r="F420" s="14" t="s">
        <v>15</v>
      </c>
      <c r="G420" s="14" t="s">
        <v>40</v>
      </c>
      <c r="H420" s="14">
        <v>44171</v>
      </c>
      <c r="I420" s="14">
        <v>169481</v>
      </c>
      <c r="J420" s="14" t="s">
        <v>186</v>
      </c>
      <c r="K420" s="14" t="str">
        <f>A420&amp;B420&amp;C420&amp;D420&amp;E420&amp;F420&amp;G420&amp;H420&amp;I420&amp;J420&amp;[1]Sheet1!$G$5</f>
        <v>E0419Nabila SadiqFemaleFinanceFinancial AnalystFull-timeDhaka44171169481E0927Sylhet</v>
      </c>
      <c r="L420" s="14">
        <f t="shared" si="18"/>
        <v>135421</v>
      </c>
      <c r="M420" s="14">
        <f ca="1" t="shared" si="19"/>
        <v>5</v>
      </c>
      <c r="N420" s="15" t="str">
        <f ca="1" t="shared" si="20"/>
        <v>Mid level</v>
      </c>
    </row>
    <row r="421" spans="1:14">
      <c r="A421" s="16" t="s">
        <v>295</v>
      </c>
      <c r="B421" s="17" t="s">
        <v>920</v>
      </c>
      <c r="C421" s="17" t="s">
        <v>19</v>
      </c>
      <c r="D421" s="17" t="s">
        <v>26</v>
      </c>
      <c r="E421" s="17" t="s">
        <v>27</v>
      </c>
      <c r="F421" s="17" t="s">
        <v>15</v>
      </c>
      <c r="G421" s="17" t="s">
        <v>62</v>
      </c>
      <c r="H421" s="17">
        <v>42649</v>
      </c>
      <c r="I421" s="17">
        <v>222667</v>
      </c>
      <c r="J421" s="17" t="s">
        <v>465</v>
      </c>
      <c r="K421" s="17" t="str">
        <f>A421&amp;B421&amp;C421&amp;D421&amp;E421&amp;F421&amp;G421&amp;H421&amp;I421&amp;J421&amp;[1]Sheet1!$G$5</f>
        <v>E0420Jannat BanuMaleFinanceFinance ManagerFull-timeChattogram42649222667E0166Sylhet</v>
      </c>
      <c r="L421" s="17">
        <f t="shared" si="18"/>
        <v>135297</v>
      </c>
      <c r="M421" s="17">
        <f ca="1" t="shared" si="19"/>
        <v>9</v>
      </c>
      <c r="N421" s="18" t="str">
        <f ca="1" t="shared" si="20"/>
        <v>Experienced</v>
      </c>
    </row>
    <row r="422" spans="1:14">
      <c r="A422" s="13" t="s">
        <v>921</v>
      </c>
      <c r="B422" s="14" t="s">
        <v>922</v>
      </c>
      <c r="C422" s="14" t="s">
        <v>19</v>
      </c>
      <c r="D422" s="14" t="s">
        <v>52</v>
      </c>
      <c r="E422" s="14" t="s">
        <v>246</v>
      </c>
      <c r="F422" s="14" t="s">
        <v>48</v>
      </c>
      <c r="G422" s="14" t="s">
        <v>40</v>
      </c>
      <c r="H422" s="14">
        <v>44290</v>
      </c>
      <c r="I422" s="14">
        <v>126014</v>
      </c>
      <c r="J422" s="14" t="s">
        <v>229</v>
      </c>
      <c r="K422" s="14" t="str">
        <f>A422&amp;B422&amp;C422&amp;D422&amp;E422&amp;F422&amp;G422&amp;H422&amp;I422&amp;J422&amp;[1]Sheet1!$G$5</f>
        <v>E0421Farhan MahmudMaleOperationsOperations AssociateContractDhaka44290126014E0980Sylhet</v>
      </c>
      <c r="L422" s="14">
        <f t="shared" si="18"/>
        <v>135184.5</v>
      </c>
      <c r="M422" s="14">
        <f ca="1" t="shared" si="19"/>
        <v>4</v>
      </c>
      <c r="N422" s="15" t="str">
        <f ca="1" t="shared" si="20"/>
        <v>Mid level</v>
      </c>
    </row>
    <row r="423" spans="1:14">
      <c r="A423" s="16" t="s">
        <v>923</v>
      </c>
      <c r="B423" s="17" t="s">
        <v>924</v>
      </c>
      <c r="C423" s="17" t="s">
        <v>12</v>
      </c>
      <c r="D423" s="17" t="s">
        <v>52</v>
      </c>
      <c r="E423" s="17" t="s">
        <v>120</v>
      </c>
      <c r="F423" s="17" t="s">
        <v>15</v>
      </c>
      <c r="G423" s="17" t="s">
        <v>40</v>
      </c>
      <c r="H423" s="17">
        <v>44181</v>
      </c>
      <c r="I423" s="17">
        <v>146117</v>
      </c>
      <c r="J423" s="17" t="s">
        <v>549</v>
      </c>
      <c r="K423" s="17" t="str">
        <f>A423&amp;B423&amp;C423&amp;D423&amp;E423&amp;F423&amp;G423&amp;H423&amp;I423&amp;J423&amp;[1]Sheet1!$G$5</f>
        <v>E0422Noman JahanFemaleOperationsSupply Chain AnalystFull-timeDhaka44181146117E0389Sylhet</v>
      </c>
      <c r="L423" s="17">
        <f t="shared" si="18"/>
        <v>135297</v>
      </c>
      <c r="M423" s="17">
        <f ca="1" t="shared" si="19"/>
        <v>5</v>
      </c>
      <c r="N423" s="18" t="str">
        <f ca="1" t="shared" si="20"/>
        <v>Mid level</v>
      </c>
    </row>
    <row r="424" spans="1:14">
      <c r="A424" s="13" t="s">
        <v>925</v>
      </c>
      <c r="B424" s="14" t="s">
        <v>926</v>
      </c>
      <c r="C424" s="14" t="s">
        <v>19</v>
      </c>
      <c r="D424" s="14" t="s">
        <v>38</v>
      </c>
      <c r="E424" s="14" t="s">
        <v>77</v>
      </c>
      <c r="F424" s="14" t="s">
        <v>15</v>
      </c>
      <c r="G424" s="14" t="s">
        <v>34</v>
      </c>
      <c r="H424" s="14">
        <v>44956</v>
      </c>
      <c r="I424" s="14">
        <v>174527</v>
      </c>
      <c r="J424" s="14" t="s">
        <v>727</v>
      </c>
      <c r="K424" s="14" t="str">
        <f>A424&amp;B424&amp;C424&amp;D424&amp;E424&amp;F424&amp;G424&amp;H424&amp;I424&amp;J424&amp;[1]Sheet1!$G$5</f>
        <v>E0423Sadia RanaMaleEngineeringJunior Software EngineerFull-timeSylhet44956174527E0618Sylhet</v>
      </c>
      <c r="L424" s="14">
        <f t="shared" si="18"/>
        <v>135184.5</v>
      </c>
      <c r="M424" s="14">
        <f ca="1" t="shared" si="19"/>
        <v>3</v>
      </c>
      <c r="N424" s="15" t="str">
        <f ca="1" t="shared" si="20"/>
        <v>Mid level</v>
      </c>
    </row>
    <row r="425" spans="1:14">
      <c r="A425" s="16" t="s">
        <v>927</v>
      </c>
      <c r="B425" s="17" t="s">
        <v>928</v>
      </c>
      <c r="C425" s="17" t="s">
        <v>12</v>
      </c>
      <c r="D425" s="17" t="s">
        <v>92</v>
      </c>
      <c r="E425" s="17" t="s">
        <v>189</v>
      </c>
      <c r="F425" s="17" t="s">
        <v>15</v>
      </c>
      <c r="G425" s="17" t="s">
        <v>16</v>
      </c>
      <c r="H425" s="17">
        <v>43610</v>
      </c>
      <c r="I425" s="17">
        <v>101593</v>
      </c>
      <c r="J425" s="17" t="s">
        <v>929</v>
      </c>
      <c r="K425" s="17" t="str">
        <f>A425&amp;B425&amp;C425&amp;D425&amp;E425&amp;F425&amp;G425&amp;H425&amp;I425&amp;J425&amp;[1]Sheet1!$G$5</f>
        <v>E0424Rashed HossainFemaleMarketingMarketing AssociateFull-timeKhulna43610101593E0545Sylhet</v>
      </c>
      <c r="L425" s="17">
        <f t="shared" si="18"/>
        <v>135072</v>
      </c>
      <c r="M425" s="17">
        <f ca="1" t="shared" si="19"/>
        <v>6</v>
      </c>
      <c r="N425" s="18" t="str">
        <f ca="1" t="shared" si="20"/>
        <v>Experienced</v>
      </c>
    </row>
    <row r="426" spans="1:14">
      <c r="A426" s="13" t="s">
        <v>209</v>
      </c>
      <c r="B426" s="14" t="s">
        <v>930</v>
      </c>
      <c r="C426" s="14" t="s">
        <v>19</v>
      </c>
      <c r="D426" s="14" t="s">
        <v>38</v>
      </c>
      <c r="E426" s="14" t="s">
        <v>84</v>
      </c>
      <c r="F426" s="14" t="s">
        <v>15</v>
      </c>
      <c r="G426" s="14" t="s">
        <v>28</v>
      </c>
      <c r="H426" s="14">
        <v>45631</v>
      </c>
      <c r="I426" s="14">
        <v>203703</v>
      </c>
      <c r="J426" s="14" t="s">
        <v>579</v>
      </c>
      <c r="K426" s="14" t="str">
        <f>A426&amp;B426&amp;C426&amp;D426&amp;E426&amp;F426&amp;G426&amp;H426&amp;I426&amp;J426&amp;[1]Sheet1!$G$5</f>
        <v>E0425Lamia SarkerMaleEngineeringEngineering ManagerFull-timeRemote45631203703E0488Sylhet</v>
      </c>
      <c r="L426" s="14">
        <f t="shared" si="18"/>
        <v>135184.5</v>
      </c>
      <c r="M426" s="14">
        <f ca="1" t="shared" si="19"/>
        <v>1</v>
      </c>
      <c r="N426" s="15" t="str">
        <f ca="1" t="shared" si="20"/>
        <v>New</v>
      </c>
    </row>
    <row r="427" spans="1:14">
      <c r="A427" s="16" t="s">
        <v>931</v>
      </c>
      <c r="B427" s="17" t="s">
        <v>932</v>
      </c>
      <c r="C427" s="17" t="s">
        <v>19</v>
      </c>
      <c r="D427" s="17" t="s">
        <v>92</v>
      </c>
      <c r="E427" s="17" t="s">
        <v>193</v>
      </c>
      <c r="F427" s="17" t="s">
        <v>15</v>
      </c>
      <c r="G427" s="17" t="s">
        <v>28</v>
      </c>
      <c r="H427" s="17">
        <v>43495</v>
      </c>
      <c r="I427" s="17">
        <v>100685</v>
      </c>
      <c r="J427" s="17" t="s">
        <v>115</v>
      </c>
      <c r="K427" s="17" t="str">
        <f>A427&amp;B427&amp;C427&amp;D427&amp;E427&amp;F427&amp;G427&amp;H427&amp;I427&amp;J427&amp;[1]Sheet1!$G$5</f>
        <v>E0426Ayesha MahmudMaleMarketingMarketing ManagerFull-timeRemote43495100685E0025Sylhet</v>
      </c>
      <c r="L427" s="17">
        <f t="shared" si="18"/>
        <v>135072</v>
      </c>
      <c r="M427" s="17">
        <f ca="1" t="shared" si="19"/>
        <v>7</v>
      </c>
      <c r="N427" s="18" t="str">
        <f ca="1" t="shared" si="20"/>
        <v>Experienced</v>
      </c>
    </row>
    <row r="428" spans="1:14">
      <c r="A428" s="13" t="s">
        <v>933</v>
      </c>
      <c r="B428" s="14" t="s">
        <v>934</v>
      </c>
      <c r="C428" s="14" t="s">
        <v>12</v>
      </c>
      <c r="D428" s="14" t="s">
        <v>13</v>
      </c>
      <c r="E428" s="14" t="s">
        <v>14</v>
      </c>
      <c r="F428" s="14" t="s">
        <v>15</v>
      </c>
      <c r="G428" s="14" t="s">
        <v>34</v>
      </c>
      <c r="H428" s="14">
        <v>44792</v>
      </c>
      <c r="I428" s="14">
        <v>64049</v>
      </c>
      <c r="J428" s="14" t="s">
        <v>863</v>
      </c>
      <c r="K428" s="14" t="str">
        <f>A428&amp;B428&amp;C428&amp;D428&amp;E428&amp;F428&amp;G428&amp;H428&amp;I428&amp;J428&amp;[1]Sheet1!$G$5</f>
        <v>E0427Nabila FerdousFemaleSalesSales AssociateFull-timeSylhet4479264049E0387Sylhet</v>
      </c>
      <c r="L428" s="14">
        <f t="shared" si="18"/>
        <v>135184.5</v>
      </c>
      <c r="M428" s="14">
        <f ca="1" t="shared" si="19"/>
        <v>3</v>
      </c>
      <c r="N428" s="15" t="str">
        <f ca="1" t="shared" si="20"/>
        <v>Mid level</v>
      </c>
    </row>
    <row r="429" spans="1:14">
      <c r="A429" s="16" t="s">
        <v>256</v>
      </c>
      <c r="B429" s="17" t="s">
        <v>935</v>
      </c>
      <c r="C429" s="17" t="s">
        <v>19</v>
      </c>
      <c r="D429" s="17" t="s">
        <v>52</v>
      </c>
      <c r="E429" s="17" t="s">
        <v>53</v>
      </c>
      <c r="F429" s="17" t="s">
        <v>15</v>
      </c>
      <c r="G429" s="17" t="s">
        <v>34</v>
      </c>
      <c r="H429" s="17">
        <v>42600</v>
      </c>
      <c r="I429" s="17">
        <v>145409</v>
      </c>
      <c r="J429" s="17" t="s">
        <v>224</v>
      </c>
      <c r="K429" s="17" t="str">
        <f>A429&amp;B429&amp;C429&amp;D429&amp;E429&amp;F429&amp;G429&amp;H429&amp;I429&amp;J429&amp;[1]Sheet1!$G$5</f>
        <v>E0428Sadia BanuMaleOperationsOperations ManagerFull-timeSylhet42600145409E0839Sylhet</v>
      </c>
      <c r="L429" s="17">
        <f t="shared" si="18"/>
        <v>135297</v>
      </c>
      <c r="M429" s="17">
        <f ca="1" t="shared" si="19"/>
        <v>9</v>
      </c>
      <c r="N429" s="18" t="str">
        <f ca="1" t="shared" si="20"/>
        <v>Experienced</v>
      </c>
    </row>
    <row r="430" spans="1:14">
      <c r="A430" s="13" t="s">
        <v>936</v>
      </c>
      <c r="B430" s="14" t="s">
        <v>439</v>
      </c>
      <c r="C430" s="14" t="s">
        <v>12</v>
      </c>
      <c r="D430" s="14" t="s">
        <v>13</v>
      </c>
      <c r="E430" s="14" t="s">
        <v>223</v>
      </c>
      <c r="F430" s="14" t="s">
        <v>15</v>
      </c>
      <c r="G430" s="14" t="s">
        <v>94</v>
      </c>
      <c r="H430" s="14">
        <v>43811</v>
      </c>
      <c r="I430" s="14">
        <v>264785</v>
      </c>
      <c r="J430" s="14" t="s">
        <v>253</v>
      </c>
      <c r="K430" s="14" t="str">
        <f>A430&amp;B430&amp;C430&amp;D430&amp;E430&amp;F430&amp;G430&amp;H430&amp;I430&amp;J430&amp;[1]Sheet1!$G$5</f>
        <v>E0429Tania ParvinFemaleSalesSenior Account ExecutiveFull-timeRajshahi43811264785E0109Sylhet</v>
      </c>
      <c r="L430" s="14">
        <f t="shared" si="18"/>
        <v>135184.5</v>
      </c>
      <c r="M430" s="14">
        <f ca="1" t="shared" si="19"/>
        <v>6</v>
      </c>
      <c r="N430" s="15" t="str">
        <f ca="1" t="shared" si="20"/>
        <v>Experienced</v>
      </c>
    </row>
    <row r="431" spans="1:14">
      <c r="A431" s="16" t="s">
        <v>937</v>
      </c>
      <c r="B431" s="17" t="s">
        <v>938</v>
      </c>
      <c r="C431" s="17" t="s">
        <v>12</v>
      </c>
      <c r="D431" s="17" t="s">
        <v>38</v>
      </c>
      <c r="E431" s="17" t="s">
        <v>39</v>
      </c>
      <c r="F431" s="17" t="s">
        <v>15</v>
      </c>
      <c r="G431" s="17" t="s">
        <v>40</v>
      </c>
      <c r="H431" s="17">
        <v>44448</v>
      </c>
      <c r="I431" s="17">
        <v>158586</v>
      </c>
      <c r="J431" s="17" t="s">
        <v>862</v>
      </c>
      <c r="K431" s="17" t="str">
        <f>A431&amp;B431&amp;C431&amp;D431&amp;E431&amp;F431&amp;G431&amp;H431&amp;I431&amp;J431&amp;[1]Sheet1!$G$5</f>
        <v>E0430Lamia ShahFemaleEngineeringDevOps EngineerFull-timeDhaka44448158586E0467Sylhet</v>
      </c>
      <c r="L431" s="17">
        <f t="shared" si="18"/>
        <v>135072</v>
      </c>
      <c r="M431" s="17">
        <f ca="1" t="shared" si="19"/>
        <v>4</v>
      </c>
      <c r="N431" s="18" t="str">
        <f ca="1" t="shared" si="20"/>
        <v>Mid level</v>
      </c>
    </row>
    <row r="432" spans="1:14">
      <c r="A432" s="13" t="s">
        <v>939</v>
      </c>
      <c r="B432" s="14" t="s">
        <v>940</v>
      </c>
      <c r="C432" s="14" t="s">
        <v>19</v>
      </c>
      <c r="D432" s="14" t="s">
        <v>38</v>
      </c>
      <c r="E432" s="14" t="s">
        <v>140</v>
      </c>
      <c r="F432" s="14" t="s">
        <v>15</v>
      </c>
      <c r="G432" s="14" t="s">
        <v>34</v>
      </c>
      <c r="H432" s="14">
        <v>42673</v>
      </c>
      <c r="I432" s="14">
        <v>114635</v>
      </c>
      <c r="J432" s="14" t="s">
        <v>68</v>
      </c>
      <c r="K432" s="14" t="str">
        <f>A432&amp;B432&amp;C432&amp;D432&amp;E432&amp;F432&amp;G432&amp;H432&amp;I432&amp;J432&amp;[1]Sheet1!$G$5</f>
        <v>E0431Arif BiswasMaleEngineeringSenior Software EngineerFull-timeSylhet42673114635E0012Sylhet</v>
      </c>
      <c r="L432" s="14">
        <f t="shared" si="18"/>
        <v>134973.5</v>
      </c>
      <c r="M432" s="14">
        <f ca="1" t="shared" si="19"/>
        <v>9</v>
      </c>
      <c r="N432" s="15" t="str">
        <f ca="1" t="shared" si="20"/>
        <v>Experienced</v>
      </c>
    </row>
    <row r="433" spans="1:14">
      <c r="A433" s="16" t="s">
        <v>941</v>
      </c>
      <c r="B433" s="17" t="s">
        <v>942</v>
      </c>
      <c r="C433" s="17" t="s">
        <v>19</v>
      </c>
      <c r="D433" s="17" t="s">
        <v>26</v>
      </c>
      <c r="E433" s="17" t="s">
        <v>61</v>
      </c>
      <c r="F433" s="17" t="s">
        <v>15</v>
      </c>
      <c r="G433" s="17" t="s">
        <v>28</v>
      </c>
      <c r="H433" s="17">
        <v>43641</v>
      </c>
      <c r="I433" s="17">
        <v>109027</v>
      </c>
      <c r="J433" s="17"/>
      <c r="K433" s="17" t="str">
        <f>A433&amp;B433&amp;C433&amp;D433&amp;E433&amp;F433&amp;G433&amp;H433&amp;I433&amp;J433&amp;[1]Sheet1!$G$5</f>
        <v>E0432Ovi MiahMaleFinanceFinancial AnalystFull-timeRemote43641109027Sylhet</v>
      </c>
      <c r="L433" s="17">
        <f t="shared" si="18"/>
        <v>135072</v>
      </c>
      <c r="M433" s="17">
        <f ca="1" t="shared" si="19"/>
        <v>6</v>
      </c>
      <c r="N433" s="18" t="str">
        <f ca="1" t="shared" si="20"/>
        <v>Experienced</v>
      </c>
    </row>
    <row r="434" spans="1:14">
      <c r="A434" s="13" t="s">
        <v>943</v>
      </c>
      <c r="B434" s="14" t="s">
        <v>290</v>
      </c>
      <c r="C434" s="14" t="s">
        <v>19</v>
      </c>
      <c r="D434" s="14" t="s">
        <v>32</v>
      </c>
      <c r="E434" s="14" t="s">
        <v>130</v>
      </c>
      <c r="F434" s="14" t="s">
        <v>15</v>
      </c>
      <c r="G434" s="14" t="s">
        <v>94</v>
      </c>
      <c r="H434" s="14">
        <v>44261</v>
      </c>
      <c r="I434" s="14">
        <v>78164</v>
      </c>
      <c r="J434" s="14" t="s">
        <v>536</v>
      </c>
      <c r="K434" s="14" t="str">
        <f>A434&amp;B434&amp;C434&amp;D434&amp;E434&amp;F434&amp;G434&amp;H434&amp;I434&amp;J434&amp;[1]Sheet1!$G$5</f>
        <v>E0433Mitu RahmanMaleHRRecruiterFull-timeRajshahi4426178164E0624Sylhet</v>
      </c>
      <c r="L434" s="14">
        <f t="shared" si="18"/>
        <v>135184.5</v>
      </c>
      <c r="M434" s="14">
        <f ca="1" t="shared" si="19"/>
        <v>5</v>
      </c>
      <c r="N434" s="15" t="str">
        <f ca="1" t="shared" si="20"/>
        <v>Mid level</v>
      </c>
    </row>
    <row r="435" spans="1:14">
      <c r="A435" s="16" t="s">
        <v>944</v>
      </c>
      <c r="B435" s="17" t="s">
        <v>904</v>
      </c>
      <c r="C435" s="17" t="s">
        <v>12</v>
      </c>
      <c r="D435" s="17" t="s">
        <v>38</v>
      </c>
      <c r="E435" s="17" t="s">
        <v>44</v>
      </c>
      <c r="F435" s="17" t="s">
        <v>15</v>
      </c>
      <c r="G435" s="17" t="s">
        <v>16</v>
      </c>
      <c r="H435" s="17">
        <v>44221</v>
      </c>
      <c r="I435" s="17">
        <v>120831</v>
      </c>
      <c r="J435" s="17" t="s">
        <v>821</v>
      </c>
      <c r="K435" s="17" t="str">
        <f>A435&amp;B435&amp;C435&amp;D435&amp;E435&amp;F435&amp;G435&amp;H435&amp;I435&amp;J435&amp;[1]Sheet1!$G$5</f>
        <v>E0434Nafiz HaiderFemaleEngineeringQA EngineerFull-timeKhulna44221120831E0361Sylhet</v>
      </c>
      <c r="L435" s="17">
        <f t="shared" si="18"/>
        <v>135297</v>
      </c>
      <c r="M435" s="17">
        <f ca="1" t="shared" si="19"/>
        <v>5</v>
      </c>
      <c r="N435" s="18" t="str">
        <f ca="1" t="shared" si="20"/>
        <v>Mid level</v>
      </c>
    </row>
    <row r="436" spans="1:14">
      <c r="A436" s="13" t="s">
        <v>945</v>
      </c>
      <c r="B436" s="14" t="s">
        <v>946</v>
      </c>
      <c r="C436" s="14" t="s">
        <v>19</v>
      </c>
      <c r="D436" s="14" t="s">
        <v>38</v>
      </c>
      <c r="E436" s="14" t="s">
        <v>77</v>
      </c>
      <c r="F436" s="14" t="s">
        <v>15</v>
      </c>
      <c r="G436" s="14" t="s">
        <v>40</v>
      </c>
      <c r="H436" s="14">
        <v>42524</v>
      </c>
      <c r="I436" s="14">
        <v>120923</v>
      </c>
      <c r="J436" s="14" t="s">
        <v>607</v>
      </c>
      <c r="K436" s="14" t="str">
        <f>A436&amp;B436&amp;C436&amp;D436&amp;E436&amp;F436&amp;G436&amp;H436&amp;I436&amp;J436&amp;[1]Sheet1!$G$5</f>
        <v>E0435Karim UddinMaleEngineeringJunior Software EngineerFull-timeDhaka42524120923E0237Sylhet</v>
      </c>
      <c r="L436" s="14">
        <f t="shared" si="18"/>
        <v>135421</v>
      </c>
      <c r="M436" s="14">
        <f ca="1" t="shared" si="19"/>
        <v>9</v>
      </c>
      <c r="N436" s="15" t="str">
        <f ca="1" t="shared" si="20"/>
        <v>Experienced</v>
      </c>
    </row>
    <row r="437" spans="1:14">
      <c r="A437" s="16" t="s">
        <v>947</v>
      </c>
      <c r="B437" s="17" t="s">
        <v>948</v>
      </c>
      <c r="C437" s="17" t="s">
        <v>19</v>
      </c>
      <c r="D437" s="17" t="s">
        <v>26</v>
      </c>
      <c r="E437" s="17" t="s">
        <v>162</v>
      </c>
      <c r="F437" s="17" t="s">
        <v>15</v>
      </c>
      <c r="G437" s="17" t="s">
        <v>40</v>
      </c>
      <c r="H437" s="17">
        <v>42603</v>
      </c>
      <c r="I437" s="17">
        <v>152132</v>
      </c>
      <c r="J437" s="17" t="s">
        <v>259</v>
      </c>
      <c r="K437" s="17" t="str">
        <f>A437&amp;B437&amp;C437&amp;D437&amp;E437&amp;F437&amp;G437&amp;H437&amp;I437&amp;J437&amp;[1]Sheet1!$G$5</f>
        <v>E0436Lamia AnjumMaleFinanceAccounts ExecutiveFull-timeDhaka42603152132E0239Sylhet</v>
      </c>
      <c r="L437" s="17">
        <f t="shared" si="18"/>
        <v>135545</v>
      </c>
      <c r="M437" s="17">
        <f ca="1" t="shared" si="19"/>
        <v>9</v>
      </c>
      <c r="N437" s="18" t="str">
        <f ca="1" t="shared" si="20"/>
        <v>Experienced</v>
      </c>
    </row>
    <row r="438" spans="1:14">
      <c r="A438" s="13" t="s">
        <v>949</v>
      </c>
      <c r="B438" s="14" t="s">
        <v>950</v>
      </c>
      <c r="C438" s="14" t="s">
        <v>19</v>
      </c>
      <c r="D438" s="14" t="s">
        <v>38</v>
      </c>
      <c r="E438" s="14" t="s">
        <v>66</v>
      </c>
      <c r="F438" s="14" t="s">
        <v>48</v>
      </c>
      <c r="G438" s="14" t="s">
        <v>28</v>
      </c>
      <c r="H438" s="14">
        <v>43880</v>
      </c>
      <c r="I438" s="14">
        <v>229625</v>
      </c>
      <c r="J438" s="14" t="s">
        <v>951</v>
      </c>
      <c r="K438" s="14" t="str">
        <f>A438&amp;B438&amp;C438&amp;D438&amp;E438&amp;F438&amp;G438&amp;H438&amp;I438&amp;J438&amp;[1]Sheet1!$G$5</f>
        <v>E0437Shawon HossainMaleEngineeringSoftware EngineerContractRemote43880229625E0472Sylhet</v>
      </c>
      <c r="L438" s="14">
        <f t="shared" si="18"/>
        <v>135421</v>
      </c>
      <c r="M438" s="14">
        <f ca="1" t="shared" si="19"/>
        <v>6</v>
      </c>
      <c r="N438" s="15" t="str">
        <f ca="1" t="shared" si="20"/>
        <v>Experienced</v>
      </c>
    </row>
    <row r="439" spans="1:14">
      <c r="A439" s="16" t="s">
        <v>952</v>
      </c>
      <c r="B439" s="17" t="s">
        <v>590</v>
      </c>
      <c r="C439" s="17" t="s">
        <v>12</v>
      </c>
      <c r="D439" s="17" t="s">
        <v>52</v>
      </c>
      <c r="E439" s="17" t="s">
        <v>120</v>
      </c>
      <c r="F439" s="17" t="s">
        <v>48</v>
      </c>
      <c r="G439" s="17" t="s">
        <v>62</v>
      </c>
      <c r="H439" s="17">
        <v>45776</v>
      </c>
      <c r="I439" s="17">
        <v>117618</v>
      </c>
      <c r="J439" s="17" t="s">
        <v>777</v>
      </c>
      <c r="K439" s="17" t="str">
        <f>A439&amp;B439&amp;C439&amp;D439&amp;E439&amp;F439&amp;G439&amp;H439&amp;I439&amp;J439&amp;[1]Sheet1!$G$5</f>
        <v>E0438Esha AkterFemaleOperationsSupply Chain AnalystContractChattogram45776117618E0335Sylhet</v>
      </c>
      <c r="L439" s="17">
        <f t="shared" si="18"/>
        <v>135297</v>
      </c>
      <c r="M439" s="17">
        <f ca="1" t="shared" si="19"/>
        <v>0</v>
      </c>
      <c r="N439" s="18" t="str">
        <f ca="1" t="shared" si="20"/>
        <v>New</v>
      </c>
    </row>
    <row r="440" spans="1:14">
      <c r="A440" s="13" t="s">
        <v>953</v>
      </c>
      <c r="B440" s="14" t="s">
        <v>327</v>
      </c>
      <c r="C440" s="14" t="s">
        <v>19</v>
      </c>
      <c r="D440" s="14" t="s">
        <v>26</v>
      </c>
      <c r="E440" s="14" t="s">
        <v>162</v>
      </c>
      <c r="F440" s="14" t="s">
        <v>48</v>
      </c>
      <c r="G440" s="14" t="s">
        <v>62</v>
      </c>
      <c r="H440" s="14">
        <v>43545</v>
      </c>
      <c r="I440" s="14">
        <v>169222</v>
      </c>
      <c r="J440" s="14" t="s">
        <v>954</v>
      </c>
      <c r="K440" s="14" t="str">
        <f>A440&amp;B440&amp;C440&amp;D440&amp;E440&amp;F440&amp;G440&amp;H440&amp;I440&amp;J440&amp;[1]Sheet1!$G$5</f>
        <v>E0439Sadia SadiqMaleFinanceAccounts ExecutiveContractChattogram43545169222E0518Sylhet</v>
      </c>
      <c r="L440" s="14">
        <f t="shared" si="18"/>
        <v>135421</v>
      </c>
      <c r="M440" s="14">
        <f ca="1" t="shared" si="19"/>
        <v>6</v>
      </c>
      <c r="N440" s="15" t="str">
        <f ca="1" t="shared" si="20"/>
        <v>Experienced</v>
      </c>
    </row>
    <row r="441" spans="1:14">
      <c r="A441" s="16" t="s">
        <v>955</v>
      </c>
      <c r="B441" s="17" t="s">
        <v>956</v>
      </c>
      <c r="C441" s="17" t="s">
        <v>12</v>
      </c>
      <c r="D441" s="17" t="s">
        <v>38</v>
      </c>
      <c r="E441" s="17" t="s">
        <v>44</v>
      </c>
      <c r="F441" s="17" t="s">
        <v>15</v>
      </c>
      <c r="G441" s="17" t="s">
        <v>28</v>
      </c>
      <c r="H441" s="17">
        <v>42684</v>
      </c>
      <c r="I441" s="17">
        <v>179843</v>
      </c>
      <c r="J441" s="17" t="s">
        <v>209</v>
      </c>
      <c r="K441" s="17" t="str">
        <f>A441&amp;B441&amp;C441&amp;D441&amp;E441&amp;F441&amp;G441&amp;H441&amp;I441&amp;J441&amp;[1]Sheet1!$G$5</f>
        <v>E0440Tasnim HaiderFemaleEngineeringQA EngineerFull-timeRemote42684179843E0425Sylhet</v>
      </c>
      <c r="L441" s="17">
        <f t="shared" si="18"/>
        <v>135297</v>
      </c>
      <c r="M441" s="17">
        <f ca="1" t="shared" si="19"/>
        <v>9</v>
      </c>
      <c r="N441" s="18" t="str">
        <f ca="1" t="shared" si="20"/>
        <v>Experienced</v>
      </c>
    </row>
    <row r="442" spans="1:14">
      <c r="A442" s="13" t="s">
        <v>957</v>
      </c>
      <c r="B442" s="14" t="s">
        <v>958</v>
      </c>
      <c r="C442" s="14" t="s">
        <v>12</v>
      </c>
      <c r="D442" s="14" t="s">
        <v>38</v>
      </c>
      <c r="E442" s="14" t="s">
        <v>84</v>
      </c>
      <c r="F442" s="14" t="s">
        <v>15</v>
      </c>
      <c r="G442" s="14" t="s">
        <v>40</v>
      </c>
      <c r="H442" s="14">
        <v>45010</v>
      </c>
      <c r="I442" s="14">
        <v>158222</v>
      </c>
      <c r="J442" s="14" t="s">
        <v>762</v>
      </c>
      <c r="K442" s="14" t="str">
        <f>A442&amp;B442&amp;C442&amp;D442&amp;E442&amp;F442&amp;G442&amp;H442&amp;I442&amp;J442&amp;[1]Sheet1!$G$5</f>
        <v>E0441Fahim ChowdhuryFemaleEngineeringEngineering ManagerFull-timeDhaka45010158222E0368Sylhet</v>
      </c>
      <c r="L442" s="14">
        <f t="shared" si="18"/>
        <v>135184.5</v>
      </c>
      <c r="M442" s="14">
        <f ca="1" t="shared" si="19"/>
        <v>2</v>
      </c>
      <c r="N442" s="15" t="str">
        <f ca="1" t="shared" si="20"/>
        <v>New</v>
      </c>
    </row>
    <row r="443" spans="1:14">
      <c r="A443" s="16" t="s">
        <v>959</v>
      </c>
      <c r="B443" s="17" t="s">
        <v>516</v>
      </c>
      <c r="C443" s="17" t="s">
        <v>146</v>
      </c>
      <c r="D443" s="17" t="s">
        <v>20</v>
      </c>
      <c r="E443" s="17" t="s">
        <v>147</v>
      </c>
      <c r="F443" s="17" t="s">
        <v>15</v>
      </c>
      <c r="G443" s="17" t="s">
        <v>62</v>
      </c>
      <c r="H443" s="17">
        <v>45873</v>
      </c>
      <c r="I443" s="17">
        <v>64675</v>
      </c>
      <c r="J443" s="17" t="s">
        <v>74</v>
      </c>
      <c r="K443" s="17" t="str">
        <f>A443&amp;B443&amp;C443&amp;D443&amp;E443&amp;F443&amp;G443&amp;H443&amp;I443&amp;J443&amp;[1]Sheet1!$G$5</f>
        <v>E0442Lamia RahmanNon-binaryCustomer SuccessSupport AssociateFull-timeChattogram4587364675E0396Sylhet</v>
      </c>
      <c r="L443" s="17">
        <f t="shared" si="18"/>
        <v>135072</v>
      </c>
      <c r="M443" s="17">
        <f ca="1" t="shared" si="19"/>
        <v>0</v>
      </c>
      <c r="N443" s="18" t="str">
        <f ca="1" t="shared" si="20"/>
        <v>New</v>
      </c>
    </row>
    <row r="444" spans="1:14">
      <c r="A444" s="13" t="s">
        <v>960</v>
      </c>
      <c r="B444" s="14" t="s">
        <v>769</v>
      </c>
      <c r="C444" s="14" t="s">
        <v>12</v>
      </c>
      <c r="D444" s="14" t="s">
        <v>13</v>
      </c>
      <c r="E444" s="14" t="s">
        <v>223</v>
      </c>
      <c r="F444" s="14" t="s">
        <v>22</v>
      </c>
      <c r="G444" s="14" t="s">
        <v>34</v>
      </c>
      <c r="H444" s="14">
        <v>42739</v>
      </c>
      <c r="I444" s="14">
        <v>82815</v>
      </c>
      <c r="J444" s="14" t="s">
        <v>465</v>
      </c>
      <c r="K444" s="14" t="str">
        <f>A444&amp;B444&amp;C444&amp;D444&amp;E444&amp;F444&amp;G444&amp;H444&amp;I444&amp;J444&amp;[1]Sheet1!$G$5</f>
        <v>E0443Mitu RasheedFemaleSalesSenior Account ExecutiveInternSylhet4273982815E0166Sylhet</v>
      </c>
      <c r="L444" s="14">
        <f t="shared" si="18"/>
        <v>135184.5</v>
      </c>
      <c r="M444" s="14">
        <f ca="1" t="shared" si="19"/>
        <v>9</v>
      </c>
      <c r="N444" s="15" t="str">
        <f ca="1" t="shared" si="20"/>
        <v>Experienced</v>
      </c>
    </row>
    <row r="445" spans="1:14">
      <c r="A445" s="16" t="s">
        <v>961</v>
      </c>
      <c r="B445" s="17" t="s">
        <v>962</v>
      </c>
      <c r="C445" s="17" t="s">
        <v>12</v>
      </c>
      <c r="D445" s="17" t="s">
        <v>13</v>
      </c>
      <c r="E445" s="17" t="s">
        <v>165</v>
      </c>
      <c r="F445" s="17" t="s">
        <v>48</v>
      </c>
      <c r="G445" s="17" t="s">
        <v>16</v>
      </c>
      <c r="H445" s="17">
        <v>44889</v>
      </c>
      <c r="I445" s="17">
        <v>174886</v>
      </c>
      <c r="J445" s="17" t="s">
        <v>727</v>
      </c>
      <c r="K445" s="17" t="str">
        <f>A445&amp;B445&amp;C445&amp;D445&amp;E445&amp;F445&amp;G445&amp;H445&amp;I445&amp;J445&amp;[1]Sheet1!$G$5</f>
        <v>E0444Fahim MiahFemaleSalesAccount ExecutiveContractKhulna44889174886E0618Sylhet</v>
      </c>
      <c r="L445" s="17">
        <f t="shared" si="18"/>
        <v>135297</v>
      </c>
      <c r="M445" s="17">
        <f ca="1" t="shared" si="19"/>
        <v>3</v>
      </c>
      <c r="N445" s="18" t="str">
        <f ca="1" t="shared" si="20"/>
        <v>Mid level</v>
      </c>
    </row>
    <row r="446" spans="1:14">
      <c r="A446" s="13" t="s">
        <v>963</v>
      </c>
      <c r="B446" s="14" t="s">
        <v>964</v>
      </c>
      <c r="C446" s="14" t="s">
        <v>12</v>
      </c>
      <c r="D446" s="14" t="s">
        <v>52</v>
      </c>
      <c r="E446" s="14" t="s">
        <v>53</v>
      </c>
      <c r="F446" s="14" t="s">
        <v>15</v>
      </c>
      <c r="G446" s="14" t="s">
        <v>94</v>
      </c>
      <c r="H446" s="14">
        <v>44803</v>
      </c>
      <c r="I446" s="14">
        <v>194618</v>
      </c>
      <c r="J446" s="14" t="s">
        <v>838</v>
      </c>
      <c r="K446" s="14" t="str">
        <f>A446&amp;B446&amp;C446&amp;D446&amp;E446&amp;F446&amp;G446&amp;H446&amp;I446&amp;J446&amp;[1]Sheet1!$G$5</f>
        <v>E0445Nabila MahmudFemaleOperationsOperations ManagerFull-timeRajshahi44803194618E0871Sylhet</v>
      </c>
      <c r="L446" s="14">
        <f t="shared" si="18"/>
        <v>135184.5</v>
      </c>
      <c r="M446" s="14">
        <f ca="1" t="shared" si="19"/>
        <v>3</v>
      </c>
      <c r="N446" s="15" t="str">
        <f ca="1" t="shared" si="20"/>
        <v>Mid level</v>
      </c>
    </row>
    <row r="447" spans="1:14">
      <c r="A447" s="16" t="s">
        <v>965</v>
      </c>
      <c r="B447" s="17" t="s">
        <v>966</v>
      </c>
      <c r="C447" s="17" t="s">
        <v>12</v>
      </c>
      <c r="D447" s="17" t="s">
        <v>20</v>
      </c>
      <c r="E447" s="17" t="s">
        <v>147</v>
      </c>
      <c r="F447" s="17" t="s">
        <v>15</v>
      </c>
      <c r="G447" s="17" t="s">
        <v>28</v>
      </c>
      <c r="H447" s="17">
        <v>44446</v>
      </c>
      <c r="I447" s="17">
        <v>74103</v>
      </c>
      <c r="J447" s="17"/>
      <c r="K447" s="17" t="str">
        <f>A447&amp;B447&amp;C447&amp;D447&amp;E447&amp;F447&amp;G447&amp;H447&amp;I447&amp;J447&amp;[1]Sheet1!$G$5</f>
        <v>E0446Tamanna KhanFemaleCustomer SuccessSupport AssociateFull-timeRemote4444674103Sylhet</v>
      </c>
      <c r="L447" s="17">
        <f t="shared" si="18"/>
        <v>135072</v>
      </c>
      <c r="M447" s="17">
        <f ca="1" t="shared" si="19"/>
        <v>4</v>
      </c>
      <c r="N447" s="18" t="str">
        <f ca="1" t="shared" si="20"/>
        <v>Mid level</v>
      </c>
    </row>
    <row r="448" spans="1:14">
      <c r="A448" s="13" t="s">
        <v>967</v>
      </c>
      <c r="B448" s="14" t="s">
        <v>968</v>
      </c>
      <c r="C448" s="14" t="s">
        <v>12</v>
      </c>
      <c r="D448" s="14" t="s">
        <v>20</v>
      </c>
      <c r="E448" s="14" t="s">
        <v>21</v>
      </c>
      <c r="F448" s="14" t="s">
        <v>15</v>
      </c>
      <c r="G448" s="14" t="s">
        <v>40</v>
      </c>
      <c r="H448" s="14">
        <v>43944</v>
      </c>
      <c r="I448" s="14">
        <v>121829</v>
      </c>
      <c r="J448" s="14" t="s">
        <v>573</v>
      </c>
      <c r="K448" s="14" t="str">
        <f>A448&amp;B448&amp;C448&amp;D448&amp;E448&amp;F448&amp;G448&amp;H448&amp;I448&amp;J448&amp;[1]Sheet1!$G$5</f>
        <v>E0447Nafiz SharminFemaleCustomer SuccessSupport SpecialistFull-timeDhaka43944121829E0221Sylhet</v>
      </c>
      <c r="L448" s="14">
        <f t="shared" si="18"/>
        <v>135184.5</v>
      </c>
      <c r="M448" s="14">
        <f ca="1" t="shared" si="19"/>
        <v>5</v>
      </c>
      <c r="N448" s="15" t="str">
        <f ca="1" t="shared" si="20"/>
        <v>Mid level</v>
      </c>
    </row>
    <row r="449" spans="1:14">
      <c r="A449" s="16" t="s">
        <v>627</v>
      </c>
      <c r="B449" s="17" t="s">
        <v>969</v>
      </c>
      <c r="C449" s="17" t="s">
        <v>19</v>
      </c>
      <c r="D449" s="17" t="s">
        <v>26</v>
      </c>
      <c r="E449" s="17" t="s">
        <v>27</v>
      </c>
      <c r="F449" s="17" t="s">
        <v>15</v>
      </c>
      <c r="G449" s="17" t="s">
        <v>94</v>
      </c>
      <c r="H449" s="17">
        <v>44265</v>
      </c>
      <c r="I449" s="17">
        <v>255433</v>
      </c>
      <c r="J449" s="17" t="s">
        <v>970</v>
      </c>
      <c r="K449" s="17" t="str">
        <f>A449&amp;B449&amp;C449&amp;D449&amp;E449&amp;F449&amp;G449&amp;H449&amp;I449&amp;J449&amp;[1]Sheet1!$G$5</f>
        <v>E0448Arif BanuMaleFinanceFinance ManagerFull-timeRajshahi44265255433E0913Sylhet</v>
      </c>
      <c r="L449" s="17">
        <f t="shared" si="18"/>
        <v>135297</v>
      </c>
      <c r="M449" s="17">
        <f ca="1" t="shared" si="19"/>
        <v>5</v>
      </c>
      <c r="N449" s="18" t="str">
        <f ca="1" t="shared" si="20"/>
        <v>Mid level</v>
      </c>
    </row>
    <row r="450" spans="1:14">
      <c r="A450" s="13" t="s">
        <v>971</v>
      </c>
      <c r="B450" s="14" t="s">
        <v>972</v>
      </c>
      <c r="C450" s="14" t="s">
        <v>12</v>
      </c>
      <c r="D450" s="14" t="s">
        <v>13</v>
      </c>
      <c r="E450" s="14" t="s">
        <v>98</v>
      </c>
      <c r="F450" s="14" t="s">
        <v>15</v>
      </c>
      <c r="G450" s="14" t="s">
        <v>94</v>
      </c>
      <c r="H450" s="14">
        <v>44747</v>
      </c>
      <c r="I450" s="14">
        <v>193112</v>
      </c>
      <c r="J450" s="14" t="s">
        <v>172</v>
      </c>
      <c r="K450" s="14" t="str">
        <f>A450&amp;B450&amp;C450&amp;D450&amp;E450&amp;F450&amp;G450&amp;H450&amp;I450&amp;J450&amp;[1]Sheet1!$G$5</f>
        <v>E0449Karim MorshedFemaleSalesSales ManagerFull-timeRajshahi44747193112E0141Sylhet</v>
      </c>
      <c r="L450" s="14">
        <f t="shared" si="18"/>
        <v>135184.5</v>
      </c>
      <c r="M450" s="14">
        <f ca="1" t="shared" si="19"/>
        <v>3</v>
      </c>
      <c r="N450" s="15" t="str">
        <f ca="1" t="shared" si="20"/>
        <v>Mid level</v>
      </c>
    </row>
    <row r="451" spans="1:14">
      <c r="A451" s="16" t="s">
        <v>973</v>
      </c>
      <c r="B451" s="17" t="s">
        <v>974</v>
      </c>
      <c r="C451" s="17" t="s">
        <v>19</v>
      </c>
      <c r="D451" s="17" t="s">
        <v>38</v>
      </c>
      <c r="E451" s="17" t="s">
        <v>44</v>
      </c>
      <c r="F451" s="17" t="s">
        <v>15</v>
      </c>
      <c r="G451" s="17" t="s">
        <v>34</v>
      </c>
      <c r="H451" s="17">
        <v>44640</v>
      </c>
      <c r="I451" s="17">
        <v>140602</v>
      </c>
      <c r="J451" s="17" t="s">
        <v>372</v>
      </c>
      <c r="K451" s="17" t="str">
        <f>A451&amp;B451&amp;C451&amp;D451&amp;E451&amp;F451&amp;G451&amp;H451&amp;I451&amp;J451&amp;[1]Sheet1!$G$5</f>
        <v>E0450Nafiz AkterMaleEngineeringQA EngineerFull-timeSylhet44640140602E0780Sylhet</v>
      </c>
      <c r="L451" s="17">
        <f t="shared" ref="L451:L514" si="21">MEDIAN(I451:I1450)</f>
        <v>135072</v>
      </c>
      <c r="M451" s="17">
        <f ca="1" t="shared" ref="M451:M514" si="22">DATEDIF(H451,TODAY(),"Y")</f>
        <v>3</v>
      </c>
      <c r="N451" s="18" t="str">
        <f ca="1" t="shared" ref="N451:N514" si="23">IF(M451&lt;=2,"New",IF(M451&lt;=5,"Mid level",IF(M451&lt;=10,"Experienced","Long term")))</f>
        <v>Mid level</v>
      </c>
    </row>
    <row r="452" spans="1:14">
      <c r="A452" s="13" t="s">
        <v>975</v>
      </c>
      <c r="B452" s="14" t="s">
        <v>415</v>
      </c>
      <c r="C452" s="14" t="s">
        <v>12</v>
      </c>
      <c r="D452" s="14" t="s">
        <v>52</v>
      </c>
      <c r="E452" s="14" t="s">
        <v>120</v>
      </c>
      <c r="F452" s="14" t="s">
        <v>15</v>
      </c>
      <c r="G452" s="14" t="s">
        <v>40</v>
      </c>
      <c r="H452" s="14">
        <v>45613</v>
      </c>
      <c r="I452" s="14">
        <v>82842</v>
      </c>
      <c r="J452" s="14" t="s">
        <v>151</v>
      </c>
      <c r="K452" s="14" t="str">
        <f>A452&amp;B452&amp;C452&amp;D452&amp;E452&amp;F452&amp;G452&amp;H452&amp;I452&amp;J452&amp;[1]Sheet1!$G$5</f>
        <v>E0451Shawon HasanFemaleOperationsSupply Chain AnalystFull-timeDhaka4561382842E0865Sylhet</v>
      </c>
      <c r="L452" s="14">
        <f t="shared" si="21"/>
        <v>134973.5</v>
      </c>
      <c r="M452" s="14">
        <f ca="1" t="shared" si="22"/>
        <v>1</v>
      </c>
      <c r="N452" s="15" t="str">
        <f ca="1" t="shared" si="23"/>
        <v>New</v>
      </c>
    </row>
    <row r="453" spans="1:14">
      <c r="A453" s="16" t="s">
        <v>976</v>
      </c>
      <c r="B453" s="17" t="s">
        <v>977</v>
      </c>
      <c r="C453" s="17" t="s">
        <v>12</v>
      </c>
      <c r="D453" s="17" t="s">
        <v>92</v>
      </c>
      <c r="E453" s="17" t="s">
        <v>93</v>
      </c>
      <c r="F453" s="17" t="s">
        <v>15</v>
      </c>
      <c r="G453" s="17" t="s">
        <v>28</v>
      </c>
      <c r="H453" s="17">
        <v>45396</v>
      </c>
      <c r="I453" s="17">
        <v>83584</v>
      </c>
      <c r="J453" s="17"/>
      <c r="K453" s="17" t="str">
        <f>A453&amp;B453&amp;C453&amp;D453&amp;E453&amp;F453&amp;G453&amp;H453&amp;I453&amp;J453&amp;[1]Sheet1!$G$5</f>
        <v>E0452Shafiq RahmanFemaleMarketingGrowth MarketerFull-timeRemote4539683584Sylhet</v>
      </c>
      <c r="L453" s="17">
        <f t="shared" si="21"/>
        <v>135072</v>
      </c>
      <c r="M453" s="17">
        <f ca="1" t="shared" si="22"/>
        <v>1</v>
      </c>
      <c r="N453" s="18" t="str">
        <f ca="1" t="shared" si="23"/>
        <v>New</v>
      </c>
    </row>
    <row r="454" spans="1:14">
      <c r="A454" s="13" t="s">
        <v>226</v>
      </c>
      <c r="B454" s="14" t="s">
        <v>978</v>
      </c>
      <c r="C454" s="14" t="s">
        <v>19</v>
      </c>
      <c r="D454" s="14" t="s">
        <v>13</v>
      </c>
      <c r="E454" s="14" t="s">
        <v>98</v>
      </c>
      <c r="F454" s="14" t="s">
        <v>48</v>
      </c>
      <c r="G454" s="14" t="s">
        <v>40</v>
      </c>
      <c r="H454" s="14">
        <v>42538</v>
      </c>
      <c r="I454" s="14">
        <v>263179</v>
      </c>
      <c r="J454" s="14" t="s">
        <v>81</v>
      </c>
      <c r="K454" s="14" t="str">
        <f>A454&amp;B454&amp;C454&amp;D454&amp;E454&amp;F454&amp;G454&amp;H454&amp;I454&amp;J454&amp;[1]Sheet1!$G$5</f>
        <v>E0453Fahim AhmedMaleSalesSales ManagerContractDhaka42538263179E0123Sylhet</v>
      </c>
      <c r="L454" s="14">
        <f t="shared" si="21"/>
        <v>135184.5</v>
      </c>
      <c r="M454" s="14">
        <f ca="1" t="shared" si="22"/>
        <v>9</v>
      </c>
      <c r="N454" s="15" t="str">
        <f ca="1" t="shared" si="23"/>
        <v>Experienced</v>
      </c>
    </row>
    <row r="455" spans="1:14">
      <c r="A455" s="16" t="s">
        <v>979</v>
      </c>
      <c r="B455" s="17" t="s">
        <v>980</v>
      </c>
      <c r="C455" s="17" t="s">
        <v>19</v>
      </c>
      <c r="D455" s="17" t="s">
        <v>20</v>
      </c>
      <c r="E455" s="17" t="s">
        <v>21</v>
      </c>
      <c r="F455" s="17" t="s">
        <v>15</v>
      </c>
      <c r="G455" s="17" t="s">
        <v>28</v>
      </c>
      <c r="H455" s="17">
        <v>44212</v>
      </c>
      <c r="I455" s="17">
        <v>95636</v>
      </c>
      <c r="J455" s="17" t="s">
        <v>459</v>
      </c>
      <c r="K455" s="17" t="str">
        <f>A455&amp;B455&amp;C455&amp;D455&amp;E455&amp;F455&amp;G455&amp;H455&amp;I455&amp;J455&amp;[1]Sheet1!$G$5</f>
        <v>E0454Shawon ParvinMaleCustomer SuccessSupport SpecialistFull-timeRemote4421295636E0907Sylhet</v>
      </c>
      <c r="L455" s="17">
        <f t="shared" si="21"/>
        <v>135072</v>
      </c>
      <c r="M455" s="17">
        <f ca="1" t="shared" si="22"/>
        <v>5</v>
      </c>
      <c r="N455" s="18" t="str">
        <f ca="1" t="shared" si="23"/>
        <v>Mid level</v>
      </c>
    </row>
    <row r="456" spans="1:14">
      <c r="A456" s="13" t="s">
        <v>981</v>
      </c>
      <c r="B456" s="14" t="s">
        <v>635</v>
      </c>
      <c r="C456" s="14" t="s">
        <v>19</v>
      </c>
      <c r="D456" s="14" t="s">
        <v>38</v>
      </c>
      <c r="E456" s="14" t="s">
        <v>77</v>
      </c>
      <c r="F456" s="14" t="s">
        <v>15</v>
      </c>
      <c r="G456" s="14" t="s">
        <v>40</v>
      </c>
      <c r="H456" s="14">
        <v>45687</v>
      </c>
      <c r="I456" s="14">
        <v>70124</v>
      </c>
      <c r="J456" s="14" t="s">
        <v>425</v>
      </c>
      <c r="K456" s="14" t="str">
        <f>A456&amp;B456&amp;C456&amp;D456&amp;E456&amp;F456&amp;G456&amp;H456&amp;I456&amp;J456&amp;[1]Sheet1!$G$5</f>
        <v>E0455Nadia BanuMaleEngineeringJunior Software EngineerFull-timeDhaka4568770124E0554Sylhet</v>
      </c>
      <c r="L456" s="14">
        <f t="shared" si="21"/>
        <v>135184.5</v>
      </c>
      <c r="M456" s="14">
        <f ca="1" t="shared" si="22"/>
        <v>1</v>
      </c>
      <c r="N456" s="15" t="str">
        <f ca="1" t="shared" si="23"/>
        <v>New</v>
      </c>
    </row>
    <row r="457" spans="1:14">
      <c r="A457" s="16" t="s">
        <v>183</v>
      </c>
      <c r="B457" s="17" t="s">
        <v>414</v>
      </c>
      <c r="C457" s="17" t="s">
        <v>12</v>
      </c>
      <c r="D457" s="17" t="s">
        <v>92</v>
      </c>
      <c r="E457" s="17" t="s">
        <v>193</v>
      </c>
      <c r="F457" s="17" t="s">
        <v>15</v>
      </c>
      <c r="G457" s="17" t="s">
        <v>40</v>
      </c>
      <c r="H457" s="17">
        <v>44711</v>
      </c>
      <c r="I457" s="17">
        <v>227832</v>
      </c>
      <c r="J457" s="17" t="s">
        <v>621</v>
      </c>
      <c r="K457" s="17" t="str">
        <f>A457&amp;B457&amp;C457&amp;D457&amp;E457&amp;F457&amp;G457&amp;H457&amp;I457&amp;J457&amp;[1]Sheet1!$G$5</f>
        <v>E0456Mitu HossainFemaleMarketingMarketing ManagerFull-timeDhaka44711227832E0852Sylhet</v>
      </c>
      <c r="L457" s="17">
        <f t="shared" si="21"/>
        <v>135297</v>
      </c>
      <c r="M457" s="17">
        <f ca="1" t="shared" si="22"/>
        <v>3</v>
      </c>
      <c r="N457" s="18" t="str">
        <f ca="1" t="shared" si="23"/>
        <v>Mid level</v>
      </c>
    </row>
    <row r="458" spans="1:14">
      <c r="A458" s="13" t="s">
        <v>982</v>
      </c>
      <c r="B458" s="14" t="s">
        <v>321</v>
      </c>
      <c r="C458" s="14" t="s">
        <v>12</v>
      </c>
      <c r="D458" s="14" t="s">
        <v>38</v>
      </c>
      <c r="E458" s="14" t="s">
        <v>44</v>
      </c>
      <c r="F458" s="14" t="s">
        <v>48</v>
      </c>
      <c r="G458" s="14" t="s">
        <v>62</v>
      </c>
      <c r="H458" s="14">
        <v>45039</v>
      </c>
      <c r="I458" s="14">
        <v>197505</v>
      </c>
      <c r="J458" s="14" t="s">
        <v>482</v>
      </c>
      <c r="K458" s="14" t="str">
        <f>A458&amp;B458&amp;C458&amp;D458&amp;E458&amp;F458&amp;G458&amp;H458&amp;I458&amp;J458&amp;[1]Sheet1!$G$5</f>
        <v>E0457Rashed TalukderFemaleEngineeringQA EngineerContractChattogram45039197505E0229Sylhet</v>
      </c>
      <c r="L458" s="14">
        <f t="shared" si="21"/>
        <v>135184.5</v>
      </c>
      <c r="M458" s="14">
        <f ca="1" t="shared" si="22"/>
        <v>2</v>
      </c>
      <c r="N458" s="15" t="str">
        <f ca="1" t="shared" si="23"/>
        <v>New</v>
      </c>
    </row>
    <row r="459" spans="1:14">
      <c r="A459" s="16" t="s">
        <v>983</v>
      </c>
      <c r="B459" s="17" t="s">
        <v>984</v>
      </c>
      <c r="C459" s="17" t="s">
        <v>19</v>
      </c>
      <c r="D459" s="17" t="s">
        <v>13</v>
      </c>
      <c r="E459" s="17" t="s">
        <v>223</v>
      </c>
      <c r="F459" s="17" t="s">
        <v>15</v>
      </c>
      <c r="G459" s="17" t="s">
        <v>62</v>
      </c>
      <c r="H459" s="17">
        <v>43141</v>
      </c>
      <c r="I459" s="17">
        <v>105291</v>
      </c>
      <c r="J459" s="17" t="s">
        <v>574</v>
      </c>
      <c r="K459" s="17" t="str">
        <f>A459&amp;B459&amp;C459&amp;D459&amp;E459&amp;F459&amp;G459&amp;H459&amp;I459&amp;J459&amp;[1]Sheet1!$G$5</f>
        <v>E0458Nafiz MiahMaleSalesSenior Account ExecutiveFull-timeChattogram43141105291E0602Sylhet</v>
      </c>
      <c r="L459" s="17">
        <f t="shared" si="21"/>
        <v>135072</v>
      </c>
      <c r="M459" s="17">
        <f ca="1" t="shared" si="22"/>
        <v>8</v>
      </c>
      <c r="N459" s="18" t="str">
        <f ca="1" t="shared" si="23"/>
        <v>Experienced</v>
      </c>
    </row>
    <row r="460" spans="1:14">
      <c r="A460" s="13" t="s">
        <v>985</v>
      </c>
      <c r="B460" s="14" t="s">
        <v>986</v>
      </c>
      <c r="C460" s="14" t="s">
        <v>12</v>
      </c>
      <c r="D460" s="14" t="s">
        <v>38</v>
      </c>
      <c r="E460" s="14" t="s">
        <v>77</v>
      </c>
      <c r="F460" s="14" t="s">
        <v>22</v>
      </c>
      <c r="G460" s="14" t="s">
        <v>16</v>
      </c>
      <c r="H460" s="14">
        <v>43686</v>
      </c>
      <c r="I460" s="14">
        <v>135917</v>
      </c>
      <c r="J460" s="14"/>
      <c r="K460" s="14" t="str">
        <f>A460&amp;B460&amp;C460&amp;D460&amp;E460&amp;F460&amp;G460&amp;H460&amp;I460&amp;J460&amp;[1]Sheet1!$G$5</f>
        <v>E0459Jannat TalukderFemaleEngineeringJunior Software EngineerInternKhulna43686135917Sylhet</v>
      </c>
      <c r="L460" s="14">
        <f t="shared" si="21"/>
        <v>135184.5</v>
      </c>
      <c r="M460" s="14">
        <f ca="1" t="shared" si="22"/>
        <v>6</v>
      </c>
      <c r="N460" s="15" t="str">
        <f ca="1" t="shared" si="23"/>
        <v>Experienced</v>
      </c>
    </row>
    <row r="461" spans="1:14">
      <c r="A461" s="16" t="s">
        <v>987</v>
      </c>
      <c r="B461" s="17" t="s">
        <v>333</v>
      </c>
      <c r="C461" s="17" t="s">
        <v>19</v>
      </c>
      <c r="D461" s="17" t="s">
        <v>38</v>
      </c>
      <c r="E461" s="17" t="s">
        <v>44</v>
      </c>
      <c r="F461" s="17" t="s">
        <v>15</v>
      </c>
      <c r="G461" s="17" t="s">
        <v>16</v>
      </c>
      <c r="H461" s="17">
        <v>44848</v>
      </c>
      <c r="I461" s="17">
        <v>166740</v>
      </c>
      <c r="J461" s="17"/>
      <c r="K461" s="17" t="str">
        <f>A461&amp;B461&amp;C461&amp;D461&amp;E461&amp;F461&amp;G461&amp;H461&amp;I461&amp;J461&amp;[1]Sheet1!$G$5</f>
        <v>E0460Esha RanaMaleEngineeringQA EngineerFull-timeKhulna44848166740Sylhet</v>
      </c>
      <c r="L461" s="17">
        <f t="shared" si="21"/>
        <v>135072</v>
      </c>
      <c r="M461" s="17">
        <f ca="1" t="shared" si="22"/>
        <v>3</v>
      </c>
      <c r="N461" s="18" t="str">
        <f ca="1" t="shared" si="23"/>
        <v>Mid level</v>
      </c>
    </row>
    <row r="462" spans="1:14">
      <c r="A462" s="13" t="s">
        <v>988</v>
      </c>
      <c r="B462" s="14" t="s">
        <v>989</v>
      </c>
      <c r="C462" s="14" t="s">
        <v>19</v>
      </c>
      <c r="D462" s="14" t="s">
        <v>38</v>
      </c>
      <c r="E462" s="14" t="s">
        <v>66</v>
      </c>
      <c r="F462" s="14" t="s">
        <v>15</v>
      </c>
      <c r="G462" s="14" t="s">
        <v>16</v>
      </c>
      <c r="H462" s="14">
        <v>44318</v>
      </c>
      <c r="I462" s="14">
        <v>182833</v>
      </c>
      <c r="J462" s="14" t="s">
        <v>309</v>
      </c>
      <c r="K462" s="14" t="str">
        <f>A462&amp;B462&amp;C462&amp;D462&amp;E462&amp;F462&amp;G462&amp;H462&amp;I462&amp;J462&amp;[1]Sheet1!$G$5</f>
        <v>E0461Rafi AhmedMaleEngineeringSoftware EngineerFull-timeKhulna44318182833E0197Sylhet</v>
      </c>
      <c r="L462" s="14">
        <f t="shared" si="21"/>
        <v>134973.5</v>
      </c>
      <c r="M462" s="14">
        <f ca="1" t="shared" si="22"/>
        <v>4</v>
      </c>
      <c r="N462" s="15" t="str">
        <f ca="1" t="shared" si="23"/>
        <v>Mid level</v>
      </c>
    </row>
    <row r="463" spans="1:14">
      <c r="A463" s="16" t="s">
        <v>990</v>
      </c>
      <c r="B463" s="17" t="s">
        <v>720</v>
      </c>
      <c r="C463" s="17" t="s">
        <v>19</v>
      </c>
      <c r="D463" s="17" t="s">
        <v>32</v>
      </c>
      <c r="E463" s="17" t="s">
        <v>33</v>
      </c>
      <c r="F463" s="17" t="s">
        <v>15</v>
      </c>
      <c r="G463" s="17" t="s">
        <v>62</v>
      </c>
      <c r="H463" s="17">
        <v>44423</v>
      </c>
      <c r="I463" s="17">
        <v>63724</v>
      </c>
      <c r="J463" s="17" t="s">
        <v>889</v>
      </c>
      <c r="K463" s="17" t="str">
        <f>A463&amp;B463&amp;C463&amp;D463&amp;E463&amp;F463&amp;G463&amp;H463&amp;I463&amp;J463&amp;[1]Sheet1!$G$5</f>
        <v>E0462Rahim BiswasMaleHRHR Business PartnerFull-timeChattogram4442363724E0479Sylhet</v>
      </c>
      <c r="L463" s="17">
        <f t="shared" si="21"/>
        <v>134875</v>
      </c>
      <c r="M463" s="17">
        <f ca="1" t="shared" si="22"/>
        <v>4</v>
      </c>
      <c r="N463" s="18" t="str">
        <f ca="1" t="shared" si="23"/>
        <v>Mid level</v>
      </c>
    </row>
    <row r="464" spans="1:14">
      <c r="A464" s="13" t="s">
        <v>991</v>
      </c>
      <c r="B464" s="14" t="s">
        <v>720</v>
      </c>
      <c r="C464" s="14" t="s">
        <v>19</v>
      </c>
      <c r="D464" s="14" t="s">
        <v>26</v>
      </c>
      <c r="E464" s="14" t="s">
        <v>162</v>
      </c>
      <c r="F464" s="14" t="s">
        <v>15</v>
      </c>
      <c r="G464" s="14" t="s">
        <v>62</v>
      </c>
      <c r="H464" s="14">
        <v>42987</v>
      </c>
      <c r="I464" s="14">
        <v>173386</v>
      </c>
      <c r="J464" s="14" t="s">
        <v>299</v>
      </c>
      <c r="K464" s="14" t="str">
        <f>A464&amp;B464&amp;C464&amp;D464&amp;E464&amp;F464&amp;G464&amp;H464&amp;I464&amp;J464&amp;[1]Sheet1!$G$5</f>
        <v>E0463Rahim BiswasMaleFinanceAccounts ExecutiveFull-timeChattogram42987173386E0089Sylhet</v>
      </c>
      <c r="L464" s="14">
        <f t="shared" si="21"/>
        <v>134973.5</v>
      </c>
      <c r="M464" s="14">
        <f ca="1" t="shared" si="22"/>
        <v>8</v>
      </c>
      <c r="N464" s="15" t="str">
        <f ca="1" t="shared" si="23"/>
        <v>Experienced</v>
      </c>
    </row>
    <row r="465" spans="1:14">
      <c r="A465" s="16" t="s">
        <v>992</v>
      </c>
      <c r="B465" s="17" t="s">
        <v>993</v>
      </c>
      <c r="C465" s="17" t="s">
        <v>19</v>
      </c>
      <c r="D465" s="17" t="s">
        <v>92</v>
      </c>
      <c r="E465" s="17" t="s">
        <v>93</v>
      </c>
      <c r="F465" s="17" t="s">
        <v>15</v>
      </c>
      <c r="G465" s="17" t="s">
        <v>62</v>
      </c>
      <c r="H465" s="17">
        <v>42623</v>
      </c>
      <c r="I465" s="17">
        <v>143282</v>
      </c>
      <c r="J465" s="17" t="s">
        <v>306</v>
      </c>
      <c r="K465" s="17" t="str">
        <f>A465&amp;B465&amp;C465&amp;D465&amp;E465&amp;F465&amp;G465&amp;H465&amp;I465&amp;J465&amp;[1]Sheet1!$G$5</f>
        <v>E0464Rashed JahanMaleMarketingGrowth MarketerFull-timeChattogram42623143282E0330Sylhet</v>
      </c>
      <c r="L465" s="17">
        <f t="shared" si="21"/>
        <v>134875</v>
      </c>
      <c r="M465" s="17">
        <f ca="1" t="shared" si="22"/>
        <v>9</v>
      </c>
      <c r="N465" s="18" t="str">
        <f ca="1" t="shared" si="23"/>
        <v>Experienced</v>
      </c>
    </row>
    <row r="466" spans="1:14">
      <c r="A466" s="13" t="s">
        <v>842</v>
      </c>
      <c r="B466" s="14" t="s">
        <v>994</v>
      </c>
      <c r="C466" s="14" t="s">
        <v>19</v>
      </c>
      <c r="D466" s="14" t="s">
        <v>20</v>
      </c>
      <c r="E466" s="14" t="s">
        <v>70</v>
      </c>
      <c r="F466" s="14" t="s">
        <v>48</v>
      </c>
      <c r="G466" s="14" t="s">
        <v>40</v>
      </c>
      <c r="H466" s="14">
        <v>44215</v>
      </c>
      <c r="I466" s="14">
        <v>173256</v>
      </c>
      <c r="J466" s="14" t="s">
        <v>821</v>
      </c>
      <c r="K466" s="14" t="str">
        <f>A466&amp;B466&amp;C466&amp;D466&amp;E466&amp;F466&amp;G466&amp;H466&amp;I466&amp;J466&amp;[1]Sheet1!$G$5</f>
        <v>E0465Rahim MahmudMaleCustomer SuccessCustomer Success ManagerContractDhaka44215173256E0361Sylhet</v>
      </c>
      <c r="L466" s="14">
        <f t="shared" si="21"/>
        <v>134858.5</v>
      </c>
      <c r="M466" s="14">
        <f ca="1" t="shared" si="22"/>
        <v>5</v>
      </c>
      <c r="N466" s="15" t="str">
        <f ca="1" t="shared" si="23"/>
        <v>Mid level</v>
      </c>
    </row>
    <row r="467" spans="1:14">
      <c r="A467" s="16" t="s">
        <v>995</v>
      </c>
      <c r="B467" s="17" t="s">
        <v>996</v>
      </c>
      <c r="C467" s="17" t="s">
        <v>19</v>
      </c>
      <c r="D467" s="17" t="s">
        <v>13</v>
      </c>
      <c r="E467" s="17" t="s">
        <v>14</v>
      </c>
      <c r="F467" s="17" t="s">
        <v>48</v>
      </c>
      <c r="G467" s="17" t="s">
        <v>94</v>
      </c>
      <c r="H467" s="17">
        <v>42793</v>
      </c>
      <c r="I467" s="17">
        <v>69789</v>
      </c>
      <c r="J467" s="17" t="s">
        <v>813</v>
      </c>
      <c r="K467" s="17" t="str">
        <f>A467&amp;B467&amp;C467&amp;D467&amp;E467&amp;F467&amp;G467&amp;H467&amp;I467&amp;J467&amp;[1]Sheet1!$G$5</f>
        <v>E0466Tania HasanMaleSalesSales AssociateContractRajshahi4279369789E0991Sylhet</v>
      </c>
      <c r="L467" s="17">
        <f t="shared" si="21"/>
        <v>134842</v>
      </c>
      <c r="M467" s="17">
        <f ca="1" t="shared" si="22"/>
        <v>9</v>
      </c>
      <c r="N467" s="18" t="str">
        <f ca="1" t="shared" si="23"/>
        <v>Experienced</v>
      </c>
    </row>
    <row r="468" spans="1:14">
      <c r="A468" s="13" t="s">
        <v>862</v>
      </c>
      <c r="B468" s="14" t="s">
        <v>997</v>
      </c>
      <c r="C468" s="14" t="s">
        <v>19</v>
      </c>
      <c r="D468" s="14" t="s">
        <v>87</v>
      </c>
      <c r="E468" s="14" t="s">
        <v>111</v>
      </c>
      <c r="F468" s="14" t="s">
        <v>15</v>
      </c>
      <c r="G468" s="14" t="s">
        <v>28</v>
      </c>
      <c r="H468" s="14">
        <v>45691</v>
      </c>
      <c r="I468" s="14">
        <v>255591</v>
      </c>
      <c r="J468" s="14" t="s">
        <v>803</v>
      </c>
      <c r="K468" s="14" t="str">
        <f>A468&amp;B468&amp;C468&amp;D468&amp;E468&amp;F468&amp;G468&amp;H468&amp;I468&amp;J468&amp;[1]Sheet1!$G$5</f>
        <v>E0467Rashed HaiderMaleProductSenior Product ManagerFull-timeRemote45691255591E0349Sylhet</v>
      </c>
      <c r="L468" s="14">
        <f t="shared" si="21"/>
        <v>134858.5</v>
      </c>
      <c r="M468" s="14">
        <f ca="1" t="shared" si="22"/>
        <v>1</v>
      </c>
      <c r="N468" s="15" t="str">
        <f ca="1" t="shared" si="23"/>
        <v>New</v>
      </c>
    </row>
    <row r="469" spans="1:14">
      <c r="A469" s="16" t="s">
        <v>998</v>
      </c>
      <c r="B469" s="17" t="s">
        <v>999</v>
      </c>
      <c r="C469" s="17" t="s">
        <v>12</v>
      </c>
      <c r="D469" s="17" t="s">
        <v>52</v>
      </c>
      <c r="E469" s="17" t="s">
        <v>120</v>
      </c>
      <c r="F469" s="17" t="s">
        <v>15</v>
      </c>
      <c r="G469" s="17" t="s">
        <v>40</v>
      </c>
      <c r="H469" s="17">
        <v>45799</v>
      </c>
      <c r="I469" s="17">
        <v>98291</v>
      </c>
      <c r="J469" s="17"/>
      <c r="K469" s="17" t="str">
        <f>A469&amp;B469&amp;C469&amp;D469&amp;E469&amp;F469&amp;G469&amp;H469&amp;I469&amp;J469&amp;[1]Sheet1!$G$5</f>
        <v>E0468Ovi AminFemaleOperationsSupply Chain AnalystFull-timeDhaka4579998291Sylhet</v>
      </c>
      <c r="L469" s="17">
        <f t="shared" si="21"/>
        <v>134842</v>
      </c>
      <c r="M469" s="17">
        <f ca="1" t="shared" si="22"/>
        <v>0</v>
      </c>
      <c r="N469" s="18" t="str">
        <f ca="1" t="shared" si="23"/>
        <v>New</v>
      </c>
    </row>
    <row r="470" spans="1:14">
      <c r="A470" s="13" t="s">
        <v>557</v>
      </c>
      <c r="B470" s="14" t="s">
        <v>1000</v>
      </c>
      <c r="C470" s="14" t="s">
        <v>12</v>
      </c>
      <c r="D470" s="14" t="s">
        <v>87</v>
      </c>
      <c r="E470" s="14" t="s">
        <v>111</v>
      </c>
      <c r="F470" s="14" t="s">
        <v>15</v>
      </c>
      <c r="G470" s="14" t="s">
        <v>34</v>
      </c>
      <c r="H470" s="14">
        <v>43776</v>
      </c>
      <c r="I470" s="14">
        <v>276368</v>
      </c>
      <c r="J470" s="14" t="s">
        <v>619</v>
      </c>
      <c r="K470" s="14" t="str">
        <f>A470&amp;B470&amp;C470&amp;D470&amp;E470&amp;F470&amp;G470&amp;H470&amp;I470&amp;J470&amp;[1]Sheet1!$G$5</f>
        <v>E0469Rafi RasheedFemaleProductSenior Product ManagerFull-timeSylhet43776276368E0936Sylhet</v>
      </c>
      <c r="L470" s="14">
        <f t="shared" si="21"/>
        <v>134858.5</v>
      </c>
      <c r="M470" s="14">
        <f ca="1" t="shared" si="22"/>
        <v>6</v>
      </c>
      <c r="N470" s="15" t="str">
        <f ca="1" t="shared" si="23"/>
        <v>Experienced</v>
      </c>
    </row>
    <row r="471" spans="1:14">
      <c r="A471" s="16" t="s">
        <v>1001</v>
      </c>
      <c r="B471" s="17" t="s">
        <v>1002</v>
      </c>
      <c r="C471" s="17" t="s">
        <v>19</v>
      </c>
      <c r="D471" s="17" t="s">
        <v>20</v>
      </c>
      <c r="E471" s="17" t="s">
        <v>70</v>
      </c>
      <c r="F471" s="17" t="s">
        <v>15</v>
      </c>
      <c r="G471" s="17" t="s">
        <v>34</v>
      </c>
      <c r="H471" s="17">
        <v>45295</v>
      </c>
      <c r="I471" s="17">
        <v>158145</v>
      </c>
      <c r="J471" s="17" t="s">
        <v>1003</v>
      </c>
      <c r="K471" s="17" t="str">
        <f>A471&amp;B471&amp;C471&amp;D471&amp;E471&amp;F471&amp;G471&amp;H471&amp;I471&amp;J471&amp;[1]Sheet1!$G$5</f>
        <v>E0470Noman AnjumMaleCustomer SuccessCustomer Success ManagerFull-timeSylhet45295158145E0649Sylhet</v>
      </c>
      <c r="L471" s="17">
        <f t="shared" si="21"/>
        <v>134842</v>
      </c>
      <c r="M471" s="17">
        <f ca="1" t="shared" si="22"/>
        <v>2</v>
      </c>
      <c r="N471" s="18" t="str">
        <f ca="1" t="shared" si="23"/>
        <v>New</v>
      </c>
    </row>
    <row r="472" spans="1:14">
      <c r="A472" s="13" t="s">
        <v>1004</v>
      </c>
      <c r="B472" s="14" t="s">
        <v>1005</v>
      </c>
      <c r="C472" s="14" t="s">
        <v>19</v>
      </c>
      <c r="D472" s="14" t="s">
        <v>38</v>
      </c>
      <c r="E472" s="14" t="s">
        <v>140</v>
      </c>
      <c r="F472" s="14" t="s">
        <v>15</v>
      </c>
      <c r="G472" s="14" t="s">
        <v>62</v>
      </c>
      <c r="H472" s="14">
        <v>42715</v>
      </c>
      <c r="I472" s="14">
        <v>150348</v>
      </c>
      <c r="J472" s="14" t="s">
        <v>727</v>
      </c>
      <c r="K472" s="14" t="str">
        <f>A472&amp;B472&amp;C472&amp;D472&amp;E472&amp;F472&amp;G472&amp;H472&amp;I472&amp;J472&amp;[1]Sheet1!$G$5</f>
        <v>E0471Lamia IslamMaleEngineeringSenior Software EngineerFull-timeChattogram42715150348E0618Sylhet</v>
      </c>
      <c r="L472" s="14">
        <f t="shared" si="21"/>
        <v>134588.5</v>
      </c>
      <c r="M472" s="14">
        <f ca="1" t="shared" si="22"/>
        <v>9</v>
      </c>
      <c r="N472" s="15" t="str">
        <f ca="1" t="shared" si="23"/>
        <v>Experienced</v>
      </c>
    </row>
    <row r="473" spans="1:14">
      <c r="A473" s="16" t="s">
        <v>951</v>
      </c>
      <c r="B473" s="17" t="s">
        <v>980</v>
      </c>
      <c r="C473" s="17" t="s">
        <v>19</v>
      </c>
      <c r="D473" s="17" t="s">
        <v>20</v>
      </c>
      <c r="E473" s="17" t="s">
        <v>70</v>
      </c>
      <c r="F473" s="17" t="s">
        <v>15</v>
      </c>
      <c r="G473" s="17" t="s">
        <v>94</v>
      </c>
      <c r="H473" s="17">
        <v>44436</v>
      </c>
      <c r="I473" s="17">
        <v>120126</v>
      </c>
      <c r="J473" s="17" t="s">
        <v>449</v>
      </c>
      <c r="K473" s="17" t="str">
        <f>A473&amp;B473&amp;C473&amp;D473&amp;E473&amp;F473&amp;G473&amp;H473&amp;I473&amp;J473&amp;[1]Sheet1!$G$5</f>
        <v>E0472Shawon ParvinMaleCustomer SuccessCustomer Success ManagerFull-timeRajshahi44436120126E0560Sylhet</v>
      </c>
      <c r="L473" s="17">
        <f t="shared" si="21"/>
        <v>134335</v>
      </c>
      <c r="M473" s="17">
        <f ca="1" t="shared" si="22"/>
        <v>4</v>
      </c>
      <c r="N473" s="18" t="str">
        <f ca="1" t="shared" si="23"/>
        <v>Mid level</v>
      </c>
    </row>
    <row r="474" spans="1:14">
      <c r="A474" s="13" t="s">
        <v>1006</v>
      </c>
      <c r="B474" s="14" t="s">
        <v>1007</v>
      </c>
      <c r="C474" s="14" t="s">
        <v>19</v>
      </c>
      <c r="D474" s="14" t="s">
        <v>38</v>
      </c>
      <c r="E474" s="14" t="s">
        <v>39</v>
      </c>
      <c r="F474" s="14" t="s">
        <v>48</v>
      </c>
      <c r="G474" s="14" t="s">
        <v>94</v>
      </c>
      <c r="H474" s="14">
        <v>45016</v>
      </c>
      <c r="I474" s="14">
        <v>184741</v>
      </c>
      <c r="J474" s="14" t="s">
        <v>224</v>
      </c>
      <c r="K474" s="14" t="str">
        <f>A474&amp;B474&amp;C474&amp;D474&amp;E474&amp;F474&amp;G474&amp;H474&amp;I474&amp;J474&amp;[1]Sheet1!$G$5</f>
        <v>E0473Nadia ShahMaleEngineeringDevOps EngineerContractRajshahi45016184741E0839Sylhet</v>
      </c>
      <c r="L474" s="14">
        <f t="shared" si="21"/>
        <v>134588.5</v>
      </c>
      <c r="M474" s="14">
        <f ca="1" t="shared" si="22"/>
        <v>2</v>
      </c>
      <c r="N474" s="15" t="str">
        <f ca="1" t="shared" si="23"/>
        <v>New</v>
      </c>
    </row>
    <row r="475" spans="1:14">
      <c r="A475" s="16" t="s">
        <v>1008</v>
      </c>
      <c r="B475" s="17" t="s">
        <v>1009</v>
      </c>
      <c r="C475" s="17" t="s">
        <v>19</v>
      </c>
      <c r="D475" s="17" t="s">
        <v>52</v>
      </c>
      <c r="E475" s="17" t="s">
        <v>120</v>
      </c>
      <c r="F475" s="17" t="s">
        <v>15</v>
      </c>
      <c r="G475" s="17" t="s">
        <v>62</v>
      </c>
      <c r="H475" s="17">
        <v>43076</v>
      </c>
      <c r="I475" s="17">
        <v>70447</v>
      </c>
      <c r="J475" s="17" t="s">
        <v>758</v>
      </c>
      <c r="K475" s="17" t="str">
        <f>A475&amp;B475&amp;C475&amp;D475&amp;E475&amp;F475&amp;G475&amp;H475&amp;I475&amp;J475&amp;[1]Sheet1!$G$5</f>
        <v>E0474Karim RahmanMaleOperationsSupply Chain AnalystFull-timeChattogram4307670447E0323Sylhet</v>
      </c>
      <c r="L475" s="17">
        <f t="shared" si="21"/>
        <v>134335</v>
      </c>
      <c r="M475" s="17">
        <f ca="1" t="shared" si="22"/>
        <v>8</v>
      </c>
      <c r="N475" s="18" t="str">
        <f ca="1" t="shared" si="23"/>
        <v>Experienced</v>
      </c>
    </row>
    <row r="476" spans="1:14">
      <c r="A476" s="13" t="s">
        <v>1010</v>
      </c>
      <c r="B476" s="14" t="s">
        <v>705</v>
      </c>
      <c r="C476" s="14" t="s">
        <v>19</v>
      </c>
      <c r="D476" s="14" t="s">
        <v>92</v>
      </c>
      <c r="E476" s="14" t="s">
        <v>391</v>
      </c>
      <c r="F476" s="14" t="s">
        <v>15</v>
      </c>
      <c r="G476" s="14" t="s">
        <v>40</v>
      </c>
      <c r="H476" s="14">
        <v>42530</v>
      </c>
      <c r="I476" s="14">
        <v>97284</v>
      </c>
      <c r="J476" s="14" t="s">
        <v>347</v>
      </c>
      <c r="K476" s="14" t="str">
        <f>A476&amp;B476&amp;C476&amp;D476&amp;E476&amp;F476&amp;G476&amp;H476&amp;I476&amp;J476&amp;[1]Sheet1!$G$5</f>
        <v>E0475Shawon IslamMaleMarketingContent SpecialistFull-timeDhaka4253097284E0500Sylhet</v>
      </c>
      <c r="L476" s="14">
        <f t="shared" si="21"/>
        <v>134588.5</v>
      </c>
      <c r="M476" s="14">
        <f ca="1" t="shared" si="22"/>
        <v>9</v>
      </c>
      <c r="N476" s="15" t="str">
        <f ca="1" t="shared" si="23"/>
        <v>Experienced</v>
      </c>
    </row>
    <row r="477" spans="1:14">
      <c r="A477" s="16" t="s">
        <v>1011</v>
      </c>
      <c r="B477" s="17" t="s">
        <v>461</v>
      </c>
      <c r="C477" s="17" t="s">
        <v>12</v>
      </c>
      <c r="D477" s="17" t="s">
        <v>20</v>
      </c>
      <c r="E477" s="17" t="s">
        <v>21</v>
      </c>
      <c r="F477" s="17" t="s">
        <v>15</v>
      </c>
      <c r="G477" s="17" t="s">
        <v>62</v>
      </c>
      <c r="H477" s="17">
        <v>43384</v>
      </c>
      <c r="I477" s="17">
        <v>106133</v>
      </c>
      <c r="J477" s="17" t="s">
        <v>226</v>
      </c>
      <c r="K477" s="17" t="str">
        <f>A477&amp;B477&amp;C477&amp;D477&amp;E477&amp;F477&amp;G477&amp;H477&amp;I477&amp;J477&amp;[1]Sheet1!$G$5</f>
        <v>E0476Jannat HaiderFemaleCustomer SuccessSupport SpecialistFull-timeChattogram43384106133E0453Sylhet</v>
      </c>
      <c r="L477" s="17">
        <f t="shared" si="21"/>
        <v>134842</v>
      </c>
      <c r="M477" s="17">
        <f ca="1" t="shared" si="22"/>
        <v>7</v>
      </c>
      <c r="N477" s="18" t="str">
        <f ca="1" t="shared" si="23"/>
        <v>Experienced</v>
      </c>
    </row>
    <row r="478" spans="1:14">
      <c r="A478" s="13" t="s">
        <v>1012</v>
      </c>
      <c r="B478" s="14" t="s">
        <v>282</v>
      </c>
      <c r="C478" s="14" t="s">
        <v>12</v>
      </c>
      <c r="D478" s="14" t="s">
        <v>38</v>
      </c>
      <c r="E478" s="14" t="s">
        <v>39</v>
      </c>
      <c r="F478" s="14" t="s">
        <v>15</v>
      </c>
      <c r="G478" s="14" t="s">
        <v>62</v>
      </c>
      <c r="H478" s="14">
        <v>45268</v>
      </c>
      <c r="I478" s="14">
        <v>174752</v>
      </c>
      <c r="J478" s="14" t="s">
        <v>721</v>
      </c>
      <c r="K478" s="14" t="str">
        <f>A478&amp;B478&amp;C478&amp;D478&amp;E478&amp;F478&amp;G478&amp;H478&amp;I478&amp;J478&amp;[1]Sheet1!$G$5</f>
        <v>E0477Ayesha BanuFemaleEngineeringDevOps EngineerFull-timeChattogram45268174752E0376Sylhet</v>
      </c>
      <c r="L478" s="14">
        <f t="shared" si="21"/>
        <v>134858.5</v>
      </c>
      <c r="M478" s="14">
        <f ca="1" t="shared" si="22"/>
        <v>2</v>
      </c>
      <c r="N478" s="15" t="str">
        <f ca="1" t="shared" si="23"/>
        <v>New</v>
      </c>
    </row>
    <row r="479" spans="1:14">
      <c r="A479" s="16" t="s">
        <v>1013</v>
      </c>
      <c r="B479" s="17" t="s">
        <v>1014</v>
      </c>
      <c r="C479" s="17" t="s">
        <v>12</v>
      </c>
      <c r="D479" s="17" t="s">
        <v>92</v>
      </c>
      <c r="E479" s="17" t="s">
        <v>126</v>
      </c>
      <c r="F479" s="17" t="s">
        <v>15</v>
      </c>
      <c r="G479" s="17" t="s">
        <v>40</v>
      </c>
      <c r="H479" s="17">
        <v>44163</v>
      </c>
      <c r="I479" s="17">
        <v>119233</v>
      </c>
      <c r="J479" s="17" t="s">
        <v>557</v>
      </c>
      <c r="K479" s="17" t="str">
        <f>A479&amp;B479&amp;C479&amp;D479&amp;E479&amp;F479&amp;G479&amp;H479&amp;I479&amp;J479&amp;[1]Sheet1!$G$5</f>
        <v>E0478Zahid ShahFemaleMarketingSEO SpecialistFull-timeDhaka44163119233E0469Sylhet</v>
      </c>
      <c r="L479" s="17">
        <f t="shared" si="21"/>
        <v>134842</v>
      </c>
      <c r="M479" s="17">
        <f ca="1" t="shared" si="22"/>
        <v>5</v>
      </c>
      <c r="N479" s="18" t="str">
        <f ca="1" t="shared" si="23"/>
        <v>Mid level</v>
      </c>
    </row>
    <row r="480" spans="1:14">
      <c r="A480" s="13" t="s">
        <v>889</v>
      </c>
      <c r="B480" s="14" t="s">
        <v>1015</v>
      </c>
      <c r="C480" s="14" t="s">
        <v>12</v>
      </c>
      <c r="D480" s="14" t="s">
        <v>20</v>
      </c>
      <c r="E480" s="14" t="s">
        <v>70</v>
      </c>
      <c r="F480" s="14" t="s">
        <v>48</v>
      </c>
      <c r="G480" s="14" t="s">
        <v>28</v>
      </c>
      <c r="H480" s="14">
        <v>44169</v>
      </c>
      <c r="I480" s="14">
        <v>72655</v>
      </c>
      <c r="J480" s="14" t="s">
        <v>172</v>
      </c>
      <c r="K480" s="14" t="str">
        <f>A480&amp;B480&amp;C480&amp;D480&amp;E480&amp;F480&amp;G480&amp;H480&amp;I480&amp;J480&amp;[1]Sheet1!$G$5</f>
        <v>E0479Priya RahmanFemaleCustomer SuccessCustomer Success ManagerContractRemote4416972655E0141Sylhet</v>
      </c>
      <c r="L480" s="14">
        <f t="shared" si="21"/>
        <v>134858.5</v>
      </c>
      <c r="M480" s="14">
        <f ca="1" t="shared" si="22"/>
        <v>5</v>
      </c>
      <c r="N480" s="15" t="str">
        <f ca="1" t="shared" si="23"/>
        <v>Mid level</v>
      </c>
    </row>
    <row r="481" spans="1:14">
      <c r="A481" s="16" t="s">
        <v>1016</v>
      </c>
      <c r="B481" s="17" t="s">
        <v>1017</v>
      </c>
      <c r="C481" s="17" t="s">
        <v>12</v>
      </c>
      <c r="D481" s="17" t="s">
        <v>92</v>
      </c>
      <c r="E481" s="17" t="s">
        <v>391</v>
      </c>
      <c r="F481" s="17" t="s">
        <v>15</v>
      </c>
      <c r="G481" s="17" t="s">
        <v>62</v>
      </c>
      <c r="H481" s="17">
        <v>44516</v>
      </c>
      <c r="I481" s="17">
        <v>105709</v>
      </c>
      <c r="J481" s="17" t="s">
        <v>1018</v>
      </c>
      <c r="K481" s="17" t="str">
        <f>A481&amp;B481&amp;C481&amp;D481&amp;E481&amp;F481&amp;G481&amp;H481&amp;I481&amp;J481&amp;[1]Sheet1!$G$5</f>
        <v>E0480Nadia SharminFemaleMarketingContent SpecialistFull-timeChattogram44516105709E0670Sylhet</v>
      </c>
      <c r="L481" s="17">
        <f t="shared" si="21"/>
        <v>134875</v>
      </c>
      <c r="M481" s="17">
        <f ca="1" t="shared" si="22"/>
        <v>4</v>
      </c>
      <c r="N481" s="18" t="str">
        <f ca="1" t="shared" si="23"/>
        <v>Mid level</v>
      </c>
    </row>
    <row r="482" spans="1:14">
      <c r="A482" s="13" t="s">
        <v>1019</v>
      </c>
      <c r="B482" s="14" t="s">
        <v>1020</v>
      </c>
      <c r="C482" s="14" t="s">
        <v>19</v>
      </c>
      <c r="D482" s="14" t="s">
        <v>32</v>
      </c>
      <c r="E482" s="14" t="s">
        <v>208</v>
      </c>
      <c r="F482" s="14" t="s">
        <v>48</v>
      </c>
      <c r="G482" s="14" t="s">
        <v>34</v>
      </c>
      <c r="H482" s="14">
        <v>44511</v>
      </c>
      <c r="I482" s="14">
        <v>180674</v>
      </c>
      <c r="J482" s="14" t="s">
        <v>776</v>
      </c>
      <c r="K482" s="14" t="str">
        <f>A482&amp;B482&amp;C482&amp;D482&amp;E482&amp;F482&amp;G482&amp;H482&amp;I482&amp;J482&amp;[1]Sheet1!$G$5</f>
        <v>E0481Nafiz IslamMaleHRHR ManagerContractSylhet44511180674E0334Sylhet</v>
      </c>
      <c r="L482" s="14">
        <f t="shared" si="21"/>
        <v>134973.5</v>
      </c>
      <c r="M482" s="14">
        <f ca="1" t="shared" si="22"/>
        <v>4</v>
      </c>
      <c r="N482" s="15" t="str">
        <f ca="1" t="shared" si="23"/>
        <v>Mid level</v>
      </c>
    </row>
    <row r="483" spans="1:14">
      <c r="A483" s="16" t="s">
        <v>1021</v>
      </c>
      <c r="B483" s="17" t="s">
        <v>1022</v>
      </c>
      <c r="C483" s="17" t="s">
        <v>19</v>
      </c>
      <c r="D483" s="17" t="s">
        <v>26</v>
      </c>
      <c r="E483" s="17" t="s">
        <v>162</v>
      </c>
      <c r="F483" s="17" t="s">
        <v>15</v>
      </c>
      <c r="G483" s="17" t="s">
        <v>34</v>
      </c>
      <c r="H483" s="17">
        <v>44867</v>
      </c>
      <c r="I483" s="17">
        <v>149123</v>
      </c>
      <c r="J483" s="17" t="s">
        <v>1003</v>
      </c>
      <c r="K483" s="17" t="str">
        <f>A483&amp;B483&amp;C483&amp;D483&amp;E483&amp;F483&amp;G483&amp;H483&amp;I483&amp;J483&amp;[1]Sheet1!$G$5</f>
        <v>E0482Ayesha ChowdhuryMaleFinanceAccounts ExecutiveFull-timeSylhet44867149123E0649Sylhet</v>
      </c>
      <c r="L483" s="17">
        <f t="shared" si="21"/>
        <v>134875</v>
      </c>
      <c r="M483" s="17">
        <f ca="1" t="shared" si="22"/>
        <v>3</v>
      </c>
      <c r="N483" s="18" t="str">
        <f ca="1" t="shared" si="23"/>
        <v>Mid level</v>
      </c>
    </row>
    <row r="484" spans="1:14">
      <c r="A484" s="13" t="s">
        <v>1023</v>
      </c>
      <c r="B484" s="14" t="s">
        <v>1024</v>
      </c>
      <c r="C484" s="14" t="s">
        <v>19</v>
      </c>
      <c r="D484" s="14" t="s">
        <v>13</v>
      </c>
      <c r="E484" s="14" t="s">
        <v>165</v>
      </c>
      <c r="F484" s="14" t="s">
        <v>48</v>
      </c>
      <c r="G484" s="14" t="s">
        <v>94</v>
      </c>
      <c r="H484" s="14">
        <v>43020</v>
      </c>
      <c r="I484" s="14">
        <v>93524</v>
      </c>
      <c r="J484" s="14" t="s">
        <v>459</v>
      </c>
      <c r="K484" s="14" t="str">
        <f>A484&amp;B484&amp;C484&amp;D484&amp;E484&amp;F484&amp;G484&amp;H484&amp;I484&amp;J484&amp;[1]Sheet1!$G$5</f>
        <v>E0483Nafiz RahmanMaleSalesAccount ExecutiveContractRajshahi4302093524E0907Sylhet</v>
      </c>
      <c r="L484" s="14">
        <f t="shared" si="21"/>
        <v>134858.5</v>
      </c>
      <c r="M484" s="14">
        <f ca="1" t="shared" si="22"/>
        <v>8</v>
      </c>
      <c r="N484" s="15" t="str">
        <f ca="1" t="shared" si="23"/>
        <v>Experienced</v>
      </c>
    </row>
    <row r="485" spans="1:14">
      <c r="A485" s="16" t="s">
        <v>1025</v>
      </c>
      <c r="B485" s="17" t="s">
        <v>1026</v>
      </c>
      <c r="C485" s="17" t="s">
        <v>12</v>
      </c>
      <c r="D485" s="17" t="s">
        <v>32</v>
      </c>
      <c r="E485" s="17" t="s">
        <v>57</v>
      </c>
      <c r="F485" s="17" t="s">
        <v>22</v>
      </c>
      <c r="G485" s="17" t="s">
        <v>40</v>
      </c>
      <c r="H485" s="17">
        <v>43860</v>
      </c>
      <c r="I485" s="17">
        <v>86132</v>
      </c>
      <c r="J485" s="17" t="s">
        <v>262</v>
      </c>
      <c r="K485" s="17" t="str">
        <f>A485&amp;B485&amp;C485&amp;D485&amp;E485&amp;F485&amp;G485&amp;H485&amp;I485&amp;J485&amp;[1]Sheet1!$G$5</f>
        <v>E0484Tamanna MiahFemaleHRHR AssociateInternDhaka4386086132E0075Sylhet</v>
      </c>
      <c r="L485" s="17">
        <f t="shared" si="21"/>
        <v>134875</v>
      </c>
      <c r="M485" s="17">
        <f ca="1" t="shared" si="22"/>
        <v>6</v>
      </c>
      <c r="N485" s="18" t="str">
        <f ca="1" t="shared" si="23"/>
        <v>Experienced</v>
      </c>
    </row>
    <row r="486" spans="1:14">
      <c r="A486" s="13" t="s">
        <v>1027</v>
      </c>
      <c r="B486" s="14" t="s">
        <v>333</v>
      </c>
      <c r="C486" s="14" t="s">
        <v>12</v>
      </c>
      <c r="D486" s="14" t="s">
        <v>92</v>
      </c>
      <c r="E486" s="14" t="s">
        <v>391</v>
      </c>
      <c r="F486" s="14" t="s">
        <v>15</v>
      </c>
      <c r="G486" s="14" t="s">
        <v>94</v>
      </c>
      <c r="H486" s="14">
        <v>43897</v>
      </c>
      <c r="I486" s="14">
        <v>76505</v>
      </c>
      <c r="J486" s="14" t="s">
        <v>547</v>
      </c>
      <c r="K486" s="14" t="str">
        <f>A486&amp;B486&amp;C486&amp;D486&amp;E486&amp;F486&amp;G486&amp;H486&amp;I486&amp;J486&amp;[1]Sheet1!$G$5</f>
        <v>E0485Esha RanaFemaleMarketingContent SpecialistFull-timeRajshahi4389776505E0210Sylhet</v>
      </c>
      <c r="L486" s="14">
        <f t="shared" si="21"/>
        <v>134973.5</v>
      </c>
      <c r="M486" s="14">
        <f ca="1" t="shared" si="22"/>
        <v>6</v>
      </c>
      <c r="N486" s="15" t="str">
        <f ca="1" t="shared" si="23"/>
        <v>Experienced</v>
      </c>
    </row>
    <row r="487" spans="1:14">
      <c r="A487" s="16" t="s">
        <v>1028</v>
      </c>
      <c r="B487" s="17" t="s">
        <v>1029</v>
      </c>
      <c r="C487" s="17" t="s">
        <v>12</v>
      </c>
      <c r="D487" s="17" t="s">
        <v>20</v>
      </c>
      <c r="E487" s="17" t="s">
        <v>21</v>
      </c>
      <c r="F487" s="17" t="s">
        <v>22</v>
      </c>
      <c r="G487" s="17" t="s">
        <v>62</v>
      </c>
      <c r="H487" s="17">
        <v>43528</v>
      </c>
      <c r="I487" s="17">
        <v>122625</v>
      </c>
      <c r="J487" s="17" t="s">
        <v>490</v>
      </c>
      <c r="K487" s="17" t="str">
        <f>A487&amp;B487&amp;C487&amp;D487&amp;E487&amp;F487&amp;G487&amp;H487&amp;I487&amp;J487&amp;[1]Sheet1!$G$5</f>
        <v>E0486Tania AkterFemaleCustomer SuccessSupport SpecialistInternChattogram43528122625E0686Sylhet</v>
      </c>
      <c r="L487" s="17">
        <f t="shared" si="21"/>
        <v>135072</v>
      </c>
      <c r="M487" s="17">
        <f ca="1" t="shared" si="22"/>
        <v>7</v>
      </c>
      <c r="N487" s="18" t="str">
        <f ca="1" t="shared" si="23"/>
        <v>Experienced</v>
      </c>
    </row>
    <row r="488" spans="1:14">
      <c r="A488" s="13" t="s">
        <v>1030</v>
      </c>
      <c r="B488" s="14" t="s">
        <v>584</v>
      </c>
      <c r="C488" s="14" t="s">
        <v>19</v>
      </c>
      <c r="D488" s="14" t="s">
        <v>38</v>
      </c>
      <c r="E488" s="14" t="s">
        <v>66</v>
      </c>
      <c r="F488" s="14" t="s">
        <v>15</v>
      </c>
      <c r="G488" s="14" t="s">
        <v>28</v>
      </c>
      <c r="H488" s="14">
        <v>43956</v>
      </c>
      <c r="I488" s="14">
        <v>93652</v>
      </c>
      <c r="J488" s="14" t="s">
        <v>585</v>
      </c>
      <c r="K488" s="14" t="str">
        <f>A488&amp;B488&amp;C488&amp;D488&amp;E488&amp;F488&amp;G488&amp;H488&amp;I488&amp;J488&amp;[1]Sheet1!$G$5</f>
        <v>E0487Priya ChowdhuryMaleEngineeringSoftware EngineerFull-timeRemote4395693652E0241Sylhet</v>
      </c>
      <c r="L488" s="14">
        <f t="shared" si="21"/>
        <v>135184.5</v>
      </c>
      <c r="M488" s="14">
        <f ca="1" t="shared" si="22"/>
        <v>5</v>
      </c>
      <c r="N488" s="15" t="str">
        <f ca="1" t="shared" si="23"/>
        <v>Mid level</v>
      </c>
    </row>
    <row r="489" spans="1:14">
      <c r="A489" s="16" t="s">
        <v>579</v>
      </c>
      <c r="B489" s="17" t="s">
        <v>1031</v>
      </c>
      <c r="C489" s="17" t="s">
        <v>12</v>
      </c>
      <c r="D489" s="17" t="s">
        <v>87</v>
      </c>
      <c r="E489" s="17" t="s">
        <v>349</v>
      </c>
      <c r="F489" s="17" t="s">
        <v>15</v>
      </c>
      <c r="G489" s="17" t="s">
        <v>34</v>
      </c>
      <c r="H489" s="17">
        <v>44044</v>
      </c>
      <c r="I489" s="17">
        <v>170512</v>
      </c>
      <c r="J489" s="17" t="s">
        <v>549</v>
      </c>
      <c r="K489" s="17" t="str">
        <f>A489&amp;B489&amp;C489&amp;D489&amp;E489&amp;F489&amp;G489&amp;H489&amp;I489&amp;J489&amp;[1]Sheet1!$G$5</f>
        <v>E0488Esha ParvinFemaleProductProduct ManagerFull-timeSylhet44044170512E0389Sylhet</v>
      </c>
      <c r="L489" s="17">
        <f t="shared" si="21"/>
        <v>135297</v>
      </c>
      <c r="M489" s="17">
        <f ca="1" t="shared" si="22"/>
        <v>5</v>
      </c>
      <c r="N489" s="18" t="str">
        <f ca="1" t="shared" si="23"/>
        <v>Mid level</v>
      </c>
    </row>
    <row r="490" spans="1:14">
      <c r="A490" s="13" t="s">
        <v>1032</v>
      </c>
      <c r="B490" s="14" t="s">
        <v>1033</v>
      </c>
      <c r="C490" s="14" t="s">
        <v>19</v>
      </c>
      <c r="D490" s="14" t="s">
        <v>20</v>
      </c>
      <c r="E490" s="14" t="s">
        <v>21</v>
      </c>
      <c r="F490" s="14" t="s">
        <v>15</v>
      </c>
      <c r="G490" s="14" t="s">
        <v>34</v>
      </c>
      <c r="H490" s="14">
        <v>45542</v>
      </c>
      <c r="I490" s="14">
        <v>66957</v>
      </c>
      <c r="J490" s="14" t="s">
        <v>971</v>
      </c>
      <c r="K490" s="14" t="str">
        <f>A490&amp;B490&amp;C490&amp;D490&amp;E490&amp;F490&amp;G490&amp;H490&amp;I490&amp;J490&amp;[1]Sheet1!$G$5</f>
        <v>E0489Karim FerdousMaleCustomer SuccessSupport SpecialistFull-timeSylhet4554266957E0449Sylhet</v>
      </c>
      <c r="L490" s="14">
        <f t="shared" si="21"/>
        <v>135184.5</v>
      </c>
      <c r="M490" s="14">
        <f ca="1" t="shared" si="22"/>
        <v>1</v>
      </c>
      <c r="N490" s="15" t="str">
        <f ca="1" t="shared" si="23"/>
        <v>New</v>
      </c>
    </row>
    <row r="491" spans="1:14">
      <c r="A491" s="16" t="s">
        <v>1034</v>
      </c>
      <c r="B491" s="17" t="s">
        <v>1035</v>
      </c>
      <c r="C491" s="17" t="s">
        <v>12</v>
      </c>
      <c r="D491" s="17" t="s">
        <v>52</v>
      </c>
      <c r="E491" s="17" t="s">
        <v>120</v>
      </c>
      <c r="F491" s="17" t="s">
        <v>15</v>
      </c>
      <c r="G491" s="17" t="s">
        <v>62</v>
      </c>
      <c r="H491" s="17">
        <v>43755</v>
      </c>
      <c r="I491" s="17">
        <v>71348</v>
      </c>
      <c r="J491" s="17" t="s">
        <v>1036</v>
      </c>
      <c r="K491" s="17" t="str">
        <f>A491&amp;B491&amp;C491&amp;D491&amp;E491&amp;F491&amp;G491&amp;H491&amp;I491&amp;J491&amp;[1]Sheet1!$G$5</f>
        <v>E0490Esha KhanFemaleOperationsSupply Chain AnalystFull-timeChattogram4375571348E0997Sylhet</v>
      </c>
      <c r="L491" s="17">
        <f t="shared" si="21"/>
        <v>135297</v>
      </c>
      <c r="M491" s="17">
        <f ca="1" t="shared" si="22"/>
        <v>6</v>
      </c>
      <c r="N491" s="18" t="str">
        <f ca="1" t="shared" si="23"/>
        <v>Experienced</v>
      </c>
    </row>
    <row r="492" spans="1:14">
      <c r="A492" s="13" t="s">
        <v>1037</v>
      </c>
      <c r="B492" s="14" t="s">
        <v>1038</v>
      </c>
      <c r="C492" s="14" t="s">
        <v>19</v>
      </c>
      <c r="D492" s="14" t="s">
        <v>13</v>
      </c>
      <c r="E492" s="14" t="s">
        <v>14</v>
      </c>
      <c r="F492" s="14" t="s">
        <v>48</v>
      </c>
      <c r="G492" s="14" t="s">
        <v>34</v>
      </c>
      <c r="H492" s="14">
        <v>45150</v>
      </c>
      <c r="I492" s="14">
        <v>123353</v>
      </c>
      <c r="J492" s="14" t="s">
        <v>1039</v>
      </c>
      <c r="K492" s="14" t="str">
        <f>A492&amp;B492&amp;C492&amp;D492&amp;E492&amp;F492&amp;G492&amp;H492&amp;I492&amp;J492&amp;[1]Sheet1!$G$5</f>
        <v>E0491Tania BanuMaleSalesSales AssociateContractSylhet45150123353E0635Sylhet</v>
      </c>
      <c r="L492" s="14">
        <f t="shared" si="21"/>
        <v>135421</v>
      </c>
      <c r="M492" s="14">
        <f ca="1" t="shared" si="22"/>
        <v>2</v>
      </c>
      <c r="N492" s="15" t="str">
        <f ca="1" t="shared" si="23"/>
        <v>New</v>
      </c>
    </row>
    <row r="493" spans="1:14">
      <c r="A493" s="16" t="s">
        <v>1040</v>
      </c>
      <c r="B493" s="17" t="s">
        <v>1041</v>
      </c>
      <c r="C493" s="17" t="s">
        <v>19</v>
      </c>
      <c r="D493" s="17" t="s">
        <v>32</v>
      </c>
      <c r="E493" s="17" t="s">
        <v>130</v>
      </c>
      <c r="F493" s="17" t="s">
        <v>15</v>
      </c>
      <c r="G493" s="17" t="s">
        <v>62</v>
      </c>
      <c r="H493" s="17">
        <v>44818</v>
      </c>
      <c r="I493" s="17">
        <v>82823</v>
      </c>
      <c r="J493" s="17" t="s">
        <v>183</v>
      </c>
      <c r="K493" s="17" t="str">
        <f>A493&amp;B493&amp;C493&amp;D493&amp;E493&amp;F493&amp;G493&amp;H493&amp;I493&amp;J493&amp;[1]Sheet1!$G$5</f>
        <v>E0492Priya RanaMaleHRRecruiterFull-timeChattogram4481882823E0456Sylhet</v>
      </c>
      <c r="L493" s="17">
        <f t="shared" si="21"/>
        <v>135545</v>
      </c>
      <c r="M493" s="17">
        <f ca="1" t="shared" si="22"/>
        <v>3</v>
      </c>
      <c r="N493" s="18" t="str">
        <f ca="1" t="shared" si="23"/>
        <v>Mid level</v>
      </c>
    </row>
    <row r="494" spans="1:14">
      <c r="A494" s="13" t="s">
        <v>1042</v>
      </c>
      <c r="B494" s="14" t="s">
        <v>1043</v>
      </c>
      <c r="C494" s="14" t="s">
        <v>19</v>
      </c>
      <c r="D494" s="14" t="s">
        <v>87</v>
      </c>
      <c r="E494" s="14" t="s">
        <v>88</v>
      </c>
      <c r="F494" s="14" t="s">
        <v>15</v>
      </c>
      <c r="G494" s="14" t="s">
        <v>62</v>
      </c>
      <c r="H494" s="14">
        <v>42584</v>
      </c>
      <c r="I494" s="14">
        <v>244869</v>
      </c>
      <c r="J494" s="14" t="s">
        <v>468</v>
      </c>
      <c r="K494" s="14" t="str">
        <f>A494&amp;B494&amp;C494&amp;D494&amp;E494&amp;F494&amp;G494&amp;H494&amp;I494&amp;J494&amp;[1]Sheet1!$G$5</f>
        <v>E0493Priya SarkerMaleProductProduct AnalystFull-timeChattogram42584244869E0167Sylhet</v>
      </c>
      <c r="L494" s="14">
        <f t="shared" si="21"/>
        <v>135607.5</v>
      </c>
      <c r="M494" s="14">
        <f ca="1" t="shared" si="22"/>
        <v>9</v>
      </c>
      <c r="N494" s="15" t="str">
        <f ca="1" t="shared" si="23"/>
        <v>Experienced</v>
      </c>
    </row>
    <row r="495" spans="1:14">
      <c r="A495" s="16" t="s">
        <v>1044</v>
      </c>
      <c r="B495" s="17" t="s">
        <v>399</v>
      </c>
      <c r="C495" s="17" t="s">
        <v>19</v>
      </c>
      <c r="D495" s="17" t="s">
        <v>38</v>
      </c>
      <c r="E495" s="17" t="s">
        <v>77</v>
      </c>
      <c r="F495" s="17" t="s">
        <v>15</v>
      </c>
      <c r="G495" s="17" t="s">
        <v>40</v>
      </c>
      <c r="H495" s="17">
        <v>45602</v>
      </c>
      <c r="I495" s="17">
        <v>143367</v>
      </c>
      <c r="J495" s="17" t="s">
        <v>373</v>
      </c>
      <c r="K495" s="17" t="str">
        <f>A495&amp;B495&amp;C495&amp;D495&amp;E495&amp;F495&amp;G495&amp;H495&amp;I495&amp;J495&amp;[1]Sheet1!$G$5</f>
        <v>E0494Karim RanaMaleEngineeringJunior Software EngineerFull-timeDhaka45602143367E0121Sylhet</v>
      </c>
      <c r="L495" s="17">
        <f t="shared" si="21"/>
        <v>135545</v>
      </c>
      <c r="M495" s="17">
        <f ca="1" t="shared" si="22"/>
        <v>1</v>
      </c>
      <c r="N495" s="18" t="str">
        <f ca="1" t="shared" si="23"/>
        <v>New</v>
      </c>
    </row>
    <row r="496" spans="1:14">
      <c r="A496" s="13" t="s">
        <v>1045</v>
      </c>
      <c r="B496" s="14" t="s">
        <v>1046</v>
      </c>
      <c r="C496" s="14" t="s">
        <v>19</v>
      </c>
      <c r="D496" s="14" t="s">
        <v>13</v>
      </c>
      <c r="E496" s="14" t="s">
        <v>223</v>
      </c>
      <c r="F496" s="14" t="s">
        <v>15</v>
      </c>
      <c r="G496" s="14" t="s">
        <v>16</v>
      </c>
      <c r="H496" s="14">
        <v>44954</v>
      </c>
      <c r="I496" s="14">
        <v>202730</v>
      </c>
      <c r="J496" s="14" t="s">
        <v>663</v>
      </c>
      <c r="K496" s="14" t="str">
        <f>A496&amp;B496&amp;C496&amp;D496&amp;E496&amp;F496&amp;G496&amp;H496&amp;I496&amp;J496&amp;[1]Sheet1!$G$5</f>
        <v>E0495Fahim KabirMaleSalesSenior Account ExecutiveFull-timeKhulna44954202730E0688Sylhet</v>
      </c>
      <c r="L496" s="14">
        <f t="shared" si="21"/>
        <v>135421</v>
      </c>
      <c r="M496" s="14">
        <f ca="1" t="shared" si="22"/>
        <v>3</v>
      </c>
      <c r="N496" s="15" t="str">
        <f ca="1" t="shared" si="23"/>
        <v>Mid level</v>
      </c>
    </row>
    <row r="497" spans="1:14">
      <c r="A497" s="16" t="s">
        <v>1047</v>
      </c>
      <c r="B497" s="17" t="s">
        <v>31</v>
      </c>
      <c r="C497" s="17" t="s">
        <v>12</v>
      </c>
      <c r="D497" s="17" t="s">
        <v>13</v>
      </c>
      <c r="E497" s="17" t="s">
        <v>223</v>
      </c>
      <c r="F497" s="17" t="s">
        <v>15</v>
      </c>
      <c r="G497" s="17" t="s">
        <v>16</v>
      </c>
      <c r="H497" s="17">
        <v>45021</v>
      </c>
      <c r="I497" s="17">
        <v>164041</v>
      </c>
      <c r="J497" s="17" t="s">
        <v>237</v>
      </c>
      <c r="K497" s="17" t="str">
        <f>A497&amp;B497&amp;C497&amp;D497&amp;E497&amp;F497&amp;G497&amp;H497&amp;I497&amp;J497&amp;[1]Sheet1!$G$5</f>
        <v>E0496Shawon RanaFemaleSalesSenior Account ExecutiveFull-timeKhulna45021164041E0782Sylhet</v>
      </c>
      <c r="L497" s="17">
        <f t="shared" si="21"/>
        <v>135297</v>
      </c>
      <c r="M497" s="17">
        <f ca="1" t="shared" si="22"/>
        <v>2</v>
      </c>
      <c r="N497" s="18" t="str">
        <f ca="1" t="shared" si="23"/>
        <v>New</v>
      </c>
    </row>
    <row r="498" spans="1:14">
      <c r="A498" s="13" t="s">
        <v>1048</v>
      </c>
      <c r="B498" s="14" t="s">
        <v>1049</v>
      </c>
      <c r="C498" s="14" t="s">
        <v>19</v>
      </c>
      <c r="D498" s="14" t="s">
        <v>92</v>
      </c>
      <c r="E498" s="14" t="s">
        <v>93</v>
      </c>
      <c r="F498" s="14" t="s">
        <v>15</v>
      </c>
      <c r="G498" s="14" t="s">
        <v>40</v>
      </c>
      <c r="H498" s="14">
        <v>43740</v>
      </c>
      <c r="I498" s="14">
        <v>92112</v>
      </c>
      <c r="J498" s="14" t="s">
        <v>262</v>
      </c>
      <c r="K498" s="14" t="str">
        <f>A498&amp;B498&amp;C498&amp;D498&amp;E498&amp;F498&amp;G498&amp;H498&amp;I498&amp;J498&amp;[1]Sheet1!$G$5</f>
        <v>E0497Esha JahanMaleMarketingGrowth MarketerFull-timeDhaka4374092112E0075Sylhet</v>
      </c>
      <c r="L498" s="14">
        <f t="shared" si="21"/>
        <v>135184.5</v>
      </c>
      <c r="M498" s="14">
        <f ca="1" t="shared" si="22"/>
        <v>6</v>
      </c>
      <c r="N498" s="15" t="str">
        <f ca="1" t="shared" si="23"/>
        <v>Experienced</v>
      </c>
    </row>
    <row r="499" spans="1:14">
      <c r="A499" s="16" t="s">
        <v>1050</v>
      </c>
      <c r="B499" s="17" t="s">
        <v>1051</v>
      </c>
      <c r="C499" s="17" t="s">
        <v>19</v>
      </c>
      <c r="D499" s="17" t="s">
        <v>38</v>
      </c>
      <c r="E499" s="17" t="s">
        <v>140</v>
      </c>
      <c r="F499" s="17" t="s">
        <v>15</v>
      </c>
      <c r="G499" s="17" t="s">
        <v>34</v>
      </c>
      <c r="H499" s="17">
        <v>42639</v>
      </c>
      <c r="I499" s="17">
        <v>122792</v>
      </c>
      <c r="J499" s="17" t="s">
        <v>549</v>
      </c>
      <c r="K499" s="17" t="str">
        <f>A499&amp;B499&amp;C499&amp;D499&amp;E499&amp;F499&amp;G499&amp;H499&amp;I499&amp;J499&amp;[1]Sheet1!$G$5</f>
        <v>E0498Ovi MahmudMaleEngineeringSenior Software EngineerFull-timeSylhet42639122792E0389Sylhet</v>
      </c>
      <c r="L499" s="17">
        <f t="shared" si="21"/>
        <v>135297</v>
      </c>
      <c r="M499" s="17">
        <f ca="1" t="shared" si="22"/>
        <v>9</v>
      </c>
      <c r="N499" s="18" t="str">
        <f ca="1" t="shared" si="23"/>
        <v>Experienced</v>
      </c>
    </row>
    <row r="500" spans="1:14">
      <c r="A500" s="13" t="s">
        <v>1052</v>
      </c>
      <c r="B500" s="14" t="s">
        <v>700</v>
      </c>
      <c r="C500" s="14" t="s">
        <v>19</v>
      </c>
      <c r="D500" s="14" t="s">
        <v>20</v>
      </c>
      <c r="E500" s="14" t="s">
        <v>21</v>
      </c>
      <c r="F500" s="14" t="s">
        <v>15</v>
      </c>
      <c r="G500" s="14" t="s">
        <v>94</v>
      </c>
      <c r="H500" s="14">
        <v>43720</v>
      </c>
      <c r="I500" s="14">
        <v>63704</v>
      </c>
      <c r="J500" s="14" t="s">
        <v>225</v>
      </c>
      <c r="K500" s="14" t="str">
        <f>A500&amp;B500&amp;C500&amp;D500&amp;E500&amp;F500&amp;G500&amp;H500&amp;I500&amp;J500&amp;[1]Sheet1!$G$5</f>
        <v>E0499Shawon KhanMaleCustomer SuccessSupport SpecialistFull-timeRajshahi4372063704E0061Sylhet</v>
      </c>
      <c r="L500" s="14">
        <f t="shared" si="21"/>
        <v>135421</v>
      </c>
      <c r="M500" s="14">
        <f ca="1" t="shared" si="22"/>
        <v>6</v>
      </c>
      <c r="N500" s="15" t="str">
        <f ca="1" t="shared" si="23"/>
        <v>Experienced</v>
      </c>
    </row>
    <row r="501" spans="1:14">
      <c r="A501" s="16" t="s">
        <v>347</v>
      </c>
      <c r="B501" s="17" t="s">
        <v>1053</v>
      </c>
      <c r="C501" s="17" t="s">
        <v>19</v>
      </c>
      <c r="D501" s="17" t="s">
        <v>20</v>
      </c>
      <c r="E501" s="17" t="s">
        <v>70</v>
      </c>
      <c r="F501" s="17" t="s">
        <v>15</v>
      </c>
      <c r="G501" s="17" t="s">
        <v>28</v>
      </c>
      <c r="H501" s="17">
        <v>42757</v>
      </c>
      <c r="I501" s="17">
        <v>134281</v>
      </c>
      <c r="J501" s="17" t="s">
        <v>889</v>
      </c>
      <c r="K501" s="17" t="str">
        <f>A501&amp;B501&amp;C501&amp;D501&amp;E501&amp;F501&amp;G501&amp;H501&amp;I501&amp;J501&amp;[1]Sheet1!$G$5</f>
        <v>E0500Ovi ParvinMaleCustomer SuccessCustomer Success ManagerFull-timeRemote42757134281E0479Sylhet</v>
      </c>
      <c r="L501" s="17">
        <f t="shared" si="21"/>
        <v>135545</v>
      </c>
      <c r="M501" s="17">
        <f ca="1" t="shared" si="22"/>
        <v>9</v>
      </c>
      <c r="N501" s="18" t="str">
        <f ca="1" t="shared" si="23"/>
        <v>Experienced</v>
      </c>
    </row>
    <row r="502" spans="1:14">
      <c r="A502" s="13" t="s">
        <v>1054</v>
      </c>
      <c r="B502" s="14" t="s">
        <v>1005</v>
      </c>
      <c r="C502" s="14" t="s">
        <v>12</v>
      </c>
      <c r="D502" s="14" t="s">
        <v>26</v>
      </c>
      <c r="E502" s="14" t="s">
        <v>61</v>
      </c>
      <c r="F502" s="14" t="s">
        <v>22</v>
      </c>
      <c r="G502" s="14" t="s">
        <v>94</v>
      </c>
      <c r="H502" s="14">
        <v>44655</v>
      </c>
      <c r="I502" s="14">
        <v>78758</v>
      </c>
      <c r="J502" s="14" t="s">
        <v>109</v>
      </c>
      <c r="K502" s="14" t="str">
        <f>A502&amp;B502&amp;C502&amp;D502&amp;E502&amp;F502&amp;G502&amp;H502&amp;I502&amp;J502&amp;[1]Sheet1!$G$5</f>
        <v>E0501Lamia IslamFemaleFinanceFinancial AnalystInternRajshahi4465578758E0023Sylhet</v>
      </c>
      <c r="L502" s="14">
        <f t="shared" si="21"/>
        <v>135607.5</v>
      </c>
      <c r="M502" s="14">
        <f ca="1" t="shared" si="22"/>
        <v>3</v>
      </c>
      <c r="N502" s="15" t="str">
        <f ca="1" t="shared" si="23"/>
        <v>Mid level</v>
      </c>
    </row>
    <row r="503" spans="1:14">
      <c r="A503" s="16" t="s">
        <v>1055</v>
      </c>
      <c r="B503" s="17" t="s">
        <v>315</v>
      </c>
      <c r="C503" s="17" t="s">
        <v>19</v>
      </c>
      <c r="D503" s="17" t="s">
        <v>92</v>
      </c>
      <c r="E503" s="17" t="s">
        <v>391</v>
      </c>
      <c r="F503" s="17" t="s">
        <v>15</v>
      </c>
      <c r="G503" s="17" t="s">
        <v>94</v>
      </c>
      <c r="H503" s="17">
        <v>45148</v>
      </c>
      <c r="I503" s="17">
        <v>116802</v>
      </c>
      <c r="J503" s="17" t="s">
        <v>929</v>
      </c>
      <c r="K503" s="17" t="str">
        <f>A503&amp;B503&amp;C503&amp;D503&amp;E503&amp;F503&amp;G503&amp;H503&amp;I503&amp;J503&amp;[1]Sheet1!$G$5</f>
        <v>E0502Shawon FerdousMaleMarketingContent SpecialistFull-timeRajshahi45148116802E0545Sylhet</v>
      </c>
      <c r="L503" s="17">
        <f t="shared" si="21"/>
        <v>135670</v>
      </c>
      <c r="M503" s="17">
        <f ca="1" t="shared" si="22"/>
        <v>2</v>
      </c>
      <c r="N503" s="18" t="str">
        <f ca="1" t="shared" si="23"/>
        <v>New</v>
      </c>
    </row>
    <row r="504" spans="1:14">
      <c r="A504" s="13" t="s">
        <v>1056</v>
      </c>
      <c r="B504" s="14" t="s">
        <v>1057</v>
      </c>
      <c r="C504" s="14" t="s">
        <v>19</v>
      </c>
      <c r="D504" s="14" t="s">
        <v>87</v>
      </c>
      <c r="E504" s="14" t="s">
        <v>88</v>
      </c>
      <c r="F504" s="14" t="s">
        <v>48</v>
      </c>
      <c r="G504" s="14" t="s">
        <v>28</v>
      </c>
      <c r="H504" s="14">
        <v>43953</v>
      </c>
      <c r="I504" s="14">
        <v>119337</v>
      </c>
      <c r="J504" s="14" t="s">
        <v>272</v>
      </c>
      <c r="K504" s="14" t="str">
        <f>A504&amp;B504&amp;C504&amp;D504&amp;E504&amp;F504&amp;G504&amp;H504&amp;I504&amp;J504&amp;[1]Sheet1!$G$5</f>
        <v>E0503Rashed HasanMaleProductProduct AnalystContractRemote43953119337E0080Sylhet</v>
      </c>
      <c r="L504" s="14">
        <f t="shared" si="21"/>
        <v>135687.5</v>
      </c>
      <c r="M504" s="14">
        <f ca="1" t="shared" si="22"/>
        <v>5</v>
      </c>
      <c r="N504" s="15" t="str">
        <f ca="1" t="shared" si="23"/>
        <v>Mid level</v>
      </c>
    </row>
    <row r="505" spans="1:14">
      <c r="A505" s="16" t="s">
        <v>1058</v>
      </c>
      <c r="B505" s="17" t="s">
        <v>867</v>
      </c>
      <c r="C505" s="17" t="s">
        <v>12</v>
      </c>
      <c r="D505" s="17" t="s">
        <v>52</v>
      </c>
      <c r="E505" s="17" t="s">
        <v>246</v>
      </c>
      <c r="F505" s="17" t="s">
        <v>48</v>
      </c>
      <c r="G505" s="17" t="s">
        <v>16</v>
      </c>
      <c r="H505" s="17">
        <v>43533</v>
      </c>
      <c r="I505" s="17">
        <v>104488</v>
      </c>
      <c r="J505" s="17" t="s">
        <v>274</v>
      </c>
      <c r="K505" s="17" t="str">
        <f>A505&amp;B505&amp;C505&amp;D505&amp;E505&amp;F505&amp;G505&amp;H505&amp;I505&amp;J505&amp;[1]Sheet1!$G$5</f>
        <v>E0504Sadia RahmanFemaleOperationsOperations AssociateContractKhulna43533104488E0657Sylhet</v>
      </c>
      <c r="L505" s="17">
        <f t="shared" si="21"/>
        <v>135705</v>
      </c>
      <c r="M505" s="17">
        <f ca="1" t="shared" si="22"/>
        <v>7</v>
      </c>
      <c r="N505" s="18" t="str">
        <f ca="1" t="shared" si="23"/>
        <v>Experienced</v>
      </c>
    </row>
    <row r="506" spans="1:14">
      <c r="A506" s="13" t="s">
        <v>1059</v>
      </c>
      <c r="B506" s="14" t="s">
        <v>1060</v>
      </c>
      <c r="C506" s="14" t="s">
        <v>19</v>
      </c>
      <c r="D506" s="14" t="s">
        <v>26</v>
      </c>
      <c r="E506" s="14" t="s">
        <v>61</v>
      </c>
      <c r="F506" s="14" t="s">
        <v>15</v>
      </c>
      <c r="G506" s="14" t="s">
        <v>34</v>
      </c>
      <c r="H506" s="14">
        <v>43402</v>
      </c>
      <c r="I506" s="14">
        <v>131168</v>
      </c>
      <c r="J506" s="14" t="s">
        <v>490</v>
      </c>
      <c r="K506" s="14" t="str">
        <f>A506&amp;B506&amp;C506&amp;D506&amp;E506&amp;F506&amp;G506&amp;H506&amp;I506&amp;J506&amp;[1]Sheet1!$G$5</f>
        <v>E0505Sajid ChowdhuryMaleFinanceFinancial AnalystFull-timeSylhet43402131168E0686Sylhet</v>
      </c>
      <c r="L506" s="14">
        <f t="shared" si="21"/>
        <v>135845.5</v>
      </c>
      <c r="M506" s="14">
        <f ca="1" t="shared" si="22"/>
        <v>7</v>
      </c>
      <c r="N506" s="15" t="str">
        <f ca="1" t="shared" si="23"/>
        <v>Experienced</v>
      </c>
    </row>
    <row r="507" spans="1:14">
      <c r="A507" s="16" t="s">
        <v>1061</v>
      </c>
      <c r="B507" s="17" t="s">
        <v>950</v>
      </c>
      <c r="C507" s="17" t="s">
        <v>12</v>
      </c>
      <c r="D507" s="17" t="s">
        <v>38</v>
      </c>
      <c r="E507" s="17" t="s">
        <v>66</v>
      </c>
      <c r="F507" s="17" t="s">
        <v>15</v>
      </c>
      <c r="G507" s="17" t="s">
        <v>94</v>
      </c>
      <c r="H507" s="17">
        <v>45334</v>
      </c>
      <c r="I507" s="17">
        <v>154602</v>
      </c>
      <c r="J507" s="17" t="s">
        <v>196</v>
      </c>
      <c r="K507" s="17" t="str">
        <f>A507&amp;B507&amp;C507&amp;D507&amp;E507&amp;F507&amp;G507&amp;H507&amp;I507&amp;J507&amp;[1]Sheet1!$G$5</f>
        <v>E0506Shawon HossainFemaleEngineeringSoftware EngineerFull-timeRajshahi45334154602E0383Sylhet</v>
      </c>
      <c r="L507" s="17">
        <f t="shared" si="21"/>
        <v>135986</v>
      </c>
      <c r="M507" s="17">
        <f ca="1" t="shared" si="22"/>
        <v>2</v>
      </c>
      <c r="N507" s="18" t="str">
        <f ca="1" t="shared" si="23"/>
        <v>New</v>
      </c>
    </row>
    <row r="508" spans="1:14">
      <c r="A508" s="13" t="s">
        <v>1062</v>
      </c>
      <c r="B508" s="14" t="s">
        <v>790</v>
      </c>
      <c r="C508" s="14" t="s">
        <v>19</v>
      </c>
      <c r="D508" s="14" t="s">
        <v>20</v>
      </c>
      <c r="E508" s="14" t="s">
        <v>21</v>
      </c>
      <c r="F508" s="14" t="s">
        <v>15</v>
      </c>
      <c r="G508" s="14" t="s">
        <v>28</v>
      </c>
      <c r="H508" s="14">
        <v>45858</v>
      </c>
      <c r="I508" s="14">
        <v>126712</v>
      </c>
      <c r="J508" s="14" t="s">
        <v>583</v>
      </c>
      <c r="K508" s="14" t="str">
        <f>A508&amp;B508&amp;C508&amp;D508&amp;E508&amp;F508&amp;G508&amp;H508&amp;I508&amp;J508&amp;[1]Sheet1!$G$5</f>
        <v>E0507Tania AlamMaleCustomer SuccessSupport SpecialistFull-timeRemote45858126712E0226Sylhet</v>
      </c>
      <c r="L508" s="14">
        <f t="shared" si="21"/>
        <v>135845.5</v>
      </c>
      <c r="M508" s="14">
        <f ca="1" t="shared" si="22"/>
        <v>0</v>
      </c>
      <c r="N508" s="15" t="str">
        <f ca="1" t="shared" si="23"/>
        <v>New</v>
      </c>
    </row>
    <row r="509" spans="1:14">
      <c r="A509" s="16" t="s">
        <v>1063</v>
      </c>
      <c r="B509" s="17" t="s">
        <v>164</v>
      </c>
      <c r="C509" s="17" t="s">
        <v>19</v>
      </c>
      <c r="D509" s="17" t="s">
        <v>52</v>
      </c>
      <c r="E509" s="17" t="s">
        <v>120</v>
      </c>
      <c r="F509" s="17" t="s">
        <v>15</v>
      </c>
      <c r="G509" s="17" t="s">
        <v>34</v>
      </c>
      <c r="H509" s="17">
        <v>45059</v>
      </c>
      <c r="I509" s="17">
        <v>81788</v>
      </c>
      <c r="J509" s="17" t="s">
        <v>971</v>
      </c>
      <c r="K509" s="17" t="str">
        <f>A509&amp;B509&amp;C509&amp;D509&amp;E509&amp;F509&amp;G509&amp;H509&amp;I509&amp;J509&amp;[1]Sheet1!$G$5</f>
        <v>E0508Shafiq SadiqMaleOperationsSupply Chain AnalystFull-timeSylhet4505981788E0449Sylhet</v>
      </c>
      <c r="L509" s="17">
        <f t="shared" si="21"/>
        <v>135986</v>
      </c>
      <c r="M509" s="17">
        <f ca="1" t="shared" si="22"/>
        <v>2</v>
      </c>
      <c r="N509" s="18" t="str">
        <f ca="1" t="shared" si="23"/>
        <v>New</v>
      </c>
    </row>
    <row r="510" spans="1:14">
      <c r="A510" s="13" t="s">
        <v>1064</v>
      </c>
      <c r="B510" s="14" t="s">
        <v>1065</v>
      </c>
      <c r="C510" s="14" t="s">
        <v>19</v>
      </c>
      <c r="D510" s="14" t="s">
        <v>20</v>
      </c>
      <c r="E510" s="14" t="s">
        <v>21</v>
      </c>
      <c r="F510" s="14" t="s">
        <v>15</v>
      </c>
      <c r="G510" s="14" t="s">
        <v>28</v>
      </c>
      <c r="H510" s="14">
        <v>44838</v>
      </c>
      <c r="I510" s="14">
        <v>91568</v>
      </c>
      <c r="J510" s="14" t="s">
        <v>374</v>
      </c>
      <c r="K510" s="14" t="str">
        <f>A510&amp;B510&amp;C510&amp;D510&amp;E510&amp;F510&amp;G510&amp;H510&amp;I510&amp;J510&amp;[1]Sheet1!$G$5</f>
        <v>E0509Farhan ChowdhuryMaleCustomer SuccessSupport SpecialistFull-timeRemote4483891568E0122Sylhet</v>
      </c>
      <c r="L510" s="14">
        <f t="shared" si="21"/>
        <v>136164.5</v>
      </c>
      <c r="M510" s="14">
        <f ca="1" t="shared" si="22"/>
        <v>3</v>
      </c>
      <c r="N510" s="15" t="str">
        <f ca="1" t="shared" si="23"/>
        <v>Mid level</v>
      </c>
    </row>
    <row r="511" spans="1:14">
      <c r="A511" s="16" t="s">
        <v>1066</v>
      </c>
      <c r="B511" s="17" t="s">
        <v>616</v>
      </c>
      <c r="C511" s="17" t="s">
        <v>19</v>
      </c>
      <c r="D511" s="17" t="s">
        <v>26</v>
      </c>
      <c r="E511" s="17" t="s">
        <v>294</v>
      </c>
      <c r="F511" s="17" t="s">
        <v>15</v>
      </c>
      <c r="G511" s="17" t="s">
        <v>34</v>
      </c>
      <c r="H511" s="17">
        <v>42985</v>
      </c>
      <c r="I511" s="17">
        <v>165555</v>
      </c>
      <c r="J511" s="17" t="s">
        <v>447</v>
      </c>
      <c r="K511" s="17" t="str">
        <f>A511&amp;B511&amp;C511&amp;D511&amp;E511&amp;F511&amp;G511&amp;H511&amp;I511&amp;J511&amp;[1]Sheet1!$G$5</f>
        <v>E0510Nabila UddinMaleFinanceSenior Financial AnalystFull-timeSylhet42985165555E0158Sylhet</v>
      </c>
      <c r="L511" s="17">
        <f t="shared" si="21"/>
        <v>136343</v>
      </c>
      <c r="M511" s="17">
        <f ca="1" t="shared" si="22"/>
        <v>8</v>
      </c>
      <c r="N511" s="18" t="str">
        <f ca="1" t="shared" si="23"/>
        <v>Experienced</v>
      </c>
    </row>
    <row r="512" spans="1:14">
      <c r="A512" s="13" t="s">
        <v>582</v>
      </c>
      <c r="B512" s="14" t="s">
        <v>1067</v>
      </c>
      <c r="C512" s="14" t="s">
        <v>19</v>
      </c>
      <c r="D512" s="14" t="s">
        <v>32</v>
      </c>
      <c r="E512" s="14" t="s">
        <v>208</v>
      </c>
      <c r="F512" s="14" t="s">
        <v>48</v>
      </c>
      <c r="G512" s="14" t="s">
        <v>40</v>
      </c>
      <c r="H512" s="14">
        <v>43735</v>
      </c>
      <c r="I512" s="14">
        <v>112094</v>
      </c>
      <c r="J512" s="14"/>
      <c r="K512" s="14" t="str">
        <f>A512&amp;B512&amp;C512&amp;D512&amp;E512&amp;F512&amp;G512&amp;H512&amp;I512&amp;J512&amp;[1]Sheet1!$G$5</f>
        <v>E0511Lamia ChowdhuryMaleHRHR ManagerContractDhaka43735112094Sylhet</v>
      </c>
      <c r="L512" s="14">
        <f t="shared" si="21"/>
        <v>136164.5</v>
      </c>
      <c r="M512" s="14">
        <f ca="1" t="shared" si="22"/>
        <v>6</v>
      </c>
      <c r="N512" s="15" t="str">
        <f ca="1" t="shared" si="23"/>
        <v>Experienced</v>
      </c>
    </row>
    <row r="513" spans="1:14">
      <c r="A513" s="16" t="s">
        <v>1068</v>
      </c>
      <c r="B513" s="17" t="s">
        <v>1069</v>
      </c>
      <c r="C513" s="17" t="s">
        <v>19</v>
      </c>
      <c r="D513" s="17" t="s">
        <v>13</v>
      </c>
      <c r="E513" s="17" t="s">
        <v>223</v>
      </c>
      <c r="F513" s="17" t="s">
        <v>15</v>
      </c>
      <c r="G513" s="17" t="s">
        <v>28</v>
      </c>
      <c r="H513" s="17">
        <v>42703</v>
      </c>
      <c r="I513" s="17">
        <v>166948</v>
      </c>
      <c r="J513" s="17" t="s">
        <v>970</v>
      </c>
      <c r="K513" s="17" t="str">
        <f>A513&amp;B513&amp;C513&amp;D513&amp;E513&amp;F513&amp;G513&amp;H513&amp;I513&amp;J513&amp;[1]Sheet1!$G$5</f>
        <v>E0512Rafi SarkerMaleSalesSenior Account ExecutiveFull-timeRemote42703166948E0913Sylhet</v>
      </c>
      <c r="L513" s="17">
        <f t="shared" si="21"/>
        <v>136343</v>
      </c>
      <c r="M513" s="17">
        <f ca="1" t="shared" si="22"/>
        <v>9</v>
      </c>
      <c r="N513" s="18" t="str">
        <f ca="1" t="shared" si="23"/>
        <v>Experienced</v>
      </c>
    </row>
    <row r="514" spans="1:14">
      <c r="A514" s="13" t="s">
        <v>908</v>
      </c>
      <c r="B514" s="14" t="s">
        <v>703</v>
      </c>
      <c r="C514" s="14" t="s">
        <v>12</v>
      </c>
      <c r="D514" s="14" t="s">
        <v>20</v>
      </c>
      <c r="E514" s="14" t="s">
        <v>70</v>
      </c>
      <c r="F514" s="14" t="s">
        <v>15</v>
      </c>
      <c r="G514" s="14" t="s">
        <v>16</v>
      </c>
      <c r="H514" s="14">
        <v>44756</v>
      </c>
      <c r="I514" s="14">
        <v>65373</v>
      </c>
      <c r="J514" s="14" t="s">
        <v>186</v>
      </c>
      <c r="K514" s="14" t="str">
        <f>A514&amp;B514&amp;C514&amp;D514&amp;E514&amp;F514&amp;G514&amp;H514&amp;I514&amp;J514&amp;[1]Sheet1!$G$5</f>
        <v>E0513Zahid ParvinFemaleCustomer SuccessCustomer Success ManagerFull-timeKhulna4475665373E0927Sylhet</v>
      </c>
      <c r="L514" s="14">
        <f t="shared" si="21"/>
        <v>136164.5</v>
      </c>
      <c r="M514" s="14">
        <f ca="1" t="shared" si="22"/>
        <v>3</v>
      </c>
      <c r="N514" s="15" t="str">
        <f ca="1" t="shared" si="23"/>
        <v>Mid level</v>
      </c>
    </row>
    <row r="515" spans="1:14">
      <c r="A515" s="16" t="s">
        <v>1070</v>
      </c>
      <c r="B515" s="17" t="s">
        <v>279</v>
      </c>
      <c r="C515" s="17" t="s">
        <v>19</v>
      </c>
      <c r="D515" s="17" t="s">
        <v>52</v>
      </c>
      <c r="E515" s="17" t="s">
        <v>246</v>
      </c>
      <c r="F515" s="17" t="s">
        <v>15</v>
      </c>
      <c r="G515" s="17" t="s">
        <v>94</v>
      </c>
      <c r="H515" s="17">
        <v>45088</v>
      </c>
      <c r="I515" s="17">
        <v>58569</v>
      </c>
      <c r="J515" s="17" t="s">
        <v>186</v>
      </c>
      <c r="K515" s="17" t="str">
        <f>A515&amp;B515&amp;C515&amp;D515&amp;E515&amp;F515&amp;G515&amp;H515&amp;I515&amp;J515&amp;[1]Sheet1!$G$5</f>
        <v>E0514Rahim IslamMaleOperationsOperations AssociateFull-timeRajshahi4508858569E0927Sylhet</v>
      </c>
      <c r="L515" s="17">
        <f t="shared" ref="L515:L578" si="24">MEDIAN(I515:I1514)</f>
        <v>136343</v>
      </c>
      <c r="M515" s="17">
        <f ca="1" t="shared" ref="M515:M578" si="25">DATEDIF(H515,TODAY(),"Y")</f>
        <v>2</v>
      </c>
      <c r="N515" s="18" t="str">
        <f ca="1" t="shared" ref="N515:N578" si="26">IF(M515&lt;=2,"New",IF(M515&lt;=5,"Mid level",IF(M515&lt;=10,"Experienced","Long term")))</f>
        <v>New</v>
      </c>
    </row>
    <row r="516" spans="1:14">
      <c r="A516" s="13" t="s">
        <v>1071</v>
      </c>
      <c r="B516" s="14" t="s">
        <v>1072</v>
      </c>
      <c r="C516" s="14" t="s">
        <v>12</v>
      </c>
      <c r="D516" s="14" t="s">
        <v>38</v>
      </c>
      <c r="E516" s="14" t="s">
        <v>77</v>
      </c>
      <c r="F516" s="14" t="s">
        <v>15</v>
      </c>
      <c r="G516" s="14" t="s">
        <v>28</v>
      </c>
      <c r="H516" s="14">
        <v>42949</v>
      </c>
      <c r="I516" s="14">
        <v>157572</v>
      </c>
      <c r="J516" s="14" t="s">
        <v>615</v>
      </c>
      <c r="K516" s="14" t="str">
        <f>A516&amp;B516&amp;C516&amp;D516&amp;E516&amp;F516&amp;G516&amp;H516&amp;I516&amp;J516&amp;[1]Sheet1!$G$5</f>
        <v>E0515Tania RanaFemaleEngineeringJunior Software EngineerFull-timeRemote42949157572E0242Sylhet</v>
      </c>
      <c r="L516" s="14">
        <f t="shared" si="24"/>
        <v>136395.5</v>
      </c>
      <c r="M516" s="14">
        <f ca="1" t="shared" si="25"/>
        <v>8</v>
      </c>
      <c r="N516" s="15" t="str">
        <f ca="1" t="shared" si="26"/>
        <v>Experienced</v>
      </c>
    </row>
    <row r="517" spans="1:14">
      <c r="A517" s="16" t="s">
        <v>1073</v>
      </c>
      <c r="B517" s="17" t="s">
        <v>1074</v>
      </c>
      <c r="C517" s="17" t="s">
        <v>12</v>
      </c>
      <c r="D517" s="17" t="s">
        <v>38</v>
      </c>
      <c r="E517" s="17" t="s">
        <v>77</v>
      </c>
      <c r="F517" s="17" t="s">
        <v>15</v>
      </c>
      <c r="G517" s="17" t="s">
        <v>16</v>
      </c>
      <c r="H517" s="17">
        <v>43802</v>
      </c>
      <c r="I517" s="17">
        <v>136343</v>
      </c>
      <c r="J517" s="17" t="s">
        <v>81</v>
      </c>
      <c r="K517" s="17" t="str">
        <f>A517&amp;B517&amp;C517&amp;D517&amp;E517&amp;F517&amp;G517&amp;H517&amp;I517&amp;J517&amp;[1]Sheet1!$G$5</f>
        <v>E0516Noman HaiderFemaleEngineeringJunior Software EngineerFull-timeKhulna43802136343E0123Sylhet</v>
      </c>
      <c r="L517" s="17">
        <f t="shared" si="24"/>
        <v>136343</v>
      </c>
      <c r="M517" s="17">
        <f ca="1" t="shared" si="25"/>
        <v>6</v>
      </c>
      <c r="N517" s="18" t="str">
        <f ca="1" t="shared" si="26"/>
        <v>Experienced</v>
      </c>
    </row>
    <row r="518" spans="1:14">
      <c r="A518" s="13" t="s">
        <v>1075</v>
      </c>
      <c r="B518" s="14" t="s">
        <v>73</v>
      </c>
      <c r="C518" s="14" t="s">
        <v>19</v>
      </c>
      <c r="D518" s="14" t="s">
        <v>13</v>
      </c>
      <c r="E518" s="14" t="s">
        <v>223</v>
      </c>
      <c r="F518" s="14" t="s">
        <v>48</v>
      </c>
      <c r="G518" s="14" t="s">
        <v>16</v>
      </c>
      <c r="H518" s="14">
        <v>43640</v>
      </c>
      <c r="I518" s="14">
        <v>151280</v>
      </c>
      <c r="J518" s="14" t="s">
        <v>201</v>
      </c>
      <c r="K518" s="14" t="str">
        <f>A518&amp;B518&amp;C518&amp;D518&amp;E518&amp;F518&amp;G518&amp;H518&amp;I518&amp;J518&amp;[1]Sheet1!$G$5</f>
        <v>E0517Priya MahmudMaleSalesSenior Account ExecutiveContractKhulna43640151280E0742Sylhet</v>
      </c>
      <c r="L518" s="14">
        <f t="shared" si="24"/>
        <v>136217</v>
      </c>
      <c r="M518" s="14">
        <f ca="1" t="shared" si="25"/>
        <v>6</v>
      </c>
      <c r="N518" s="15" t="str">
        <f ca="1" t="shared" si="26"/>
        <v>Experienced</v>
      </c>
    </row>
    <row r="519" spans="1:14">
      <c r="A519" s="16" t="s">
        <v>954</v>
      </c>
      <c r="B519" s="17" t="s">
        <v>1076</v>
      </c>
      <c r="C519" s="17" t="s">
        <v>19</v>
      </c>
      <c r="D519" s="17" t="s">
        <v>52</v>
      </c>
      <c r="E519" s="17" t="s">
        <v>53</v>
      </c>
      <c r="F519" s="17" t="s">
        <v>15</v>
      </c>
      <c r="G519" s="17" t="s">
        <v>94</v>
      </c>
      <c r="H519" s="17">
        <v>45057</v>
      </c>
      <c r="I519" s="17">
        <v>135072</v>
      </c>
      <c r="J519" s="17" t="s">
        <v>1077</v>
      </c>
      <c r="K519" s="17" t="str">
        <f>A519&amp;B519&amp;C519&amp;D519&amp;E519&amp;F519&amp;G519&amp;H519&amp;I519&amp;J519&amp;[1]Sheet1!$G$5</f>
        <v>E0518Sadia ChowdhuryMaleOperationsOperations ManagerFull-timeRajshahi45057135072E0640Sylhet</v>
      </c>
      <c r="L519" s="17">
        <f t="shared" si="24"/>
        <v>135986</v>
      </c>
      <c r="M519" s="17">
        <f ca="1" t="shared" si="25"/>
        <v>2</v>
      </c>
      <c r="N519" s="18" t="str">
        <f ca="1" t="shared" si="26"/>
        <v>New</v>
      </c>
    </row>
    <row r="520" spans="1:14">
      <c r="A520" s="13" t="s">
        <v>1078</v>
      </c>
      <c r="B520" s="14" t="s">
        <v>901</v>
      </c>
      <c r="C520" s="14" t="s">
        <v>19</v>
      </c>
      <c r="D520" s="14" t="s">
        <v>20</v>
      </c>
      <c r="E520" s="14" t="s">
        <v>147</v>
      </c>
      <c r="F520" s="14" t="s">
        <v>15</v>
      </c>
      <c r="G520" s="14" t="s">
        <v>40</v>
      </c>
      <c r="H520" s="14">
        <v>45230</v>
      </c>
      <c r="I520" s="14">
        <v>94916</v>
      </c>
      <c r="J520" s="14" t="s">
        <v>105</v>
      </c>
      <c r="K520" s="14" t="str">
        <f>A520&amp;B520&amp;C520&amp;D520&amp;E520&amp;F520&amp;G520&amp;H520&amp;I520&amp;J520&amp;[1]Sheet1!$G$5</f>
        <v>E0519Ayesha MorshedMaleCustomer SuccessSupport AssociateFull-timeDhaka4523094916E0665Sylhet</v>
      </c>
      <c r="L520" s="14">
        <f t="shared" si="24"/>
        <v>136217</v>
      </c>
      <c r="M520" s="14">
        <f ca="1" t="shared" si="25"/>
        <v>2</v>
      </c>
      <c r="N520" s="15" t="str">
        <f ca="1" t="shared" si="26"/>
        <v>New</v>
      </c>
    </row>
    <row r="521" spans="1:14">
      <c r="A521" s="16" t="s">
        <v>562</v>
      </c>
      <c r="B521" s="17" t="s">
        <v>684</v>
      </c>
      <c r="C521" s="17" t="s">
        <v>19</v>
      </c>
      <c r="D521" s="17" t="s">
        <v>38</v>
      </c>
      <c r="E521" s="17" t="s">
        <v>84</v>
      </c>
      <c r="F521" s="17" t="s">
        <v>15</v>
      </c>
      <c r="G521" s="17" t="s">
        <v>16</v>
      </c>
      <c r="H521" s="17">
        <v>45082</v>
      </c>
      <c r="I521" s="17">
        <v>161279</v>
      </c>
      <c r="J521" s="17" t="s">
        <v>918</v>
      </c>
      <c r="K521" s="17" t="str">
        <f>A521&amp;B521&amp;C521&amp;D521&amp;E521&amp;F521&amp;G521&amp;H521&amp;I521&amp;J521&amp;[1]Sheet1!$G$5</f>
        <v>E0520Jannat HossainMaleEngineeringEngineering ManagerFull-timeKhulna45082161279E0954Sylhet</v>
      </c>
      <c r="L521" s="17">
        <f t="shared" si="24"/>
        <v>136448</v>
      </c>
      <c r="M521" s="17">
        <f ca="1" t="shared" si="25"/>
        <v>2</v>
      </c>
      <c r="N521" s="18" t="str">
        <f ca="1" t="shared" si="26"/>
        <v>New</v>
      </c>
    </row>
    <row r="522" spans="1:14">
      <c r="A522" s="13" t="s">
        <v>1079</v>
      </c>
      <c r="B522" s="14" t="s">
        <v>1080</v>
      </c>
      <c r="C522" s="14" t="s">
        <v>293</v>
      </c>
      <c r="D522" s="14" t="s">
        <v>32</v>
      </c>
      <c r="E522" s="14" t="s">
        <v>57</v>
      </c>
      <c r="F522" s="14" t="s">
        <v>15</v>
      </c>
      <c r="G522" s="14" t="s">
        <v>62</v>
      </c>
      <c r="H522" s="14">
        <v>43975</v>
      </c>
      <c r="I522" s="14">
        <v>117086</v>
      </c>
      <c r="J522" s="14" t="s">
        <v>929</v>
      </c>
      <c r="K522" s="14" t="str">
        <f>A522&amp;B522&amp;C522&amp;D522&amp;E522&amp;F522&amp;G522&amp;H522&amp;I522&amp;J522&amp;[1]Sheet1!$G$5</f>
        <v>E0521Ayesha AhmedPrefer not to sayHRHR AssociateFull-timeChattogram43975117086E0545Sylhet</v>
      </c>
      <c r="L522" s="14">
        <f t="shared" si="24"/>
        <v>136217</v>
      </c>
      <c r="M522" s="14">
        <f ca="1" t="shared" si="25"/>
        <v>5</v>
      </c>
      <c r="N522" s="15" t="str">
        <f ca="1" t="shared" si="26"/>
        <v>Mid level</v>
      </c>
    </row>
    <row r="523" spans="1:14">
      <c r="A523" s="16" t="s">
        <v>1081</v>
      </c>
      <c r="B523" s="17" t="s">
        <v>1082</v>
      </c>
      <c r="C523" s="17" t="s">
        <v>19</v>
      </c>
      <c r="D523" s="17" t="s">
        <v>13</v>
      </c>
      <c r="E523" s="17" t="s">
        <v>98</v>
      </c>
      <c r="F523" s="17" t="s">
        <v>48</v>
      </c>
      <c r="G523" s="17" t="s">
        <v>28</v>
      </c>
      <c r="H523" s="17">
        <v>42898</v>
      </c>
      <c r="I523" s="17">
        <v>114723</v>
      </c>
      <c r="J523" s="17" t="s">
        <v>1083</v>
      </c>
      <c r="K523" s="17" t="str">
        <f>A523&amp;B523&amp;C523&amp;D523&amp;E523&amp;F523&amp;G523&amp;H523&amp;I523&amp;J523&amp;[1]Sheet1!$G$5</f>
        <v>E0522Sumaiya ShahMaleSalesSales ManagerContractRemote42898114723E0559Sylhet</v>
      </c>
      <c r="L523" s="17">
        <f t="shared" si="24"/>
        <v>136448</v>
      </c>
      <c r="M523" s="17">
        <f ca="1" t="shared" si="25"/>
        <v>8</v>
      </c>
      <c r="N523" s="18" t="str">
        <f ca="1" t="shared" si="26"/>
        <v>Experienced</v>
      </c>
    </row>
    <row r="524" spans="1:14">
      <c r="A524" s="13" t="s">
        <v>1084</v>
      </c>
      <c r="B524" s="14" t="s">
        <v>1085</v>
      </c>
      <c r="C524" s="14" t="s">
        <v>12</v>
      </c>
      <c r="D524" s="14" t="s">
        <v>20</v>
      </c>
      <c r="E524" s="14" t="s">
        <v>147</v>
      </c>
      <c r="F524" s="14" t="s">
        <v>22</v>
      </c>
      <c r="G524" s="14" t="s">
        <v>28</v>
      </c>
      <c r="H524" s="14">
        <v>44807</v>
      </c>
      <c r="I524" s="14">
        <v>93005</v>
      </c>
      <c r="J524" s="14" t="s">
        <v>803</v>
      </c>
      <c r="K524" s="14" t="str">
        <f>A524&amp;B524&amp;C524&amp;D524&amp;E524&amp;F524&amp;G524&amp;H524&amp;I524&amp;J524&amp;[1]Sheet1!$G$5</f>
        <v>E0523Karim SharminFemaleCustomer SuccessSupport AssociateInternRemote4480793005E0349Sylhet</v>
      </c>
      <c r="L524" s="14">
        <f t="shared" si="24"/>
        <v>136611</v>
      </c>
      <c r="M524" s="14">
        <f ca="1" t="shared" si="25"/>
        <v>3</v>
      </c>
      <c r="N524" s="15" t="str">
        <f ca="1" t="shared" si="26"/>
        <v>Mid level</v>
      </c>
    </row>
    <row r="525" spans="1:14">
      <c r="A525" s="16" t="s">
        <v>1086</v>
      </c>
      <c r="B525" s="17" t="s">
        <v>792</v>
      </c>
      <c r="C525" s="17" t="s">
        <v>12</v>
      </c>
      <c r="D525" s="17" t="s">
        <v>52</v>
      </c>
      <c r="E525" s="17" t="s">
        <v>246</v>
      </c>
      <c r="F525" s="17" t="s">
        <v>15</v>
      </c>
      <c r="G525" s="17" t="s">
        <v>16</v>
      </c>
      <c r="H525" s="17">
        <v>45273</v>
      </c>
      <c r="I525" s="17">
        <v>55063</v>
      </c>
      <c r="J525" s="17" t="s">
        <v>547</v>
      </c>
      <c r="K525" s="17" t="str">
        <f>A525&amp;B525&amp;C525&amp;D525&amp;E525&amp;F525&amp;G525&amp;H525&amp;I525&amp;J525&amp;[1]Sheet1!$G$5</f>
        <v>E0524Nafiz ParvinFemaleOperationsOperations AssociateFull-timeKhulna4527355063E0210Sylhet</v>
      </c>
      <c r="L525" s="17">
        <f t="shared" si="24"/>
        <v>136774</v>
      </c>
      <c r="M525" s="17">
        <f ca="1" t="shared" si="25"/>
        <v>2</v>
      </c>
      <c r="N525" s="18" t="str">
        <f ca="1" t="shared" si="26"/>
        <v>New</v>
      </c>
    </row>
    <row r="526" spans="1:14">
      <c r="A526" s="13" t="s">
        <v>1087</v>
      </c>
      <c r="B526" s="14" t="s">
        <v>1026</v>
      </c>
      <c r="C526" s="14" t="s">
        <v>12</v>
      </c>
      <c r="D526" s="14" t="s">
        <v>52</v>
      </c>
      <c r="E526" s="14" t="s">
        <v>120</v>
      </c>
      <c r="F526" s="14" t="s">
        <v>15</v>
      </c>
      <c r="G526" s="14" t="s">
        <v>40</v>
      </c>
      <c r="H526" s="14">
        <v>42717</v>
      </c>
      <c r="I526" s="14">
        <v>60800</v>
      </c>
      <c r="J526" s="14" t="s">
        <v>971</v>
      </c>
      <c r="K526" s="14" t="str">
        <f>A526&amp;B526&amp;C526&amp;D526&amp;E526&amp;F526&amp;G526&amp;H526&amp;I526&amp;J526&amp;[1]Sheet1!$G$5</f>
        <v>E0525Tamanna MiahFemaleOperationsSupply Chain AnalystFull-timeDhaka4271760800E0449Sylhet</v>
      </c>
      <c r="L526" s="14">
        <f t="shared" si="24"/>
        <v>137427</v>
      </c>
      <c r="M526" s="14">
        <f ca="1" t="shared" si="25"/>
        <v>9</v>
      </c>
      <c r="N526" s="15" t="str">
        <f ca="1" t="shared" si="26"/>
        <v>Experienced</v>
      </c>
    </row>
    <row r="527" spans="1:14">
      <c r="A527" s="16" t="s">
        <v>1088</v>
      </c>
      <c r="B527" s="17" t="s">
        <v>857</v>
      </c>
      <c r="C527" s="17" t="s">
        <v>12</v>
      </c>
      <c r="D527" s="17" t="s">
        <v>13</v>
      </c>
      <c r="E527" s="17" t="s">
        <v>14</v>
      </c>
      <c r="F527" s="17" t="s">
        <v>15</v>
      </c>
      <c r="G527" s="17" t="s">
        <v>34</v>
      </c>
      <c r="H527" s="17">
        <v>43638</v>
      </c>
      <c r="I527" s="17">
        <v>127247</v>
      </c>
      <c r="J527" s="17" t="s">
        <v>456</v>
      </c>
      <c r="K527" s="17" t="str">
        <f>A527&amp;B527&amp;C527&amp;D527&amp;E527&amp;F527&amp;G527&amp;H527&amp;I527&amp;J527&amp;[1]Sheet1!$G$5</f>
        <v>E0526Farhan SharminFemaleSalesSales AssociateFull-timeSylhet43638127247E0416Sylhet</v>
      </c>
      <c r="L527" s="17">
        <f t="shared" si="24"/>
        <v>138080</v>
      </c>
      <c r="M527" s="17">
        <f ca="1" t="shared" si="25"/>
        <v>6</v>
      </c>
      <c r="N527" s="18" t="str">
        <f ca="1" t="shared" si="26"/>
        <v>Experienced</v>
      </c>
    </row>
    <row r="528" spans="1:14">
      <c r="A528" s="13" t="s">
        <v>1089</v>
      </c>
      <c r="B528" s="14" t="s">
        <v>1090</v>
      </c>
      <c r="C528" s="14" t="s">
        <v>12</v>
      </c>
      <c r="D528" s="14" t="s">
        <v>13</v>
      </c>
      <c r="E528" s="14" t="s">
        <v>14</v>
      </c>
      <c r="F528" s="14" t="s">
        <v>15</v>
      </c>
      <c r="G528" s="14" t="s">
        <v>28</v>
      </c>
      <c r="H528" s="14">
        <v>44659</v>
      </c>
      <c r="I528" s="14">
        <v>135545</v>
      </c>
      <c r="J528" s="14" t="s">
        <v>668</v>
      </c>
      <c r="K528" s="14" t="str">
        <f>A528&amp;B528&amp;C528&amp;D528&amp;E528&amp;F528&amp;G528&amp;H528&amp;I528&amp;J528&amp;[1]Sheet1!$G$5</f>
        <v>E0527Rashed RanaFemaleSalesSales AssociateFull-timeRemote44659135545E0273Sylhet</v>
      </c>
      <c r="L528" s="14">
        <f t="shared" si="24"/>
        <v>138091</v>
      </c>
      <c r="M528" s="14">
        <f ca="1" t="shared" si="25"/>
        <v>3</v>
      </c>
      <c r="N528" s="15" t="str">
        <f ca="1" t="shared" si="26"/>
        <v>Mid level</v>
      </c>
    </row>
    <row r="529" spans="1:14">
      <c r="A529" s="16" t="s">
        <v>676</v>
      </c>
      <c r="B529" s="17" t="s">
        <v>935</v>
      </c>
      <c r="C529" s="17" t="s">
        <v>19</v>
      </c>
      <c r="D529" s="17" t="s">
        <v>87</v>
      </c>
      <c r="E529" s="17" t="s">
        <v>156</v>
      </c>
      <c r="F529" s="17" t="s">
        <v>15</v>
      </c>
      <c r="G529" s="17" t="s">
        <v>34</v>
      </c>
      <c r="H529" s="17">
        <v>43912</v>
      </c>
      <c r="I529" s="17">
        <v>322943</v>
      </c>
      <c r="J529" s="17"/>
      <c r="K529" s="17" t="str">
        <f>A529&amp;B529&amp;C529&amp;D529&amp;E529&amp;F529&amp;G529&amp;H529&amp;I529&amp;J529&amp;[1]Sheet1!$G$5</f>
        <v>E0528Sadia BanuMaleProductAssociate Product ManagerFull-timeSylhet43912322943Sylhet</v>
      </c>
      <c r="L529" s="17">
        <f t="shared" si="24"/>
        <v>138102</v>
      </c>
      <c r="M529" s="17">
        <f ca="1" t="shared" si="25"/>
        <v>5</v>
      </c>
      <c r="N529" s="18" t="str">
        <f ca="1" t="shared" si="26"/>
        <v>Mid level</v>
      </c>
    </row>
    <row r="530" spans="1:14">
      <c r="A530" s="13" t="s">
        <v>1091</v>
      </c>
      <c r="B530" s="14" t="s">
        <v>1092</v>
      </c>
      <c r="C530" s="14" t="s">
        <v>19</v>
      </c>
      <c r="D530" s="14" t="s">
        <v>38</v>
      </c>
      <c r="E530" s="14" t="s">
        <v>39</v>
      </c>
      <c r="F530" s="14" t="s">
        <v>15</v>
      </c>
      <c r="G530" s="14" t="s">
        <v>28</v>
      </c>
      <c r="H530" s="14">
        <v>45005</v>
      </c>
      <c r="I530" s="14">
        <v>168822</v>
      </c>
      <c r="J530" s="14" t="s">
        <v>725</v>
      </c>
      <c r="K530" s="14" t="str">
        <f>A530&amp;B530&amp;C530&amp;D530&amp;E530&amp;F530&amp;G530&amp;H530&amp;I530&amp;J530&amp;[1]Sheet1!$G$5</f>
        <v>E0529Nabila IslamMaleEngineeringDevOps EngineerFull-timeRemote45005168822E0801Sylhet</v>
      </c>
      <c r="L530" s="14">
        <f t="shared" si="24"/>
        <v>138091</v>
      </c>
      <c r="M530" s="14">
        <f ca="1" t="shared" si="25"/>
        <v>2</v>
      </c>
      <c r="N530" s="15" t="str">
        <f ca="1" t="shared" si="26"/>
        <v>New</v>
      </c>
    </row>
    <row r="531" spans="1:14">
      <c r="A531" s="16" t="s">
        <v>1093</v>
      </c>
      <c r="B531" s="17" t="s">
        <v>1094</v>
      </c>
      <c r="C531" s="17" t="s">
        <v>19</v>
      </c>
      <c r="D531" s="17" t="s">
        <v>52</v>
      </c>
      <c r="E531" s="17" t="s">
        <v>120</v>
      </c>
      <c r="F531" s="17" t="s">
        <v>15</v>
      </c>
      <c r="G531" s="17" t="s">
        <v>94</v>
      </c>
      <c r="H531" s="17">
        <v>45612</v>
      </c>
      <c r="I531" s="17">
        <v>162991</v>
      </c>
      <c r="J531" s="17" t="s">
        <v>803</v>
      </c>
      <c r="K531" s="17" t="str">
        <f>A531&amp;B531&amp;C531&amp;D531&amp;E531&amp;F531&amp;G531&amp;H531&amp;I531&amp;J531&amp;[1]Sheet1!$G$5</f>
        <v>E0530Fahim IslamMaleOperationsSupply Chain AnalystFull-timeRajshahi45612162991E0349Sylhet</v>
      </c>
      <c r="L531" s="17">
        <f t="shared" si="24"/>
        <v>138080</v>
      </c>
      <c r="M531" s="17">
        <f ca="1" t="shared" si="25"/>
        <v>1</v>
      </c>
      <c r="N531" s="18" t="str">
        <f ca="1" t="shared" si="26"/>
        <v>New</v>
      </c>
    </row>
    <row r="532" spans="1:14">
      <c r="A532" s="13" t="s">
        <v>1095</v>
      </c>
      <c r="B532" s="14" t="s">
        <v>743</v>
      </c>
      <c r="C532" s="14" t="s">
        <v>19</v>
      </c>
      <c r="D532" s="14" t="s">
        <v>52</v>
      </c>
      <c r="E532" s="14" t="s">
        <v>246</v>
      </c>
      <c r="F532" s="14" t="s">
        <v>48</v>
      </c>
      <c r="G532" s="14" t="s">
        <v>28</v>
      </c>
      <c r="H532" s="14">
        <v>43715</v>
      </c>
      <c r="I532" s="14">
        <v>55182</v>
      </c>
      <c r="J532" s="14" t="s">
        <v>425</v>
      </c>
      <c r="K532" s="14" t="str">
        <f>A532&amp;B532&amp;C532&amp;D532&amp;E532&amp;F532&amp;G532&amp;H532&amp;I532&amp;J532&amp;[1]Sheet1!$G$5</f>
        <v>E0531Nafiz AlamMaleOperationsOperations AssociateContractRemote4371555182E0554Sylhet</v>
      </c>
      <c r="L532" s="14">
        <f t="shared" si="24"/>
        <v>137427</v>
      </c>
      <c r="M532" s="14">
        <f ca="1" t="shared" si="25"/>
        <v>6</v>
      </c>
      <c r="N532" s="15" t="str">
        <f ca="1" t="shared" si="26"/>
        <v>Experienced</v>
      </c>
    </row>
    <row r="533" spans="1:14">
      <c r="A533" s="16" t="s">
        <v>1096</v>
      </c>
      <c r="B533" s="17" t="s">
        <v>1097</v>
      </c>
      <c r="C533" s="17" t="s">
        <v>12</v>
      </c>
      <c r="D533" s="17" t="s">
        <v>20</v>
      </c>
      <c r="E533" s="17" t="s">
        <v>21</v>
      </c>
      <c r="F533" s="17" t="s">
        <v>15</v>
      </c>
      <c r="G533" s="17" t="s">
        <v>62</v>
      </c>
      <c r="H533" s="17">
        <v>45700</v>
      </c>
      <c r="I533" s="17">
        <v>101249</v>
      </c>
      <c r="J533" s="17"/>
      <c r="K533" s="17" t="str">
        <f>A533&amp;B533&amp;C533&amp;D533&amp;E533&amp;F533&amp;G533&amp;H533&amp;I533&amp;J533&amp;[1]Sheet1!$G$5</f>
        <v>E0532Mahin AkterFemaleCustomer SuccessSupport SpecialistFull-timeChattogram45700101249Sylhet</v>
      </c>
      <c r="L533" s="17">
        <f t="shared" si="24"/>
        <v>138080</v>
      </c>
      <c r="M533" s="17">
        <f ca="1" t="shared" si="25"/>
        <v>1</v>
      </c>
      <c r="N533" s="18" t="str">
        <f ca="1" t="shared" si="26"/>
        <v>New</v>
      </c>
    </row>
    <row r="534" spans="1:14">
      <c r="A534" s="13" t="s">
        <v>570</v>
      </c>
      <c r="B534" s="14" t="s">
        <v>1098</v>
      </c>
      <c r="C534" s="14" t="s">
        <v>12</v>
      </c>
      <c r="D534" s="14" t="s">
        <v>20</v>
      </c>
      <c r="E534" s="14" t="s">
        <v>70</v>
      </c>
      <c r="F534" s="14" t="s">
        <v>15</v>
      </c>
      <c r="G534" s="14" t="s">
        <v>28</v>
      </c>
      <c r="H534" s="14">
        <v>42893</v>
      </c>
      <c r="I534" s="14">
        <v>139243</v>
      </c>
      <c r="J534" s="14" t="s">
        <v>725</v>
      </c>
      <c r="K534" s="14" t="str">
        <f>A534&amp;B534&amp;C534&amp;D534&amp;E534&amp;F534&amp;G534&amp;H534&amp;I534&amp;J534&amp;[1]Sheet1!$G$5</f>
        <v>E0533Farhan SarkerFemaleCustomer SuccessCustomer Success ManagerFull-timeRemote42893139243E0801Sylhet</v>
      </c>
      <c r="L534" s="14">
        <f t="shared" si="24"/>
        <v>138091</v>
      </c>
      <c r="M534" s="14">
        <f ca="1" t="shared" si="25"/>
        <v>8</v>
      </c>
      <c r="N534" s="15" t="str">
        <f ca="1" t="shared" si="26"/>
        <v>Experienced</v>
      </c>
    </row>
    <row r="535" spans="1:14">
      <c r="A535" s="16" t="s">
        <v>1099</v>
      </c>
      <c r="B535" s="17" t="s">
        <v>76</v>
      </c>
      <c r="C535" s="17" t="s">
        <v>19</v>
      </c>
      <c r="D535" s="17" t="s">
        <v>92</v>
      </c>
      <c r="E535" s="17" t="s">
        <v>391</v>
      </c>
      <c r="F535" s="17" t="s">
        <v>15</v>
      </c>
      <c r="G535" s="17" t="s">
        <v>28</v>
      </c>
      <c r="H535" s="17">
        <v>45114</v>
      </c>
      <c r="I535" s="17">
        <v>158489</v>
      </c>
      <c r="J535" s="17" t="s">
        <v>68</v>
      </c>
      <c r="K535" s="17" t="str">
        <f>A535&amp;B535&amp;C535&amp;D535&amp;E535&amp;F535&amp;G535&amp;H535&amp;I535&amp;J535&amp;[1]Sheet1!$G$5</f>
        <v>E0534Sumaiya SultanaMaleMarketingContent SpecialistFull-timeRemote45114158489E0012Sylhet</v>
      </c>
      <c r="L535" s="17">
        <f t="shared" si="24"/>
        <v>138080</v>
      </c>
      <c r="M535" s="17">
        <f ca="1" t="shared" si="25"/>
        <v>2</v>
      </c>
      <c r="N535" s="18" t="str">
        <f ca="1" t="shared" si="26"/>
        <v>New</v>
      </c>
    </row>
    <row r="536" spans="1:14">
      <c r="A536" s="13" t="s">
        <v>1100</v>
      </c>
      <c r="B536" s="14" t="s">
        <v>97</v>
      </c>
      <c r="C536" s="14" t="s">
        <v>12</v>
      </c>
      <c r="D536" s="14" t="s">
        <v>26</v>
      </c>
      <c r="E536" s="14" t="s">
        <v>61</v>
      </c>
      <c r="F536" s="14" t="s">
        <v>15</v>
      </c>
      <c r="G536" s="14" t="s">
        <v>40</v>
      </c>
      <c r="H536" s="14">
        <v>45248</v>
      </c>
      <c r="I536" s="14">
        <v>80148</v>
      </c>
      <c r="J536" s="14" t="s">
        <v>331</v>
      </c>
      <c r="K536" s="14" t="str">
        <f>A536&amp;B536&amp;C536&amp;D536&amp;E536&amp;F536&amp;G536&amp;H536&amp;I536&amp;J536&amp;[1]Sheet1!$G$5</f>
        <v>E0535Nabila RahmanFemaleFinanceFinancial AnalystFull-timeDhaka4524880148E0855Sylhet</v>
      </c>
      <c r="L536" s="14">
        <f t="shared" si="24"/>
        <v>137427</v>
      </c>
      <c r="M536" s="14">
        <f ca="1" t="shared" si="25"/>
        <v>2</v>
      </c>
      <c r="N536" s="15" t="str">
        <f ca="1" t="shared" si="26"/>
        <v>New</v>
      </c>
    </row>
    <row r="537" spans="1:14">
      <c r="A537" s="16" t="s">
        <v>1101</v>
      </c>
      <c r="B537" s="17" t="s">
        <v>584</v>
      </c>
      <c r="C537" s="17" t="s">
        <v>12</v>
      </c>
      <c r="D537" s="17" t="s">
        <v>20</v>
      </c>
      <c r="E537" s="17" t="s">
        <v>147</v>
      </c>
      <c r="F537" s="17" t="s">
        <v>48</v>
      </c>
      <c r="G537" s="17" t="s">
        <v>34</v>
      </c>
      <c r="H537" s="17">
        <v>45765</v>
      </c>
      <c r="I537" s="17">
        <v>119007</v>
      </c>
      <c r="J537" s="17" t="s">
        <v>558</v>
      </c>
      <c r="K537" s="17" t="str">
        <f>A537&amp;B537&amp;C537&amp;D537&amp;E537&amp;F537&amp;G537&amp;H537&amp;I537&amp;J537&amp;[1]Sheet1!$G$5</f>
        <v>E0536Priya ChowdhuryFemaleCustomer SuccessSupport AssociateContractSylhet45765119007E0214Sylhet</v>
      </c>
      <c r="L537" s="17">
        <f t="shared" si="24"/>
        <v>138080</v>
      </c>
      <c r="M537" s="17">
        <f ca="1" t="shared" si="25"/>
        <v>0</v>
      </c>
      <c r="N537" s="18" t="str">
        <f ca="1" t="shared" si="26"/>
        <v>New</v>
      </c>
    </row>
    <row r="538" spans="1:14">
      <c r="A538" s="13" t="s">
        <v>1102</v>
      </c>
      <c r="B538" s="14" t="s">
        <v>1103</v>
      </c>
      <c r="C538" s="14" t="s">
        <v>19</v>
      </c>
      <c r="D538" s="14" t="s">
        <v>52</v>
      </c>
      <c r="E538" s="14" t="s">
        <v>246</v>
      </c>
      <c r="F538" s="14" t="s">
        <v>48</v>
      </c>
      <c r="G538" s="14" t="s">
        <v>34</v>
      </c>
      <c r="H538" s="14">
        <v>45396</v>
      </c>
      <c r="I538" s="14">
        <v>131744</v>
      </c>
      <c r="J538" s="14" t="s">
        <v>476</v>
      </c>
      <c r="K538" s="14" t="str">
        <f>A538&amp;B538&amp;C538&amp;D538&amp;E538&amp;F538&amp;G538&amp;H538&amp;I538&amp;J538&amp;[1]Sheet1!$G$5</f>
        <v>E0537Nabila BanuMaleOperationsOperations AssociateContractSylhet45396131744E0574Sylhet</v>
      </c>
      <c r="L538" s="14">
        <f t="shared" si="24"/>
        <v>138091</v>
      </c>
      <c r="M538" s="14">
        <f ca="1" t="shared" si="25"/>
        <v>1</v>
      </c>
      <c r="N538" s="15" t="str">
        <f ca="1" t="shared" si="26"/>
        <v>New</v>
      </c>
    </row>
    <row r="539" spans="1:14">
      <c r="A539" s="16" t="s">
        <v>589</v>
      </c>
      <c r="B539" s="17" t="s">
        <v>633</v>
      </c>
      <c r="C539" s="17" t="s">
        <v>12</v>
      </c>
      <c r="D539" s="17" t="s">
        <v>87</v>
      </c>
      <c r="E539" s="17" t="s">
        <v>349</v>
      </c>
      <c r="F539" s="17" t="s">
        <v>15</v>
      </c>
      <c r="G539" s="17" t="s">
        <v>62</v>
      </c>
      <c r="H539" s="17">
        <v>45177</v>
      </c>
      <c r="I539" s="17">
        <v>321281</v>
      </c>
      <c r="J539" s="17" t="s">
        <v>456</v>
      </c>
      <c r="K539" s="17" t="str">
        <f>A539&amp;B539&amp;C539&amp;D539&amp;E539&amp;F539&amp;G539&amp;H539&amp;I539&amp;J539&amp;[1]Sheet1!$G$5</f>
        <v>E0538Priya HossainFemaleProductProduct ManagerFull-timeChattogram45177321281E0416Sylhet</v>
      </c>
      <c r="L539" s="17">
        <f t="shared" si="24"/>
        <v>138102</v>
      </c>
      <c r="M539" s="17">
        <f ca="1" t="shared" si="25"/>
        <v>2</v>
      </c>
      <c r="N539" s="18" t="str">
        <f ca="1" t="shared" si="26"/>
        <v>New</v>
      </c>
    </row>
    <row r="540" spans="1:14">
      <c r="A540" s="13" t="s">
        <v>1104</v>
      </c>
      <c r="B540" s="14" t="s">
        <v>305</v>
      </c>
      <c r="C540" s="14" t="s">
        <v>12</v>
      </c>
      <c r="D540" s="14" t="s">
        <v>13</v>
      </c>
      <c r="E540" s="14" t="s">
        <v>14</v>
      </c>
      <c r="F540" s="14" t="s">
        <v>15</v>
      </c>
      <c r="G540" s="14" t="s">
        <v>62</v>
      </c>
      <c r="H540" s="14">
        <v>44526</v>
      </c>
      <c r="I540" s="14">
        <v>113727</v>
      </c>
      <c r="J540" s="14" t="s">
        <v>963</v>
      </c>
      <c r="K540" s="14" t="str">
        <f>A540&amp;B540&amp;C540&amp;D540&amp;E540&amp;F540&amp;G540&amp;H540&amp;I540&amp;J540&amp;[1]Sheet1!$G$5</f>
        <v>E0539Nafiz FerdousFemaleSalesSales AssociateFull-timeChattogram44526113727E0445Sylhet</v>
      </c>
      <c r="L540" s="14">
        <f t="shared" si="24"/>
        <v>138091</v>
      </c>
      <c r="M540" s="14">
        <f ca="1" t="shared" si="25"/>
        <v>4</v>
      </c>
      <c r="N540" s="15" t="str">
        <f ca="1" t="shared" si="26"/>
        <v>Mid level</v>
      </c>
    </row>
    <row r="541" spans="1:14">
      <c r="A541" s="16" t="s">
        <v>1105</v>
      </c>
      <c r="B541" s="17" t="s">
        <v>265</v>
      </c>
      <c r="C541" s="17" t="s">
        <v>19</v>
      </c>
      <c r="D541" s="17" t="s">
        <v>38</v>
      </c>
      <c r="E541" s="17" t="s">
        <v>140</v>
      </c>
      <c r="F541" s="17" t="s">
        <v>15</v>
      </c>
      <c r="G541" s="17" t="s">
        <v>34</v>
      </c>
      <c r="H541" s="17">
        <v>42752</v>
      </c>
      <c r="I541" s="17">
        <v>280400</v>
      </c>
      <c r="J541" s="17" t="s">
        <v>436</v>
      </c>
      <c r="K541" s="17" t="str">
        <f>A541&amp;B541&amp;C541&amp;D541&amp;E541&amp;F541&amp;G541&amp;H541&amp;I541&amp;J541&amp;[1]Sheet1!$G$5</f>
        <v>E0540Rashed MiahMaleEngineeringSenior Software EngineerFull-timeSylhet42752280400E0152Sylhet</v>
      </c>
      <c r="L541" s="17">
        <f t="shared" si="24"/>
        <v>138102</v>
      </c>
      <c r="M541" s="17">
        <f ca="1" t="shared" si="25"/>
        <v>9</v>
      </c>
      <c r="N541" s="18" t="str">
        <f ca="1" t="shared" si="26"/>
        <v>Experienced</v>
      </c>
    </row>
    <row r="542" spans="1:14">
      <c r="A542" s="13" t="s">
        <v>1106</v>
      </c>
      <c r="B542" s="14" t="s">
        <v>1107</v>
      </c>
      <c r="C542" s="14" t="s">
        <v>12</v>
      </c>
      <c r="D542" s="14" t="s">
        <v>20</v>
      </c>
      <c r="E542" s="14" t="s">
        <v>21</v>
      </c>
      <c r="F542" s="14" t="s">
        <v>48</v>
      </c>
      <c r="G542" s="14" t="s">
        <v>28</v>
      </c>
      <c r="H542" s="14">
        <v>45016</v>
      </c>
      <c r="I542" s="14">
        <v>102186</v>
      </c>
      <c r="J542" s="14" t="s">
        <v>440</v>
      </c>
      <c r="K542" s="14" t="str">
        <f>A542&amp;B542&amp;C542&amp;D542&amp;E542&amp;F542&amp;G542&amp;H542&amp;I542&amp;J542&amp;[1]Sheet1!$G$5</f>
        <v>E0541Arif KabirFemaleCustomer SuccessSupport SpecialistContractRemote45016102186E0682Sylhet</v>
      </c>
      <c r="L542" s="14">
        <f t="shared" si="24"/>
        <v>138091</v>
      </c>
      <c r="M542" s="14">
        <f ca="1" t="shared" si="25"/>
        <v>2</v>
      </c>
      <c r="N542" s="15" t="str">
        <f ca="1" t="shared" si="26"/>
        <v>New</v>
      </c>
    </row>
    <row r="543" spans="1:14">
      <c r="A543" s="16" t="s">
        <v>1108</v>
      </c>
      <c r="B543" s="17" t="s">
        <v>1109</v>
      </c>
      <c r="C543" s="17" t="s">
        <v>12</v>
      </c>
      <c r="D543" s="17" t="s">
        <v>32</v>
      </c>
      <c r="E543" s="17" t="s">
        <v>57</v>
      </c>
      <c r="F543" s="17" t="s">
        <v>15</v>
      </c>
      <c r="G543" s="17" t="s">
        <v>16</v>
      </c>
      <c r="H543" s="17">
        <v>45116</v>
      </c>
      <c r="I543" s="17">
        <v>88171</v>
      </c>
      <c r="J543" s="17" t="s">
        <v>836</v>
      </c>
      <c r="K543" s="17" t="str">
        <f>A543&amp;B543&amp;C543&amp;D543&amp;E543&amp;F543&amp;G543&amp;H543&amp;I543&amp;J543&amp;[1]Sheet1!$G$5</f>
        <v>E0542Ayesha TalukderFemaleHRHR AssociateFull-timeKhulna4511688171E0371Sylhet</v>
      </c>
      <c r="L543" s="17">
        <f t="shared" si="24"/>
        <v>138102</v>
      </c>
      <c r="M543" s="17">
        <f ca="1" t="shared" si="25"/>
        <v>2</v>
      </c>
      <c r="N543" s="18" t="str">
        <f ca="1" t="shared" si="26"/>
        <v>New</v>
      </c>
    </row>
    <row r="544" spans="1:14">
      <c r="A544" s="13" t="s">
        <v>601</v>
      </c>
      <c r="B544" s="14" t="s">
        <v>1110</v>
      </c>
      <c r="C544" s="14" t="s">
        <v>19</v>
      </c>
      <c r="D544" s="14" t="s">
        <v>87</v>
      </c>
      <c r="E544" s="14" t="s">
        <v>156</v>
      </c>
      <c r="F544" s="14" t="s">
        <v>15</v>
      </c>
      <c r="G544" s="14" t="s">
        <v>94</v>
      </c>
      <c r="H544" s="14">
        <v>44104</v>
      </c>
      <c r="I544" s="14">
        <v>271579</v>
      </c>
      <c r="J544" s="14" t="s">
        <v>262</v>
      </c>
      <c r="K544" s="14" t="str">
        <f>A544&amp;B544&amp;C544&amp;D544&amp;E544&amp;F544&amp;G544&amp;H544&amp;I544&amp;J544&amp;[1]Sheet1!$G$5</f>
        <v>E0543Nadia HasanMaleProductAssociate Product ManagerFull-timeRajshahi44104271579E0075Sylhet</v>
      </c>
      <c r="L544" s="14">
        <f t="shared" si="24"/>
        <v>138104</v>
      </c>
      <c r="M544" s="14">
        <f ca="1" t="shared" si="25"/>
        <v>5</v>
      </c>
      <c r="N544" s="15" t="str">
        <f ca="1" t="shared" si="26"/>
        <v>Mid level</v>
      </c>
    </row>
    <row r="545" spans="1:14">
      <c r="A545" s="16" t="s">
        <v>1111</v>
      </c>
      <c r="B545" s="17" t="s">
        <v>207</v>
      </c>
      <c r="C545" s="17" t="s">
        <v>19</v>
      </c>
      <c r="D545" s="17" t="s">
        <v>26</v>
      </c>
      <c r="E545" s="17" t="s">
        <v>162</v>
      </c>
      <c r="F545" s="17" t="s">
        <v>15</v>
      </c>
      <c r="G545" s="17" t="s">
        <v>94</v>
      </c>
      <c r="H545" s="17">
        <v>44452</v>
      </c>
      <c r="I545" s="17">
        <v>167921</v>
      </c>
      <c r="J545" s="17" t="s">
        <v>580</v>
      </c>
      <c r="K545" s="17" t="str">
        <f>A545&amp;B545&amp;C545&amp;D545&amp;E545&amp;F545&amp;G545&amp;H545&amp;I545&amp;J545&amp;[1]Sheet1!$G$5</f>
        <v>E0544Tania AminMaleFinanceAccounts ExecutiveFull-timeRajshahi44452167921E0224Sylhet</v>
      </c>
      <c r="L545" s="17">
        <f t="shared" si="24"/>
        <v>138102</v>
      </c>
      <c r="M545" s="17">
        <f ca="1" t="shared" si="25"/>
        <v>4</v>
      </c>
      <c r="N545" s="18" t="str">
        <f ca="1" t="shared" si="26"/>
        <v>Mid level</v>
      </c>
    </row>
    <row r="546" spans="1:14">
      <c r="A546" s="13" t="s">
        <v>929</v>
      </c>
      <c r="B546" s="14" t="s">
        <v>1112</v>
      </c>
      <c r="C546" s="14" t="s">
        <v>19</v>
      </c>
      <c r="D546" s="14" t="s">
        <v>32</v>
      </c>
      <c r="E546" s="14" t="s">
        <v>208</v>
      </c>
      <c r="F546" s="14" t="s">
        <v>15</v>
      </c>
      <c r="G546" s="14" t="s">
        <v>34</v>
      </c>
      <c r="H546" s="14">
        <v>43852</v>
      </c>
      <c r="I546" s="14">
        <v>132186</v>
      </c>
      <c r="J546" s="14" t="s">
        <v>344</v>
      </c>
      <c r="K546" s="14" t="str">
        <f>A546&amp;B546&amp;C546&amp;D546&amp;E546&amp;F546&amp;G546&amp;H546&amp;I546&amp;J546&amp;[1]Sheet1!$G$5</f>
        <v>E0545Tania SultanaMaleHRHR ManagerFull-timeSylhet43852132186E0861Sylhet</v>
      </c>
      <c r="L546" s="14">
        <f t="shared" si="24"/>
        <v>138091</v>
      </c>
      <c r="M546" s="14">
        <f ca="1" t="shared" si="25"/>
        <v>6</v>
      </c>
      <c r="N546" s="15" t="str">
        <f ca="1" t="shared" si="26"/>
        <v>Experienced</v>
      </c>
    </row>
    <row r="547" spans="1:14">
      <c r="A547" s="16" t="s">
        <v>1113</v>
      </c>
      <c r="B547" s="17" t="s">
        <v>778</v>
      </c>
      <c r="C547" s="17" t="s">
        <v>12</v>
      </c>
      <c r="D547" s="17" t="s">
        <v>13</v>
      </c>
      <c r="E547" s="17" t="s">
        <v>165</v>
      </c>
      <c r="F547" s="17" t="s">
        <v>15</v>
      </c>
      <c r="G547" s="17" t="s">
        <v>34</v>
      </c>
      <c r="H547" s="17">
        <v>42444</v>
      </c>
      <c r="I547" s="17">
        <v>135670</v>
      </c>
      <c r="J547" s="17" t="s">
        <v>151</v>
      </c>
      <c r="K547" s="17" t="str">
        <f>A547&amp;B547&amp;C547&amp;D547&amp;E547&amp;F547&amp;G547&amp;H547&amp;I547&amp;J547&amp;[1]Sheet1!$G$5</f>
        <v>E0546Arif AnjumFemaleSalesAccount ExecutiveFull-timeSylhet42444135670E0865Sylhet</v>
      </c>
      <c r="L547" s="17">
        <f t="shared" si="24"/>
        <v>138102</v>
      </c>
      <c r="M547" s="17">
        <f ca="1" t="shared" si="25"/>
        <v>10</v>
      </c>
      <c r="N547" s="18" t="str">
        <f ca="1" t="shared" si="26"/>
        <v>Experienced</v>
      </c>
    </row>
    <row r="548" spans="1:14">
      <c r="A548" s="13" t="s">
        <v>1114</v>
      </c>
      <c r="B548" s="14" t="s">
        <v>1115</v>
      </c>
      <c r="C548" s="14" t="s">
        <v>12</v>
      </c>
      <c r="D548" s="14" t="s">
        <v>38</v>
      </c>
      <c r="E548" s="14" t="s">
        <v>39</v>
      </c>
      <c r="F548" s="14" t="s">
        <v>15</v>
      </c>
      <c r="G548" s="14" t="s">
        <v>40</v>
      </c>
      <c r="H548" s="14">
        <v>43855</v>
      </c>
      <c r="I548" s="14">
        <v>144190</v>
      </c>
      <c r="J548" s="14" t="s">
        <v>615</v>
      </c>
      <c r="K548" s="14" t="str">
        <f>A548&amp;B548&amp;C548&amp;D548&amp;E548&amp;F548&amp;G548&amp;H548&amp;I548&amp;J548&amp;[1]Sheet1!$G$5</f>
        <v>E0547Sadia TalukderFemaleEngineeringDevOps EngineerFull-timeDhaka43855144190E0242Sylhet</v>
      </c>
      <c r="L548" s="14">
        <f t="shared" si="24"/>
        <v>138104</v>
      </c>
      <c r="M548" s="14">
        <f ca="1" t="shared" si="25"/>
        <v>6</v>
      </c>
      <c r="N548" s="15" t="str">
        <f ca="1" t="shared" si="26"/>
        <v>Experienced</v>
      </c>
    </row>
    <row r="549" spans="1:14">
      <c r="A549" s="16" t="s">
        <v>1116</v>
      </c>
      <c r="B549" s="17" t="s">
        <v>1117</v>
      </c>
      <c r="C549" s="17" t="s">
        <v>19</v>
      </c>
      <c r="D549" s="17" t="s">
        <v>26</v>
      </c>
      <c r="E549" s="17" t="s">
        <v>61</v>
      </c>
      <c r="F549" s="17" t="s">
        <v>15</v>
      </c>
      <c r="G549" s="17" t="s">
        <v>94</v>
      </c>
      <c r="H549" s="17">
        <v>43635</v>
      </c>
      <c r="I549" s="17">
        <v>198074</v>
      </c>
      <c r="J549" s="17" t="s">
        <v>237</v>
      </c>
      <c r="K549" s="17" t="str">
        <f>A549&amp;B549&amp;C549&amp;D549&amp;E549&amp;F549&amp;G549&amp;H549&amp;I549&amp;J549&amp;[1]Sheet1!$G$5</f>
        <v>E0548Mahin SarkerMaleFinanceFinancial AnalystFull-timeRajshahi43635198074E0782Sylhet</v>
      </c>
      <c r="L549" s="17">
        <f t="shared" si="24"/>
        <v>138102</v>
      </c>
      <c r="M549" s="17">
        <f ca="1" t="shared" si="25"/>
        <v>6</v>
      </c>
      <c r="N549" s="18" t="str">
        <f ca="1" t="shared" si="26"/>
        <v>Experienced</v>
      </c>
    </row>
    <row r="550" spans="1:14">
      <c r="A550" s="13" t="s">
        <v>1118</v>
      </c>
      <c r="B550" s="14" t="s">
        <v>1119</v>
      </c>
      <c r="C550" s="14" t="s">
        <v>12</v>
      </c>
      <c r="D550" s="14" t="s">
        <v>92</v>
      </c>
      <c r="E550" s="14" t="s">
        <v>189</v>
      </c>
      <c r="F550" s="14" t="s">
        <v>15</v>
      </c>
      <c r="G550" s="14" t="s">
        <v>16</v>
      </c>
      <c r="H550" s="14">
        <v>43108</v>
      </c>
      <c r="I550" s="14">
        <v>140744</v>
      </c>
      <c r="J550" s="14" t="s">
        <v>585</v>
      </c>
      <c r="K550" s="14" t="str">
        <f>A550&amp;B550&amp;C550&amp;D550&amp;E550&amp;F550&amp;G550&amp;H550&amp;I550&amp;J550&amp;[1]Sheet1!$G$5</f>
        <v>E0549Rafi SadiqFemaleMarketingMarketing AssociateFull-timeKhulna43108140744E0241Sylhet</v>
      </c>
      <c r="L550" s="14">
        <f t="shared" si="24"/>
        <v>138091</v>
      </c>
      <c r="M550" s="14">
        <f ca="1" t="shared" si="25"/>
        <v>8</v>
      </c>
      <c r="N550" s="15" t="str">
        <f ca="1" t="shared" si="26"/>
        <v>Experienced</v>
      </c>
    </row>
    <row r="551" spans="1:14">
      <c r="A551" s="16" t="s">
        <v>1120</v>
      </c>
      <c r="B551" s="17" t="s">
        <v>1121</v>
      </c>
      <c r="C551" s="17" t="s">
        <v>19</v>
      </c>
      <c r="D551" s="17" t="s">
        <v>52</v>
      </c>
      <c r="E551" s="17" t="s">
        <v>120</v>
      </c>
      <c r="F551" s="17" t="s">
        <v>15</v>
      </c>
      <c r="G551" s="17" t="s">
        <v>28</v>
      </c>
      <c r="H551" s="17">
        <v>43247</v>
      </c>
      <c r="I551" s="17">
        <v>141122</v>
      </c>
      <c r="J551" s="17" t="s">
        <v>471</v>
      </c>
      <c r="K551" s="17" t="str">
        <f>A551&amp;B551&amp;C551&amp;D551&amp;E551&amp;F551&amp;G551&amp;H551&amp;I551&amp;J551&amp;[1]Sheet1!$G$5</f>
        <v>E0550Nafiz RasheedMaleOperationsSupply Chain AnalystFull-timeRemote43247141122E0909Sylhet</v>
      </c>
      <c r="L551" s="17">
        <f t="shared" si="24"/>
        <v>138080</v>
      </c>
      <c r="M551" s="17">
        <f ca="1" t="shared" si="25"/>
        <v>7</v>
      </c>
      <c r="N551" s="18" t="str">
        <f ca="1" t="shared" si="26"/>
        <v>Experienced</v>
      </c>
    </row>
    <row r="552" spans="1:14">
      <c r="A552" s="13" t="s">
        <v>1122</v>
      </c>
      <c r="B552" s="14" t="s">
        <v>1123</v>
      </c>
      <c r="C552" s="14" t="s">
        <v>12</v>
      </c>
      <c r="D552" s="14" t="s">
        <v>92</v>
      </c>
      <c r="E552" s="14" t="s">
        <v>193</v>
      </c>
      <c r="F552" s="14" t="s">
        <v>15</v>
      </c>
      <c r="G552" s="14" t="s">
        <v>28</v>
      </c>
      <c r="H552" s="14">
        <v>43769</v>
      </c>
      <c r="I552" s="14">
        <v>157660</v>
      </c>
      <c r="J552" s="14"/>
      <c r="K552" s="14" t="str">
        <f>A552&amp;B552&amp;C552&amp;D552&amp;E552&amp;F552&amp;G552&amp;H552&amp;I552&amp;J552&amp;[1]Sheet1!$G$5</f>
        <v>E0551Fahim AlamFemaleMarketingMarketing ManagerFull-timeRemote43769157660Sylhet</v>
      </c>
      <c r="L552" s="14">
        <f t="shared" si="24"/>
        <v>137427</v>
      </c>
      <c r="M552" s="14">
        <f ca="1" t="shared" si="25"/>
        <v>6</v>
      </c>
      <c r="N552" s="15" t="str">
        <f ca="1" t="shared" si="26"/>
        <v>Experienced</v>
      </c>
    </row>
    <row r="553" spans="1:14">
      <c r="A553" s="16" t="s">
        <v>1124</v>
      </c>
      <c r="B553" s="17" t="s">
        <v>1125</v>
      </c>
      <c r="C553" s="17" t="s">
        <v>12</v>
      </c>
      <c r="D553" s="17" t="s">
        <v>52</v>
      </c>
      <c r="E553" s="17" t="s">
        <v>120</v>
      </c>
      <c r="F553" s="17" t="s">
        <v>15</v>
      </c>
      <c r="G553" s="17" t="s">
        <v>94</v>
      </c>
      <c r="H553" s="17">
        <v>45508</v>
      </c>
      <c r="I553" s="17">
        <v>54791</v>
      </c>
      <c r="J553" s="17" t="s">
        <v>334</v>
      </c>
      <c r="K553" s="17" t="str">
        <f>A553&amp;B553&amp;C553&amp;D553&amp;E553&amp;F553&amp;G553&amp;H553&amp;I553&amp;J553&amp;[1]Sheet1!$G$5</f>
        <v>E0552Rahim HasanFemaleOperationsSupply Chain AnalystFull-timeRajshahi4550854791E0104Sylhet</v>
      </c>
      <c r="L553" s="17">
        <f t="shared" si="24"/>
        <v>136774</v>
      </c>
      <c r="M553" s="17">
        <f ca="1" t="shared" si="25"/>
        <v>1</v>
      </c>
      <c r="N553" s="18" t="str">
        <f ca="1" t="shared" si="26"/>
        <v>New</v>
      </c>
    </row>
    <row r="554" spans="1:14">
      <c r="A554" s="13" t="s">
        <v>1126</v>
      </c>
      <c r="B554" s="14" t="s">
        <v>1072</v>
      </c>
      <c r="C554" s="14" t="s">
        <v>19</v>
      </c>
      <c r="D554" s="14" t="s">
        <v>92</v>
      </c>
      <c r="E554" s="14" t="s">
        <v>126</v>
      </c>
      <c r="F554" s="14" t="s">
        <v>15</v>
      </c>
      <c r="G554" s="14" t="s">
        <v>40</v>
      </c>
      <c r="H554" s="14">
        <v>44361</v>
      </c>
      <c r="I554" s="14">
        <v>144565</v>
      </c>
      <c r="J554" s="14" t="s">
        <v>274</v>
      </c>
      <c r="K554" s="14" t="str">
        <f>A554&amp;B554&amp;C554&amp;D554&amp;E554&amp;F554&amp;G554&amp;H554&amp;I554&amp;J554&amp;[1]Sheet1!$G$5</f>
        <v>E0553Tania RanaMaleMarketingSEO SpecialistFull-timeDhaka44361144565E0657Sylhet</v>
      </c>
      <c r="L554" s="14">
        <f t="shared" si="24"/>
        <v>137427</v>
      </c>
      <c r="M554" s="14">
        <f ca="1" t="shared" si="25"/>
        <v>4</v>
      </c>
      <c r="N554" s="15" t="str">
        <f ca="1" t="shared" si="26"/>
        <v>Mid level</v>
      </c>
    </row>
    <row r="555" spans="1:14">
      <c r="A555" s="16" t="s">
        <v>425</v>
      </c>
      <c r="B555" s="17" t="s">
        <v>479</v>
      </c>
      <c r="C555" s="17" t="s">
        <v>12</v>
      </c>
      <c r="D555" s="17" t="s">
        <v>92</v>
      </c>
      <c r="E555" s="17" t="s">
        <v>193</v>
      </c>
      <c r="F555" s="17" t="s">
        <v>15</v>
      </c>
      <c r="G555" s="17" t="s">
        <v>62</v>
      </c>
      <c r="H555" s="17">
        <v>43156</v>
      </c>
      <c r="I555" s="17">
        <v>118399</v>
      </c>
      <c r="J555" s="17" t="s">
        <v>782</v>
      </c>
      <c r="K555" s="17" t="str">
        <f>A555&amp;B555&amp;C555&amp;D555&amp;E555&amp;F555&amp;G555&amp;H555&amp;I555&amp;J555&amp;[1]Sheet1!$G$5</f>
        <v>E0554Shafiq RasheedFemaleMarketingMarketing ManagerFull-timeChattogram43156118399E0749Sylhet</v>
      </c>
      <c r="L555" s="17">
        <f t="shared" si="24"/>
        <v>136774</v>
      </c>
      <c r="M555" s="17">
        <f ca="1" t="shared" si="25"/>
        <v>8</v>
      </c>
      <c r="N555" s="18" t="str">
        <f ca="1" t="shared" si="26"/>
        <v>Experienced</v>
      </c>
    </row>
    <row r="556" spans="1:14">
      <c r="A556" s="13" t="s">
        <v>1127</v>
      </c>
      <c r="B556" s="14" t="s">
        <v>1128</v>
      </c>
      <c r="C556" s="14" t="s">
        <v>12</v>
      </c>
      <c r="D556" s="14" t="s">
        <v>52</v>
      </c>
      <c r="E556" s="14" t="s">
        <v>246</v>
      </c>
      <c r="F556" s="14" t="s">
        <v>15</v>
      </c>
      <c r="G556" s="14" t="s">
        <v>94</v>
      </c>
      <c r="H556" s="14">
        <v>43297</v>
      </c>
      <c r="I556" s="14">
        <v>96262</v>
      </c>
      <c r="J556" s="14" t="s">
        <v>288</v>
      </c>
      <c r="K556" s="14" t="str">
        <f>A556&amp;B556&amp;C556&amp;D556&amp;E556&amp;F556&amp;G556&amp;H556&amp;I556&amp;J556&amp;[1]Sheet1!$G$5</f>
        <v>E0555Noman ShahFemaleOperationsOperations AssociateFull-timeRajshahi4329796262E0172Sylhet</v>
      </c>
      <c r="L556" s="14">
        <f t="shared" si="24"/>
        <v>137427</v>
      </c>
      <c r="M556" s="14">
        <f ca="1" t="shared" si="25"/>
        <v>7</v>
      </c>
      <c r="N556" s="15" t="str">
        <f ca="1" t="shared" si="26"/>
        <v>Experienced</v>
      </c>
    </row>
    <row r="557" spans="1:14">
      <c r="A557" s="16" t="s">
        <v>1129</v>
      </c>
      <c r="B557" s="17" t="s">
        <v>920</v>
      </c>
      <c r="C557" s="17" t="s">
        <v>12</v>
      </c>
      <c r="D557" s="17" t="s">
        <v>13</v>
      </c>
      <c r="E557" s="17" t="s">
        <v>14</v>
      </c>
      <c r="F557" s="17" t="s">
        <v>15</v>
      </c>
      <c r="G557" s="17" t="s">
        <v>34</v>
      </c>
      <c r="H557" s="17">
        <v>42933</v>
      </c>
      <c r="I557" s="17">
        <v>120796</v>
      </c>
      <c r="J557" s="17" t="s">
        <v>416</v>
      </c>
      <c r="K557" s="17" t="str">
        <f>A557&amp;B557&amp;C557&amp;D557&amp;E557&amp;F557&amp;G557&amp;H557&amp;I557&amp;J557&amp;[1]Sheet1!$G$5</f>
        <v>E0556Jannat BanuFemaleSalesSales AssociateFull-timeSylhet42933120796E0142Sylhet</v>
      </c>
      <c r="L557" s="17">
        <f t="shared" si="24"/>
        <v>138080</v>
      </c>
      <c r="M557" s="17">
        <f ca="1" t="shared" si="25"/>
        <v>8</v>
      </c>
      <c r="N557" s="18" t="str">
        <f ca="1" t="shared" si="26"/>
        <v>Experienced</v>
      </c>
    </row>
    <row r="558" spans="1:14">
      <c r="A558" s="13" t="s">
        <v>1130</v>
      </c>
      <c r="B558" s="14" t="s">
        <v>1131</v>
      </c>
      <c r="C558" s="14" t="s">
        <v>19</v>
      </c>
      <c r="D558" s="14" t="s">
        <v>38</v>
      </c>
      <c r="E558" s="14" t="s">
        <v>140</v>
      </c>
      <c r="F558" s="14" t="s">
        <v>22</v>
      </c>
      <c r="G558" s="14" t="s">
        <v>34</v>
      </c>
      <c r="H558" s="14">
        <v>43004</v>
      </c>
      <c r="I558" s="14">
        <v>239730</v>
      </c>
      <c r="J558" s="14"/>
      <c r="K558" s="14" t="str">
        <f>A558&amp;B558&amp;C558&amp;D558&amp;E558&amp;F558&amp;G558&amp;H558&amp;I558&amp;J558&amp;[1]Sheet1!$G$5</f>
        <v>E0557Sumaiya ChowdhuryMaleEngineeringSenior Software EngineerInternSylhet43004239730Sylhet</v>
      </c>
      <c r="L558" s="14">
        <f t="shared" si="24"/>
        <v>138091</v>
      </c>
      <c r="M558" s="14">
        <f ca="1" t="shared" si="25"/>
        <v>8</v>
      </c>
      <c r="N558" s="15" t="str">
        <f ca="1" t="shared" si="26"/>
        <v>Experienced</v>
      </c>
    </row>
    <row r="559" spans="1:14">
      <c r="A559" s="16" t="s">
        <v>1132</v>
      </c>
      <c r="B559" s="17" t="s">
        <v>849</v>
      </c>
      <c r="C559" s="17" t="s">
        <v>146</v>
      </c>
      <c r="D559" s="17" t="s">
        <v>38</v>
      </c>
      <c r="E559" s="17" t="s">
        <v>66</v>
      </c>
      <c r="F559" s="17" t="s">
        <v>15</v>
      </c>
      <c r="G559" s="17" t="s">
        <v>34</v>
      </c>
      <c r="H559" s="17">
        <v>42686</v>
      </c>
      <c r="I559" s="17">
        <v>185256</v>
      </c>
      <c r="J559" s="17" t="s">
        <v>468</v>
      </c>
      <c r="K559" s="17" t="str">
        <f>A559&amp;B559&amp;C559&amp;D559&amp;E559&amp;F559&amp;G559&amp;H559&amp;I559&amp;J559&amp;[1]Sheet1!$G$5</f>
        <v>E0558Ovi ShahNon-binaryEngineeringSoftware EngineerFull-timeSylhet42686185256E0167Sylhet</v>
      </c>
      <c r="L559" s="17">
        <f t="shared" si="24"/>
        <v>138080</v>
      </c>
      <c r="M559" s="17">
        <f ca="1" t="shared" si="25"/>
        <v>9</v>
      </c>
      <c r="N559" s="18" t="str">
        <f ca="1" t="shared" si="26"/>
        <v>Experienced</v>
      </c>
    </row>
    <row r="560" spans="1:14">
      <c r="A560" s="13" t="s">
        <v>1083</v>
      </c>
      <c r="B560" s="14" t="s">
        <v>612</v>
      </c>
      <c r="C560" s="14" t="s">
        <v>12</v>
      </c>
      <c r="D560" s="14" t="s">
        <v>26</v>
      </c>
      <c r="E560" s="14" t="s">
        <v>27</v>
      </c>
      <c r="F560" s="14" t="s">
        <v>15</v>
      </c>
      <c r="G560" s="14" t="s">
        <v>34</v>
      </c>
      <c r="H560" s="14">
        <v>43581</v>
      </c>
      <c r="I560" s="14">
        <v>253912</v>
      </c>
      <c r="J560" s="14" t="s">
        <v>493</v>
      </c>
      <c r="K560" s="14" t="str">
        <f>A560&amp;B560&amp;C560&amp;D560&amp;E560&amp;F560&amp;G560&amp;H560&amp;I560&amp;J560&amp;[1]Sheet1!$G$5</f>
        <v>E0559Rahim RahmanFemaleFinanceFinance ManagerFull-timeSylhet43581253912E0249Sylhet</v>
      </c>
      <c r="L560" s="14">
        <f t="shared" si="24"/>
        <v>137427</v>
      </c>
      <c r="M560" s="14">
        <f ca="1" t="shared" si="25"/>
        <v>6</v>
      </c>
      <c r="N560" s="15" t="str">
        <f ca="1" t="shared" si="26"/>
        <v>Experienced</v>
      </c>
    </row>
    <row r="561" spans="1:14">
      <c r="A561" s="16" t="s">
        <v>449</v>
      </c>
      <c r="B561" s="17" t="s">
        <v>1133</v>
      </c>
      <c r="C561" s="17" t="s">
        <v>19</v>
      </c>
      <c r="D561" s="17" t="s">
        <v>32</v>
      </c>
      <c r="E561" s="17" t="s">
        <v>208</v>
      </c>
      <c r="F561" s="17" t="s">
        <v>15</v>
      </c>
      <c r="G561" s="17" t="s">
        <v>94</v>
      </c>
      <c r="H561" s="17">
        <v>45828</v>
      </c>
      <c r="I561" s="17">
        <v>210488</v>
      </c>
      <c r="J561" s="17" t="s">
        <v>640</v>
      </c>
      <c r="K561" s="17" t="str">
        <f>A561&amp;B561&amp;C561&amp;D561&amp;E561&amp;F561&amp;G561&amp;H561&amp;I561&amp;J561&amp;[1]Sheet1!$G$5</f>
        <v>E0560Nafiz UddinMaleHRHR ManagerFull-timeRajshahi45828210488E0762Sylhet</v>
      </c>
      <c r="L561" s="17">
        <f t="shared" si="24"/>
        <v>136774</v>
      </c>
      <c r="M561" s="17">
        <f ca="1" t="shared" si="25"/>
        <v>0</v>
      </c>
      <c r="N561" s="18" t="str">
        <f ca="1" t="shared" si="26"/>
        <v>New</v>
      </c>
    </row>
    <row r="562" spans="1:14">
      <c r="A562" s="13" t="s">
        <v>1134</v>
      </c>
      <c r="B562" s="14" t="s">
        <v>1135</v>
      </c>
      <c r="C562" s="14" t="s">
        <v>19</v>
      </c>
      <c r="D562" s="14" t="s">
        <v>26</v>
      </c>
      <c r="E562" s="14" t="s">
        <v>61</v>
      </c>
      <c r="F562" s="14" t="s">
        <v>15</v>
      </c>
      <c r="G562" s="14" t="s">
        <v>40</v>
      </c>
      <c r="H562" s="14">
        <v>45598</v>
      </c>
      <c r="I562" s="14">
        <v>155423</v>
      </c>
      <c r="J562" s="14" t="s">
        <v>68</v>
      </c>
      <c r="K562" s="14" t="str">
        <f>A562&amp;B562&amp;C562&amp;D562&amp;E562&amp;F562&amp;G562&amp;H562&amp;I562&amp;J562&amp;[1]Sheet1!$G$5</f>
        <v>E0561Tasnim HasanMaleFinanceFinancial AnalystFull-timeDhaka45598155423E0012Sylhet</v>
      </c>
      <c r="L562" s="14">
        <f t="shared" si="24"/>
        <v>136611</v>
      </c>
      <c r="M562" s="14">
        <f ca="1" t="shared" si="25"/>
        <v>1</v>
      </c>
      <c r="N562" s="15" t="str">
        <f ca="1" t="shared" si="26"/>
        <v>New</v>
      </c>
    </row>
    <row r="563" spans="1:14">
      <c r="A563" s="16" t="s">
        <v>1136</v>
      </c>
      <c r="B563" s="17" t="s">
        <v>1137</v>
      </c>
      <c r="C563" s="17" t="s">
        <v>19</v>
      </c>
      <c r="D563" s="17" t="s">
        <v>38</v>
      </c>
      <c r="E563" s="17" t="s">
        <v>66</v>
      </c>
      <c r="F563" s="17" t="s">
        <v>48</v>
      </c>
      <c r="G563" s="17" t="s">
        <v>62</v>
      </c>
      <c r="H563" s="17">
        <v>42784</v>
      </c>
      <c r="I563" s="17">
        <v>100233</v>
      </c>
      <c r="J563" s="17" t="s">
        <v>416</v>
      </c>
      <c r="K563" s="17" t="str">
        <f>A563&amp;B563&amp;C563&amp;D563&amp;E563&amp;F563&amp;G563&amp;H563&amp;I563&amp;J563&amp;[1]Sheet1!$G$5</f>
        <v>E0562Farhan AlamMaleEngineeringSoftware EngineerContractChattogram42784100233E0142Sylhet</v>
      </c>
      <c r="L563" s="17">
        <f t="shared" si="24"/>
        <v>136448</v>
      </c>
      <c r="M563" s="17">
        <f ca="1" t="shared" si="25"/>
        <v>9</v>
      </c>
      <c r="N563" s="18" t="str">
        <f ca="1" t="shared" si="26"/>
        <v>Experienced</v>
      </c>
    </row>
    <row r="564" spans="1:14">
      <c r="A564" s="13" t="s">
        <v>1138</v>
      </c>
      <c r="B564" s="14" t="s">
        <v>680</v>
      </c>
      <c r="C564" s="14" t="s">
        <v>19</v>
      </c>
      <c r="D564" s="14" t="s">
        <v>38</v>
      </c>
      <c r="E564" s="14" t="s">
        <v>39</v>
      </c>
      <c r="F564" s="14" t="s">
        <v>15</v>
      </c>
      <c r="G564" s="14" t="s">
        <v>40</v>
      </c>
      <c r="H564" s="14">
        <v>44449</v>
      </c>
      <c r="I564" s="14">
        <v>211477</v>
      </c>
      <c r="J564" s="14"/>
      <c r="K564" s="14" t="str">
        <f>A564&amp;B564&amp;C564&amp;D564&amp;E564&amp;F564&amp;G564&amp;H564&amp;I564&amp;J564&amp;[1]Sheet1!$G$5</f>
        <v>E0563Shawon SultanaMaleEngineeringDevOps EngineerFull-timeDhaka44449211477Sylhet</v>
      </c>
      <c r="L564" s="14">
        <f t="shared" si="24"/>
        <v>136611</v>
      </c>
      <c r="M564" s="14">
        <f ca="1" t="shared" si="25"/>
        <v>4</v>
      </c>
      <c r="N564" s="15" t="str">
        <f ca="1" t="shared" si="26"/>
        <v>Mid level</v>
      </c>
    </row>
    <row r="565" spans="1:14">
      <c r="A565" s="16" t="s">
        <v>1139</v>
      </c>
      <c r="B565" s="17" t="s">
        <v>1140</v>
      </c>
      <c r="C565" s="17" t="s">
        <v>19</v>
      </c>
      <c r="D565" s="17" t="s">
        <v>38</v>
      </c>
      <c r="E565" s="17" t="s">
        <v>66</v>
      </c>
      <c r="F565" s="17" t="s">
        <v>15</v>
      </c>
      <c r="G565" s="17" t="s">
        <v>94</v>
      </c>
      <c r="H565" s="17">
        <v>45527</v>
      </c>
      <c r="I565" s="17">
        <v>224909</v>
      </c>
      <c r="J565" s="17" t="s">
        <v>209</v>
      </c>
      <c r="K565" s="17" t="str">
        <f>A565&amp;B565&amp;C565&amp;D565&amp;E565&amp;F565&amp;G565&amp;H565&amp;I565&amp;J565&amp;[1]Sheet1!$G$5</f>
        <v>E0564Rashed MorshedMaleEngineeringSoftware EngineerFull-timeRajshahi45527224909E0425Sylhet</v>
      </c>
      <c r="L565" s="17">
        <f t="shared" si="24"/>
        <v>136448</v>
      </c>
      <c r="M565" s="17">
        <f ca="1" t="shared" si="25"/>
        <v>1</v>
      </c>
      <c r="N565" s="18" t="str">
        <f ca="1" t="shared" si="26"/>
        <v>New</v>
      </c>
    </row>
    <row r="566" spans="1:14">
      <c r="A566" s="13" t="s">
        <v>543</v>
      </c>
      <c r="B566" s="14" t="s">
        <v>236</v>
      </c>
      <c r="C566" s="14" t="s">
        <v>12</v>
      </c>
      <c r="D566" s="14" t="s">
        <v>13</v>
      </c>
      <c r="E566" s="14" t="s">
        <v>98</v>
      </c>
      <c r="F566" s="14" t="s">
        <v>15</v>
      </c>
      <c r="G566" s="14" t="s">
        <v>16</v>
      </c>
      <c r="H566" s="14">
        <v>44580</v>
      </c>
      <c r="I566" s="14">
        <v>238998</v>
      </c>
      <c r="J566" s="14" t="s">
        <v>344</v>
      </c>
      <c r="K566" s="14" t="str">
        <f>A566&amp;B566&amp;C566&amp;D566&amp;E566&amp;F566&amp;G566&amp;H566&amp;I566&amp;J566&amp;[1]Sheet1!$G$5</f>
        <v>E0565Sadia AkterFemaleSalesSales ManagerFull-timeKhulna44580238998E0861Sylhet</v>
      </c>
      <c r="L566" s="14">
        <f t="shared" si="24"/>
        <v>136217</v>
      </c>
      <c r="M566" s="14">
        <f ca="1" t="shared" si="25"/>
        <v>4</v>
      </c>
      <c r="N566" s="15" t="str">
        <f ca="1" t="shared" si="26"/>
        <v>Mid level</v>
      </c>
    </row>
    <row r="567" spans="1:14">
      <c r="A567" s="16" t="s">
        <v>1141</v>
      </c>
      <c r="B567" s="17" t="s">
        <v>287</v>
      </c>
      <c r="C567" s="17" t="s">
        <v>12</v>
      </c>
      <c r="D567" s="17" t="s">
        <v>92</v>
      </c>
      <c r="E567" s="17" t="s">
        <v>391</v>
      </c>
      <c r="F567" s="17" t="s">
        <v>15</v>
      </c>
      <c r="G567" s="17" t="s">
        <v>40</v>
      </c>
      <c r="H567" s="17">
        <v>45790</v>
      </c>
      <c r="I567" s="17">
        <v>150971</v>
      </c>
      <c r="J567" s="17" t="s">
        <v>762</v>
      </c>
      <c r="K567" s="17" t="str">
        <f>A567&amp;B567&amp;C567&amp;D567&amp;E567&amp;F567&amp;G567&amp;H567&amp;I567&amp;J567&amp;[1]Sheet1!$G$5</f>
        <v>E0566Rahim KhanFemaleMarketingContent SpecialistFull-timeDhaka45790150971E0368Sylhet</v>
      </c>
      <c r="L567" s="17">
        <f t="shared" si="24"/>
        <v>135986</v>
      </c>
      <c r="M567" s="17">
        <f ca="1" t="shared" si="25"/>
        <v>0</v>
      </c>
      <c r="N567" s="18" t="str">
        <f ca="1" t="shared" si="26"/>
        <v>New</v>
      </c>
    </row>
    <row r="568" spans="1:14">
      <c r="A568" s="13" t="s">
        <v>1142</v>
      </c>
      <c r="B568" s="14" t="s">
        <v>869</v>
      </c>
      <c r="C568" s="14" t="s">
        <v>19</v>
      </c>
      <c r="D568" s="14" t="s">
        <v>13</v>
      </c>
      <c r="E568" s="14" t="s">
        <v>223</v>
      </c>
      <c r="F568" s="14" t="s">
        <v>15</v>
      </c>
      <c r="G568" s="14" t="s">
        <v>28</v>
      </c>
      <c r="H568" s="14">
        <v>45395</v>
      </c>
      <c r="I568" s="14">
        <v>211829</v>
      </c>
      <c r="J568" s="14" t="s">
        <v>621</v>
      </c>
      <c r="K568" s="14" t="str">
        <f>A568&amp;B568&amp;C568&amp;D568&amp;E568&amp;F568&amp;G568&amp;H568&amp;I568&amp;J568&amp;[1]Sheet1!$G$5</f>
        <v>E0567Shawon RahmanMaleSalesSenior Account ExecutiveFull-timeRemote45395211829E0852Sylhet</v>
      </c>
      <c r="L568" s="14">
        <f t="shared" si="24"/>
        <v>135845.5</v>
      </c>
      <c r="M568" s="14">
        <f ca="1" t="shared" si="25"/>
        <v>1</v>
      </c>
      <c r="N568" s="15" t="str">
        <f ca="1" t="shared" si="26"/>
        <v>New</v>
      </c>
    </row>
    <row r="569" spans="1:14">
      <c r="A569" s="16" t="s">
        <v>1143</v>
      </c>
      <c r="B569" s="17" t="s">
        <v>609</v>
      </c>
      <c r="C569" s="17" t="s">
        <v>12</v>
      </c>
      <c r="D569" s="17" t="s">
        <v>13</v>
      </c>
      <c r="E569" s="17" t="s">
        <v>14</v>
      </c>
      <c r="F569" s="17" t="s">
        <v>15</v>
      </c>
      <c r="G569" s="17" t="s">
        <v>62</v>
      </c>
      <c r="H569" s="17">
        <v>44526</v>
      </c>
      <c r="I569" s="17">
        <v>145287</v>
      </c>
      <c r="J569" s="17"/>
      <c r="K569" s="17" t="str">
        <f>A569&amp;B569&amp;C569&amp;D569&amp;E569&amp;F569&amp;G569&amp;H569&amp;I569&amp;J569&amp;[1]Sheet1!$G$5</f>
        <v>E0568Zahid TalukderFemaleSalesSales AssociateFull-timeChattogram44526145287Sylhet</v>
      </c>
      <c r="L569" s="17">
        <f t="shared" si="24"/>
        <v>135705</v>
      </c>
      <c r="M569" s="17">
        <f ca="1" t="shared" si="25"/>
        <v>4</v>
      </c>
      <c r="N569" s="18" t="str">
        <f ca="1" t="shared" si="26"/>
        <v>Mid level</v>
      </c>
    </row>
    <row r="570" spans="1:14">
      <c r="A570" s="13" t="s">
        <v>1144</v>
      </c>
      <c r="B570" s="14" t="s">
        <v>1131</v>
      </c>
      <c r="C570" s="14" t="s">
        <v>12</v>
      </c>
      <c r="D570" s="14" t="s">
        <v>20</v>
      </c>
      <c r="E570" s="14" t="s">
        <v>21</v>
      </c>
      <c r="F570" s="14" t="s">
        <v>15</v>
      </c>
      <c r="G570" s="14" t="s">
        <v>62</v>
      </c>
      <c r="H570" s="14">
        <v>42524</v>
      </c>
      <c r="I570" s="14">
        <v>58483</v>
      </c>
      <c r="J570" s="14"/>
      <c r="K570" s="14" t="str">
        <f>A570&amp;B570&amp;C570&amp;D570&amp;E570&amp;F570&amp;G570&amp;H570&amp;I570&amp;J570&amp;[1]Sheet1!$G$5</f>
        <v>E0569Sumaiya ChowdhuryFemaleCustomer SuccessSupport SpecialistFull-timeChattogram4252458483Sylhet</v>
      </c>
      <c r="L570" s="14">
        <f t="shared" si="24"/>
        <v>135501</v>
      </c>
      <c r="M570" s="14">
        <f ca="1" t="shared" si="25"/>
        <v>9</v>
      </c>
      <c r="N570" s="15" t="str">
        <f ca="1" t="shared" si="26"/>
        <v>Experienced</v>
      </c>
    </row>
    <row r="571" spans="1:14">
      <c r="A571" s="16" t="s">
        <v>1145</v>
      </c>
      <c r="B571" s="17" t="s">
        <v>1146</v>
      </c>
      <c r="C571" s="17" t="s">
        <v>12</v>
      </c>
      <c r="D571" s="17" t="s">
        <v>13</v>
      </c>
      <c r="E571" s="17" t="s">
        <v>165</v>
      </c>
      <c r="F571" s="17" t="s">
        <v>15</v>
      </c>
      <c r="G571" s="17" t="s">
        <v>16</v>
      </c>
      <c r="H571" s="17">
        <v>45081</v>
      </c>
      <c r="I571" s="17">
        <v>101081</v>
      </c>
      <c r="J571" s="17" t="s">
        <v>172</v>
      </c>
      <c r="K571" s="17" t="str">
        <f>A571&amp;B571&amp;C571&amp;D571&amp;E571&amp;F571&amp;G571&amp;H571&amp;I571&amp;J571&amp;[1]Sheet1!$G$5</f>
        <v>E0570Rashed AhmedFemaleSalesAccount ExecutiveFull-timeKhulna45081101081E0141Sylhet</v>
      </c>
      <c r="L571" s="17">
        <f t="shared" si="24"/>
        <v>135705</v>
      </c>
      <c r="M571" s="17">
        <f ca="1" t="shared" si="25"/>
        <v>2</v>
      </c>
      <c r="N571" s="18" t="str">
        <f ca="1" t="shared" si="26"/>
        <v>New</v>
      </c>
    </row>
    <row r="572" spans="1:14">
      <c r="A572" s="13" t="s">
        <v>1147</v>
      </c>
      <c r="B572" s="14" t="s">
        <v>1148</v>
      </c>
      <c r="C572" s="14" t="s">
        <v>12</v>
      </c>
      <c r="D572" s="14" t="s">
        <v>92</v>
      </c>
      <c r="E572" s="14" t="s">
        <v>93</v>
      </c>
      <c r="F572" s="14" t="s">
        <v>15</v>
      </c>
      <c r="G572" s="14" t="s">
        <v>28</v>
      </c>
      <c r="H572" s="14">
        <v>43749</v>
      </c>
      <c r="I572" s="14">
        <v>89872</v>
      </c>
      <c r="J572" s="14"/>
      <c r="K572" s="14" t="str">
        <f>A572&amp;B572&amp;C572&amp;D572&amp;E572&amp;F572&amp;G572&amp;H572&amp;I572&amp;J572&amp;[1]Sheet1!$G$5</f>
        <v>E0571Jannat AminFemaleMarketingGrowth MarketerFull-timeRemote4374989872Sylhet</v>
      </c>
      <c r="L572" s="14">
        <f t="shared" si="24"/>
        <v>135845.5</v>
      </c>
      <c r="M572" s="14">
        <f ca="1" t="shared" si="25"/>
        <v>6</v>
      </c>
      <c r="N572" s="15" t="str">
        <f ca="1" t="shared" si="26"/>
        <v>Experienced</v>
      </c>
    </row>
    <row r="573" spans="1:14">
      <c r="A573" s="16" t="s">
        <v>1149</v>
      </c>
      <c r="B573" s="17" t="s">
        <v>832</v>
      </c>
      <c r="C573" s="17" t="s">
        <v>19</v>
      </c>
      <c r="D573" s="17" t="s">
        <v>52</v>
      </c>
      <c r="E573" s="17" t="s">
        <v>246</v>
      </c>
      <c r="F573" s="17" t="s">
        <v>15</v>
      </c>
      <c r="G573" s="17" t="s">
        <v>28</v>
      </c>
      <c r="H573" s="17">
        <v>45508</v>
      </c>
      <c r="I573" s="17">
        <v>62383</v>
      </c>
      <c r="J573" s="17" t="s">
        <v>230</v>
      </c>
      <c r="K573" s="17" t="str">
        <f>A573&amp;B573&amp;C573&amp;D573&amp;E573&amp;F573&amp;G573&amp;H573&amp;I573&amp;J573&amp;[1]Sheet1!$G$5</f>
        <v>E0572Tania HossainMaleOperationsOperations AssociateFull-timeRemote4550862383E0063Sylhet</v>
      </c>
      <c r="L573" s="17">
        <f t="shared" si="24"/>
        <v>135986</v>
      </c>
      <c r="M573" s="17">
        <f ca="1" t="shared" si="25"/>
        <v>1</v>
      </c>
      <c r="N573" s="18" t="str">
        <f ca="1" t="shared" si="26"/>
        <v>New</v>
      </c>
    </row>
    <row r="574" spans="1:14">
      <c r="A574" s="13" t="s">
        <v>1150</v>
      </c>
      <c r="B574" s="14" t="s">
        <v>107</v>
      </c>
      <c r="C574" s="14" t="s">
        <v>12</v>
      </c>
      <c r="D574" s="14" t="s">
        <v>13</v>
      </c>
      <c r="E574" s="14" t="s">
        <v>223</v>
      </c>
      <c r="F574" s="14" t="s">
        <v>15</v>
      </c>
      <c r="G574" s="14" t="s">
        <v>40</v>
      </c>
      <c r="H574" s="14">
        <v>44901</v>
      </c>
      <c r="I574" s="14">
        <v>139985</v>
      </c>
      <c r="J574" s="14" t="s">
        <v>465</v>
      </c>
      <c r="K574" s="14" t="str">
        <f>A574&amp;B574&amp;C574&amp;D574&amp;E574&amp;F574&amp;G574&amp;H574&amp;I574&amp;J574&amp;[1]Sheet1!$G$5</f>
        <v>E0573Tamanna SarkerFemaleSalesSenior Account ExecutiveFull-timeDhaka44901139985E0166Sylhet</v>
      </c>
      <c r="L574" s="14">
        <f t="shared" si="24"/>
        <v>136217</v>
      </c>
      <c r="M574" s="14">
        <f ca="1" t="shared" si="25"/>
        <v>3</v>
      </c>
      <c r="N574" s="15" t="str">
        <f ca="1" t="shared" si="26"/>
        <v>Mid level</v>
      </c>
    </row>
    <row r="575" spans="1:14">
      <c r="A575" s="16" t="s">
        <v>476</v>
      </c>
      <c r="B575" s="17" t="s">
        <v>203</v>
      </c>
      <c r="C575" s="17" t="s">
        <v>12</v>
      </c>
      <c r="D575" s="17" t="s">
        <v>32</v>
      </c>
      <c r="E575" s="17" t="s">
        <v>208</v>
      </c>
      <c r="F575" s="17" t="s">
        <v>22</v>
      </c>
      <c r="G575" s="17" t="s">
        <v>16</v>
      </c>
      <c r="H575" s="17">
        <v>42906</v>
      </c>
      <c r="I575" s="17">
        <v>102751</v>
      </c>
      <c r="J575" s="17" t="s">
        <v>1151</v>
      </c>
      <c r="K575" s="17" t="str">
        <f>A575&amp;B575&amp;C575&amp;D575&amp;E575&amp;F575&amp;G575&amp;H575&amp;I575&amp;J575&amp;[1]Sheet1!$G$5</f>
        <v>E0574Shawon AkterFemaleHRHR ManagerInternKhulna42906102751E0897Sylhet</v>
      </c>
      <c r="L575" s="17">
        <f t="shared" si="24"/>
        <v>135986</v>
      </c>
      <c r="M575" s="17">
        <f ca="1" t="shared" si="25"/>
        <v>8</v>
      </c>
      <c r="N575" s="18" t="str">
        <f ca="1" t="shared" si="26"/>
        <v>Experienced</v>
      </c>
    </row>
    <row r="576" spans="1:14">
      <c r="A576" s="13" t="s">
        <v>1152</v>
      </c>
      <c r="B576" s="14" t="s">
        <v>1153</v>
      </c>
      <c r="C576" s="14" t="s">
        <v>19</v>
      </c>
      <c r="D576" s="14" t="s">
        <v>52</v>
      </c>
      <c r="E576" s="14" t="s">
        <v>246</v>
      </c>
      <c r="F576" s="14" t="s">
        <v>15</v>
      </c>
      <c r="G576" s="14" t="s">
        <v>62</v>
      </c>
      <c r="H576" s="14">
        <v>44816</v>
      </c>
      <c r="I576" s="14">
        <v>59718</v>
      </c>
      <c r="J576" s="14" t="s">
        <v>721</v>
      </c>
      <c r="K576" s="14" t="str">
        <f>A576&amp;B576&amp;C576&amp;D576&amp;E576&amp;F576&amp;G576&amp;H576&amp;I576&amp;J576&amp;[1]Sheet1!$G$5</f>
        <v>E0575Sajid ParvinMaleOperationsOperations AssociateFull-timeChattogram4481659718E0376Sylhet</v>
      </c>
      <c r="L576" s="14">
        <f t="shared" si="24"/>
        <v>136217</v>
      </c>
      <c r="M576" s="14">
        <f ca="1" t="shared" si="25"/>
        <v>3</v>
      </c>
      <c r="N576" s="15" t="str">
        <f ca="1" t="shared" si="26"/>
        <v>Mid level</v>
      </c>
    </row>
    <row r="577" spans="1:14">
      <c r="A577" s="16" t="s">
        <v>1154</v>
      </c>
      <c r="B577" s="17" t="s">
        <v>1155</v>
      </c>
      <c r="C577" s="17" t="s">
        <v>12</v>
      </c>
      <c r="D577" s="17" t="s">
        <v>20</v>
      </c>
      <c r="E577" s="17" t="s">
        <v>147</v>
      </c>
      <c r="F577" s="17" t="s">
        <v>15</v>
      </c>
      <c r="G577" s="17" t="s">
        <v>62</v>
      </c>
      <c r="H577" s="17">
        <v>43913</v>
      </c>
      <c r="I577" s="17">
        <v>56617</v>
      </c>
      <c r="J577" s="17" t="s">
        <v>352</v>
      </c>
      <c r="K577" s="17" t="str">
        <f>A577&amp;B577&amp;C577&amp;D577&amp;E577&amp;F577&amp;G577&amp;H577&amp;I577&amp;J577&amp;[1]Sheet1!$G$5</f>
        <v>E0576Shawon KabirFemaleCustomer SuccessSupport AssociateFull-timeChattogram4391356617E0111Sylhet</v>
      </c>
      <c r="L577" s="17">
        <f t="shared" si="24"/>
        <v>136448</v>
      </c>
      <c r="M577" s="17">
        <f ca="1" t="shared" si="25"/>
        <v>5</v>
      </c>
      <c r="N577" s="18" t="str">
        <f ca="1" t="shared" si="26"/>
        <v>Mid level</v>
      </c>
    </row>
    <row r="578" spans="1:14">
      <c r="A578" s="13" t="s">
        <v>1156</v>
      </c>
      <c r="B578" s="14" t="s">
        <v>177</v>
      </c>
      <c r="C578" s="14" t="s">
        <v>19</v>
      </c>
      <c r="D578" s="14" t="s">
        <v>38</v>
      </c>
      <c r="E578" s="14" t="s">
        <v>77</v>
      </c>
      <c r="F578" s="14" t="s">
        <v>48</v>
      </c>
      <c r="G578" s="14" t="s">
        <v>34</v>
      </c>
      <c r="H578" s="14">
        <v>43001</v>
      </c>
      <c r="I578" s="14">
        <v>78598</v>
      </c>
      <c r="J578" s="14" t="s">
        <v>117</v>
      </c>
      <c r="K578" s="14" t="str">
        <f>A578&amp;B578&amp;C578&amp;D578&amp;E578&amp;F578&amp;G578&amp;H578&amp;I578&amp;J578&amp;[1]Sheet1!$G$5</f>
        <v>E0577Fahim JahanMaleEngineeringJunior Software EngineerContractSylhet4300178598E0756Sylhet</v>
      </c>
      <c r="L578" s="14">
        <f t="shared" si="24"/>
        <v>136611</v>
      </c>
      <c r="M578" s="14">
        <f ca="1" t="shared" si="25"/>
        <v>8</v>
      </c>
      <c r="N578" s="15" t="str">
        <f ca="1" t="shared" si="26"/>
        <v>Experienced</v>
      </c>
    </row>
    <row r="579" spans="1:14">
      <c r="A579" s="16" t="s">
        <v>1157</v>
      </c>
      <c r="B579" s="17" t="s">
        <v>492</v>
      </c>
      <c r="C579" s="17" t="s">
        <v>19</v>
      </c>
      <c r="D579" s="17" t="s">
        <v>20</v>
      </c>
      <c r="E579" s="17" t="s">
        <v>21</v>
      </c>
      <c r="F579" s="17" t="s">
        <v>15</v>
      </c>
      <c r="G579" s="17" t="s">
        <v>16</v>
      </c>
      <c r="H579" s="17">
        <v>43034</v>
      </c>
      <c r="I579" s="17">
        <v>101482</v>
      </c>
      <c r="J579" s="17" t="s">
        <v>341</v>
      </c>
      <c r="K579" s="17" t="str">
        <f>A579&amp;B579&amp;C579&amp;D579&amp;E579&amp;F579&amp;G579&amp;H579&amp;I579&amp;J579&amp;[1]Sheet1!$G$5</f>
        <v>E0578Ovi MorshedMaleCustomer SuccessSupport SpecialistFull-timeKhulna43034101482E0828Sylhet</v>
      </c>
      <c r="L579" s="17">
        <f t="shared" ref="L579:L642" si="27">MEDIAN(I579:I1578)</f>
        <v>136774</v>
      </c>
      <c r="M579" s="17">
        <f ca="1" t="shared" ref="M579:M642" si="28">DATEDIF(H579,TODAY(),"Y")</f>
        <v>8</v>
      </c>
      <c r="N579" s="18" t="str">
        <f ca="1" t="shared" ref="N579:N642" si="29">IF(M579&lt;=2,"New",IF(M579&lt;=5,"Mid level",IF(M579&lt;=10,"Experienced","Long term")))</f>
        <v>Experienced</v>
      </c>
    </row>
    <row r="580" spans="1:14">
      <c r="A580" s="13" t="s">
        <v>1158</v>
      </c>
      <c r="B580" s="14" t="s">
        <v>603</v>
      </c>
      <c r="C580" s="14" t="s">
        <v>19</v>
      </c>
      <c r="D580" s="14" t="s">
        <v>92</v>
      </c>
      <c r="E580" s="14" t="s">
        <v>93</v>
      </c>
      <c r="F580" s="14" t="s">
        <v>48</v>
      </c>
      <c r="G580" s="14" t="s">
        <v>40</v>
      </c>
      <c r="H580" s="14">
        <v>43110</v>
      </c>
      <c r="I580" s="14">
        <v>75797</v>
      </c>
      <c r="J580" s="14" t="s">
        <v>583</v>
      </c>
      <c r="K580" s="14" t="str">
        <f>A580&amp;B580&amp;C580&amp;D580&amp;E580&amp;F580&amp;G580&amp;H580&amp;I580&amp;J580&amp;[1]Sheet1!$G$5</f>
        <v>E0579Shawon SarkerMaleMarketingGrowth MarketerContractDhaka4311075797E0226Sylhet</v>
      </c>
      <c r="L580" s="14">
        <f t="shared" si="27"/>
        <v>137427</v>
      </c>
      <c r="M580" s="14">
        <f ca="1" t="shared" si="28"/>
        <v>8</v>
      </c>
      <c r="N580" s="15" t="str">
        <f ca="1" t="shared" si="29"/>
        <v>Experienced</v>
      </c>
    </row>
    <row r="581" spans="1:14">
      <c r="A581" s="16" t="s">
        <v>215</v>
      </c>
      <c r="B581" s="17" t="s">
        <v>1159</v>
      </c>
      <c r="C581" s="17" t="s">
        <v>12</v>
      </c>
      <c r="D581" s="17" t="s">
        <v>87</v>
      </c>
      <c r="E581" s="17" t="s">
        <v>156</v>
      </c>
      <c r="F581" s="17" t="s">
        <v>15</v>
      </c>
      <c r="G581" s="17" t="s">
        <v>28</v>
      </c>
      <c r="H581" s="17">
        <v>45775</v>
      </c>
      <c r="I581" s="17">
        <v>243494</v>
      </c>
      <c r="J581" s="17" t="s">
        <v>115</v>
      </c>
      <c r="K581" s="17" t="str">
        <f>A581&amp;B581&amp;C581&amp;D581&amp;E581&amp;F581&amp;G581&amp;H581&amp;I581&amp;J581&amp;[1]Sheet1!$G$5</f>
        <v>E0580Sadia KhanFemaleProductAssociate Product ManagerFull-timeRemote45775243494E0025Sylhet</v>
      </c>
      <c r="L581" s="17">
        <f t="shared" si="27"/>
        <v>138080</v>
      </c>
      <c r="M581" s="17">
        <f ca="1" t="shared" si="28"/>
        <v>0</v>
      </c>
      <c r="N581" s="18" t="str">
        <f ca="1" t="shared" si="29"/>
        <v>New</v>
      </c>
    </row>
    <row r="582" spans="1:14">
      <c r="A582" s="13" t="s">
        <v>1160</v>
      </c>
      <c r="B582" s="14" t="s">
        <v>603</v>
      </c>
      <c r="C582" s="14" t="s">
        <v>19</v>
      </c>
      <c r="D582" s="14" t="s">
        <v>13</v>
      </c>
      <c r="E582" s="14" t="s">
        <v>14</v>
      </c>
      <c r="F582" s="14" t="s">
        <v>15</v>
      </c>
      <c r="G582" s="14" t="s">
        <v>40</v>
      </c>
      <c r="H582" s="14">
        <v>45207</v>
      </c>
      <c r="I582" s="14">
        <v>86634</v>
      </c>
      <c r="J582" s="14" t="s">
        <v>102</v>
      </c>
      <c r="K582" s="14" t="str">
        <f>A582&amp;B582&amp;C582&amp;D582&amp;E582&amp;F582&amp;G582&amp;H582&amp;I582&amp;J582&amp;[1]Sheet1!$G$5</f>
        <v>E0581Shawon SarkerMaleSalesSales AssociateFull-timeDhaka4520786634E0777Sylhet</v>
      </c>
      <c r="L582" s="14">
        <f t="shared" si="27"/>
        <v>137427</v>
      </c>
      <c r="M582" s="14">
        <f ca="1" t="shared" si="28"/>
        <v>2</v>
      </c>
      <c r="N582" s="15" t="str">
        <f ca="1" t="shared" si="29"/>
        <v>New</v>
      </c>
    </row>
    <row r="583" spans="1:14">
      <c r="A583" s="16" t="s">
        <v>1161</v>
      </c>
      <c r="B583" s="17" t="s">
        <v>1162</v>
      </c>
      <c r="C583" s="17" t="s">
        <v>12</v>
      </c>
      <c r="D583" s="17" t="s">
        <v>20</v>
      </c>
      <c r="E583" s="17" t="s">
        <v>21</v>
      </c>
      <c r="F583" s="17" t="s">
        <v>15</v>
      </c>
      <c r="G583" s="17" t="s">
        <v>28</v>
      </c>
      <c r="H583" s="17">
        <v>45528</v>
      </c>
      <c r="I583" s="17">
        <v>72541</v>
      </c>
      <c r="J583" s="17" t="s">
        <v>601</v>
      </c>
      <c r="K583" s="17" t="str">
        <f>A583&amp;B583&amp;C583&amp;D583&amp;E583&amp;F583&amp;G583&amp;H583&amp;I583&amp;J583&amp;[1]Sheet1!$G$5</f>
        <v>E0582Tania SarkerFemaleCustomer SuccessSupport SpecialistFull-timeRemote4552872541E0543Sylhet</v>
      </c>
      <c r="L583" s="17">
        <f t="shared" si="27"/>
        <v>138080</v>
      </c>
      <c r="M583" s="17">
        <f ca="1" t="shared" si="28"/>
        <v>1</v>
      </c>
      <c r="N583" s="18" t="str">
        <f ca="1" t="shared" si="29"/>
        <v>New</v>
      </c>
    </row>
    <row r="584" spans="1:14">
      <c r="A584" s="13" t="s">
        <v>1163</v>
      </c>
      <c r="B584" s="14" t="s">
        <v>1155</v>
      </c>
      <c r="C584" s="14" t="s">
        <v>12</v>
      </c>
      <c r="D584" s="14" t="s">
        <v>92</v>
      </c>
      <c r="E584" s="14" t="s">
        <v>93</v>
      </c>
      <c r="F584" s="14" t="s">
        <v>15</v>
      </c>
      <c r="G584" s="14" t="s">
        <v>34</v>
      </c>
      <c r="H584" s="14">
        <v>44928</v>
      </c>
      <c r="I584" s="14">
        <v>156742</v>
      </c>
      <c r="J584" s="14" t="s">
        <v>108</v>
      </c>
      <c r="K584" s="14" t="str">
        <f>A584&amp;B584&amp;C584&amp;D584&amp;E584&amp;F584&amp;G584&amp;H584&amp;I584&amp;J584&amp;[1]Sheet1!$G$5</f>
        <v>E0583Shawon KabirFemaleMarketingGrowth MarketerFull-timeSylhet44928156742E0190Sylhet</v>
      </c>
      <c r="L584" s="14">
        <f t="shared" si="27"/>
        <v>138091</v>
      </c>
      <c r="M584" s="14">
        <f ca="1" t="shared" si="28"/>
        <v>3</v>
      </c>
      <c r="N584" s="15" t="str">
        <f ca="1" t="shared" si="29"/>
        <v>Mid level</v>
      </c>
    </row>
    <row r="585" spans="1:14">
      <c r="A585" s="16" t="s">
        <v>1164</v>
      </c>
      <c r="B585" s="17" t="s">
        <v>1165</v>
      </c>
      <c r="C585" s="17" t="s">
        <v>19</v>
      </c>
      <c r="D585" s="17" t="s">
        <v>13</v>
      </c>
      <c r="E585" s="17" t="s">
        <v>165</v>
      </c>
      <c r="F585" s="17" t="s">
        <v>15</v>
      </c>
      <c r="G585" s="17" t="s">
        <v>16</v>
      </c>
      <c r="H585" s="17">
        <v>45683</v>
      </c>
      <c r="I585" s="17">
        <v>155431</v>
      </c>
      <c r="J585" s="17" t="s">
        <v>512</v>
      </c>
      <c r="K585" s="17" t="str">
        <f>A585&amp;B585&amp;C585&amp;D585&amp;E585&amp;F585&amp;G585&amp;H585&amp;I585&amp;J585&amp;[1]Sheet1!$G$5</f>
        <v>E0584Noman HasanMaleSalesAccount ExecutiveFull-timeKhulna45683155431E0719Sylhet</v>
      </c>
      <c r="L585" s="17">
        <f t="shared" si="27"/>
        <v>138080</v>
      </c>
      <c r="M585" s="17">
        <f ca="1" t="shared" si="28"/>
        <v>1</v>
      </c>
      <c r="N585" s="18" t="str">
        <f ca="1" t="shared" si="29"/>
        <v>New</v>
      </c>
    </row>
    <row r="586" spans="1:14">
      <c r="A586" s="13" t="s">
        <v>386</v>
      </c>
      <c r="B586" s="14" t="s">
        <v>1166</v>
      </c>
      <c r="C586" s="14" t="s">
        <v>12</v>
      </c>
      <c r="D586" s="14" t="s">
        <v>32</v>
      </c>
      <c r="E586" s="14" t="s">
        <v>208</v>
      </c>
      <c r="F586" s="14" t="s">
        <v>15</v>
      </c>
      <c r="G586" s="14" t="s">
        <v>62</v>
      </c>
      <c r="H586" s="14">
        <v>43048</v>
      </c>
      <c r="I586" s="14">
        <v>205608</v>
      </c>
      <c r="J586" s="14" t="s">
        <v>1036</v>
      </c>
      <c r="K586" s="14" t="str">
        <f>A586&amp;B586&amp;C586&amp;D586&amp;E586&amp;F586&amp;G586&amp;H586&amp;I586&amp;J586&amp;[1]Sheet1!$G$5</f>
        <v>E0585Mitu MorshedFemaleHRHR ManagerFull-timeChattogram43048205608E0997Sylhet</v>
      </c>
      <c r="L586" s="14">
        <f t="shared" si="27"/>
        <v>137427</v>
      </c>
      <c r="M586" s="14">
        <f ca="1" t="shared" si="28"/>
        <v>8</v>
      </c>
      <c r="N586" s="15" t="str">
        <f ca="1" t="shared" si="29"/>
        <v>Experienced</v>
      </c>
    </row>
    <row r="587" spans="1:14">
      <c r="A587" s="16" t="s">
        <v>1167</v>
      </c>
      <c r="B587" s="17" t="s">
        <v>1168</v>
      </c>
      <c r="C587" s="17" t="s">
        <v>19</v>
      </c>
      <c r="D587" s="17" t="s">
        <v>87</v>
      </c>
      <c r="E587" s="17" t="s">
        <v>88</v>
      </c>
      <c r="F587" s="17" t="s">
        <v>15</v>
      </c>
      <c r="G587" s="17" t="s">
        <v>34</v>
      </c>
      <c r="H587" s="17">
        <v>45323</v>
      </c>
      <c r="I587" s="17">
        <v>157460</v>
      </c>
      <c r="J587" s="17" t="s">
        <v>105</v>
      </c>
      <c r="K587" s="17" t="str">
        <f>A587&amp;B587&amp;C587&amp;D587&amp;E587&amp;F587&amp;G587&amp;H587&amp;I587&amp;J587&amp;[1]Sheet1!$G$5</f>
        <v>E0586Nadia HossainMaleProductProduct AnalystFull-timeSylhet45323157460E0665Sylhet</v>
      </c>
      <c r="L587" s="17">
        <f t="shared" si="27"/>
        <v>136774</v>
      </c>
      <c r="M587" s="17">
        <f ca="1" t="shared" si="28"/>
        <v>2</v>
      </c>
      <c r="N587" s="18" t="str">
        <f ca="1" t="shared" si="29"/>
        <v>New</v>
      </c>
    </row>
    <row r="588" spans="1:14">
      <c r="A588" s="13" t="s">
        <v>1169</v>
      </c>
      <c r="B588" s="14" t="s">
        <v>656</v>
      </c>
      <c r="C588" s="14" t="s">
        <v>19</v>
      </c>
      <c r="D588" s="14" t="s">
        <v>38</v>
      </c>
      <c r="E588" s="14" t="s">
        <v>44</v>
      </c>
      <c r="F588" s="14" t="s">
        <v>15</v>
      </c>
      <c r="G588" s="14" t="s">
        <v>94</v>
      </c>
      <c r="H588" s="14">
        <v>44162</v>
      </c>
      <c r="I588" s="14">
        <v>144619</v>
      </c>
      <c r="J588" s="14" t="s">
        <v>237</v>
      </c>
      <c r="K588" s="14" t="str">
        <f>A588&amp;B588&amp;C588&amp;D588&amp;E588&amp;F588&amp;G588&amp;H588&amp;I588&amp;J588&amp;[1]Sheet1!$G$5</f>
        <v>E0587Jannat ParvinMaleEngineeringQA EngineerFull-timeRajshahi44162144619E0782Sylhet</v>
      </c>
      <c r="L588" s="14">
        <f t="shared" si="27"/>
        <v>136611</v>
      </c>
      <c r="M588" s="14">
        <f ca="1" t="shared" si="28"/>
        <v>5</v>
      </c>
      <c r="N588" s="15" t="str">
        <f ca="1" t="shared" si="29"/>
        <v>Mid level</v>
      </c>
    </row>
    <row r="589" spans="1:14">
      <c r="A589" s="16" t="s">
        <v>1170</v>
      </c>
      <c r="B589" s="17" t="s">
        <v>1171</v>
      </c>
      <c r="C589" s="17" t="s">
        <v>12</v>
      </c>
      <c r="D589" s="17" t="s">
        <v>38</v>
      </c>
      <c r="E589" s="17" t="s">
        <v>66</v>
      </c>
      <c r="F589" s="17" t="s">
        <v>15</v>
      </c>
      <c r="G589" s="17" t="s">
        <v>62</v>
      </c>
      <c r="H589" s="17">
        <v>42548</v>
      </c>
      <c r="I589" s="17">
        <v>182892</v>
      </c>
      <c r="J589" s="17" t="s">
        <v>601</v>
      </c>
      <c r="K589" s="17" t="str">
        <f>A589&amp;B589&amp;C589&amp;D589&amp;E589&amp;F589&amp;G589&amp;H589&amp;I589&amp;J589&amp;[1]Sheet1!$G$5</f>
        <v>E0588Jannat RahmanFemaleEngineeringSoftware EngineerFull-timeChattogram42548182892E0543Sylhet</v>
      </c>
      <c r="L589" s="17">
        <f t="shared" si="27"/>
        <v>136448</v>
      </c>
      <c r="M589" s="17">
        <f ca="1" t="shared" si="28"/>
        <v>9</v>
      </c>
      <c r="N589" s="18" t="str">
        <f ca="1" t="shared" si="29"/>
        <v>Experienced</v>
      </c>
    </row>
    <row r="590" spans="1:14">
      <c r="A590" s="13" t="s">
        <v>1172</v>
      </c>
      <c r="B590" s="14" t="s">
        <v>1173</v>
      </c>
      <c r="C590" s="14" t="s">
        <v>19</v>
      </c>
      <c r="D590" s="14" t="s">
        <v>38</v>
      </c>
      <c r="E590" s="14" t="s">
        <v>66</v>
      </c>
      <c r="F590" s="14" t="s">
        <v>15</v>
      </c>
      <c r="G590" s="14" t="s">
        <v>62</v>
      </c>
      <c r="H590" s="14">
        <v>44052</v>
      </c>
      <c r="I590" s="14">
        <v>171884</v>
      </c>
      <c r="J590" s="14" t="s">
        <v>579</v>
      </c>
      <c r="K590" s="14" t="str">
        <f>A590&amp;B590&amp;C590&amp;D590&amp;E590&amp;F590&amp;G590&amp;H590&amp;I590&amp;J590&amp;[1]Sheet1!$G$5</f>
        <v>E0589Tamanna KabirMaleEngineeringSoftware EngineerFull-timeChattogram44052171884E0488Sylhet</v>
      </c>
      <c r="L590" s="14">
        <f t="shared" si="27"/>
        <v>136217</v>
      </c>
      <c r="M590" s="14">
        <f ca="1" t="shared" si="28"/>
        <v>5</v>
      </c>
      <c r="N590" s="15" t="str">
        <f ca="1" t="shared" si="29"/>
        <v>Mid level</v>
      </c>
    </row>
    <row r="591" spans="1:14">
      <c r="A591" s="16" t="s">
        <v>1174</v>
      </c>
      <c r="B591" s="17" t="s">
        <v>1175</v>
      </c>
      <c r="C591" s="17" t="s">
        <v>19</v>
      </c>
      <c r="D591" s="17" t="s">
        <v>38</v>
      </c>
      <c r="E591" s="17" t="s">
        <v>44</v>
      </c>
      <c r="F591" s="17" t="s">
        <v>15</v>
      </c>
      <c r="G591" s="17" t="s">
        <v>16</v>
      </c>
      <c r="H591" s="17">
        <v>43862</v>
      </c>
      <c r="I591" s="17">
        <v>85557</v>
      </c>
      <c r="J591" s="17" t="s">
        <v>467</v>
      </c>
      <c r="K591" s="17" t="str">
        <f>A591&amp;B591&amp;C591&amp;D591&amp;E591&amp;F591&amp;G591&amp;H591&amp;I591&amp;J591&amp;[1]Sheet1!$G$5</f>
        <v>E0590Shafiq HasanMaleEngineeringQA EngineerFull-timeKhulna4386285557E0181Sylhet</v>
      </c>
      <c r="L591" s="17">
        <f t="shared" si="27"/>
        <v>135986</v>
      </c>
      <c r="M591" s="17">
        <f ca="1" t="shared" si="28"/>
        <v>6</v>
      </c>
      <c r="N591" s="18" t="str">
        <f ca="1" t="shared" si="29"/>
        <v>Experienced</v>
      </c>
    </row>
    <row r="592" spans="1:14">
      <c r="A592" s="13" t="s">
        <v>1176</v>
      </c>
      <c r="B592" s="14" t="s">
        <v>666</v>
      </c>
      <c r="C592" s="14" t="s">
        <v>12</v>
      </c>
      <c r="D592" s="14" t="s">
        <v>38</v>
      </c>
      <c r="E592" s="14" t="s">
        <v>44</v>
      </c>
      <c r="F592" s="14" t="s">
        <v>48</v>
      </c>
      <c r="G592" s="14" t="s">
        <v>16</v>
      </c>
      <c r="H592" s="14">
        <v>45140</v>
      </c>
      <c r="I592" s="14">
        <v>125670</v>
      </c>
      <c r="J592" s="14" t="s">
        <v>202</v>
      </c>
      <c r="K592" s="14" t="str">
        <f>A592&amp;B592&amp;C592&amp;D592&amp;E592&amp;F592&amp;G592&amp;H592&amp;I592&amp;J592&amp;[1]Sheet1!$G$5</f>
        <v>E0591Zahid SultanaFemaleEngineeringQA EngineerContractKhulna45140125670E0053Sylhet</v>
      </c>
      <c r="L592" s="14">
        <f t="shared" si="27"/>
        <v>136217</v>
      </c>
      <c r="M592" s="14">
        <f ca="1" t="shared" si="28"/>
        <v>2</v>
      </c>
      <c r="N592" s="15" t="str">
        <f ca="1" t="shared" si="29"/>
        <v>New</v>
      </c>
    </row>
    <row r="593" spans="1:14">
      <c r="A593" s="16" t="s">
        <v>190</v>
      </c>
      <c r="B593" s="17" t="s">
        <v>446</v>
      </c>
      <c r="C593" s="17" t="s">
        <v>19</v>
      </c>
      <c r="D593" s="17" t="s">
        <v>32</v>
      </c>
      <c r="E593" s="17" t="s">
        <v>208</v>
      </c>
      <c r="F593" s="17" t="s">
        <v>15</v>
      </c>
      <c r="G593" s="17" t="s">
        <v>16</v>
      </c>
      <c r="H593" s="17">
        <v>45317</v>
      </c>
      <c r="I593" s="17">
        <v>159972</v>
      </c>
      <c r="J593" s="17" t="s">
        <v>309</v>
      </c>
      <c r="K593" s="17" t="str">
        <f>A593&amp;B593&amp;C593&amp;D593&amp;E593&amp;F593&amp;G593&amp;H593&amp;I593&amp;J593&amp;[1]Sheet1!$G$5</f>
        <v>E0592Rafi ChowdhuryMaleHRHR ManagerFull-timeKhulna45317159972E0197Sylhet</v>
      </c>
      <c r="L593" s="17">
        <f t="shared" si="27"/>
        <v>136448</v>
      </c>
      <c r="M593" s="17">
        <f ca="1" t="shared" si="28"/>
        <v>2</v>
      </c>
      <c r="N593" s="18" t="str">
        <f ca="1" t="shared" si="29"/>
        <v>New</v>
      </c>
    </row>
    <row r="594" spans="1:14">
      <c r="A594" s="13" t="s">
        <v>1177</v>
      </c>
      <c r="B594" s="14" t="s">
        <v>593</v>
      </c>
      <c r="C594" s="14" t="s">
        <v>19</v>
      </c>
      <c r="D594" s="14" t="s">
        <v>38</v>
      </c>
      <c r="E594" s="14" t="s">
        <v>77</v>
      </c>
      <c r="F594" s="14" t="s">
        <v>15</v>
      </c>
      <c r="G594" s="14" t="s">
        <v>28</v>
      </c>
      <c r="H594" s="14">
        <v>43342</v>
      </c>
      <c r="I594" s="14">
        <v>141698</v>
      </c>
      <c r="J594" s="14" t="s">
        <v>573</v>
      </c>
      <c r="K594" s="14" t="str">
        <f>A594&amp;B594&amp;C594&amp;D594&amp;E594&amp;F594&amp;G594&amp;H594&amp;I594&amp;J594&amp;[1]Sheet1!$G$5</f>
        <v>E0593Mitu UddinMaleEngineeringJunior Software EngineerFull-timeRemote43342141698E0221Sylhet</v>
      </c>
      <c r="L594" s="14">
        <f t="shared" si="27"/>
        <v>136217</v>
      </c>
      <c r="M594" s="14">
        <f ca="1" t="shared" si="28"/>
        <v>7</v>
      </c>
      <c r="N594" s="15" t="str">
        <f ca="1" t="shared" si="29"/>
        <v>Experienced</v>
      </c>
    </row>
    <row r="595" spans="1:14">
      <c r="A595" s="16" t="s">
        <v>1178</v>
      </c>
      <c r="B595" s="17" t="s">
        <v>481</v>
      </c>
      <c r="C595" s="17" t="s">
        <v>12</v>
      </c>
      <c r="D595" s="17" t="s">
        <v>13</v>
      </c>
      <c r="E595" s="17" t="s">
        <v>14</v>
      </c>
      <c r="F595" s="17" t="s">
        <v>15</v>
      </c>
      <c r="G595" s="17" t="s">
        <v>16</v>
      </c>
      <c r="H595" s="17">
        <v>44189</v>
      </c>
      <c r="I595" s="17">
        <v>149831</v>
      </c>
      <c r="J595" s="17" t="s">
        <v>758</v>
      </c>
      <c r="K595" s="17" t="str">
        <f>A595&amp;B595&amp;C595&amp;D595&amp;E595&amp;F595&amp;G595&amp;H595&amp;I595&amp;J595&amp;[1]Sheet1!$G$5</f>
        <v>E0594Shafiq AkterFemaleSalesSales AssociateFull-timeKhulna44189149831E0323Sylhet</v>
      </c>
      <c r="L595" s="17">
        <f t="shared" si="27"/>
        <v>135986</v>
      </c>
      <c r="M595" s="17">
        <f ca="1" t="shared" si="28"/>
        <v>5</v>
      </c>
      <c r="N595" s="18" t="str">
        <f ca="1" t="shared" si="29"/>
        <v>Mid level</v>
      </c>
    </row>
    <row r="596" spans="1:14">
      <c r="A596" s="13" t="s">
        <v>499</v>
      </c>
      <c r="B596" s="14" t="s">
        <v>415</v>
      </c>
      <c r="C596" s="14" t="s">
        <v>19</v>
      </c>
      <c r="D596" s="14" t="s">
        <v>52</v>
      </c>
      <c r="E596" s="14" t="s">
        <v>53</v>
      </c>
      <c r="F596" s="14" t="s">
        <v>15</v>
      </c>
      <c r="G596" s="14" t="s">
        <v>94</v>
      </c>
      <c r="H596" s="14">
        <v>44870</v>
      </c>
      <c r="I596" s="14">
        <v>186586</v>
      </c>
      <c r="J596" s="14"/>
      <c r="K596" s="14" t="str">
        <f>A596&amp;B596&amp;C596&amp;D596&amp;E596&amp;F596&amp;G596&amp;H596&amp;I596&amp;J596&amp;[1]Sheet1!$G$5</f>
        <v>E0595Shawon HasanMaleOperationsOperations ManagerFull-timeRajshahi44870186586Sylhet</v>
      </c>
      <c r="L596" s="14">
        <f t="shared" si="27"/>
        <v>135845.5</v>
      </c>
      <c r="M596" s="14">
        <f ca="1" t="shared" si="28"/>
        <v>3</v>
      </c>
      <c r="N596" s="15" t="str">
        <f ca="1" t="shared" si="29"/>
        <v>Mid level</v>
      </c>
    </row>
    <row r="597" spans="1:14">
      <c r="A597" s="16" t="s">
        <v>1179</v>
      </c>
      <c r="B597" s="17" t="s">
        <v>1133</v>
      </c>
      <c r="C597" s="17" t="s">
        <v>12</v>
      </c>
      <c r="D597" s="17" t="s">
        <v>92</v>
      </c>
      <c r="E597" s="17" t="s">
        <v>93</v>
      </c>
      <c r="F597" s="17" t="s">
        <v>48</v>
      </c>
      <c r="G597" s="17" t="s">
        <v>40</v>
      </c>
      <c r="H597" s="17">
        <v>43537</v>
      </c>
      <c r="I597" s="17">
        <v>69151</v>
      </c>
      <c r="J597" s="17" t="s">
        <v>134</v>
      </c>
      <c r="K597" s="17" t="str">
        <f>A597&amp;B597&amp;C597&amp;D597&amp;E597&amp;F597&amp;G597&amp;H597&amp;I597&amp;J597&amp;[1]Sheet1!$G$5</f>
        <v>E0596Nafiz UddinFemaleMarketingGrowth MarketerContractDhaka4353769151E0630Sylhet</v>
      </c>
      <c r="L597" s="17">
        <f t="shared" si="27"/>
        <v>135705</v>
      </c>
      <c r="M597" s="17">
        <f ca="1" t="shared" si="28"/>
        <v>7</v>
      </c>
      <c r="N597" s="18" t="str">
        <f ca="1" t="shared" si="29"/>
        <v>Experienced</v>
      </c>
    </row>
    <row r="598" spans="1:14">
      <c r="A598" s="13" t="s">
        <v>1180</v>
      </c>
      <c r="B598" s="14" t="s">
        <v>820</v>
      </c>
      <c r="C598" s="14" t="s">
        <v>12</v>
      </c>
      <c r="D598" s="14" t="s">
        <v>32</v>
      </c>
      <c r="E598" s="14" t="s">
        <v>57</v>
      </c>
      <c r="F598" s="14" t="s">
        <v>48</v>
      </c>
      <c r="G598" s="14" t="s">
        <v>62</v>
      </c>
      <c r="H598" s="14">
        <v>45451</v>
      </c>
      <c r="I598" s="14">
        <v>104195</v>
      </c>
      <c r="J598" s="14" t="s">
        <v>621</v>
      </c>
      <c r="K598" s="14" t="str">
        <f>A598&amp;B598&amp;C598&amp;D598&amp;E598&amp;F598&amp;G598&amp;H598&amp;I598&amp;J598&amp;[1]Sheet1!$G$5</f>
        <v>E0597Imran HasanFemaleHRHR AssociateContractChattogram45451104195E0852Sylhet</v>
      </c>
      <c r="L598" s="14">
        <f t="shared" si="27"/>
        <v>135845.5</v>
      </c>
      <c r="M598" s="14">
        <f ca="1" t="shared" si="28"/>
        <v>1</v>
      </c>
      <c r="N598" s="15" t="str">
        <f ca="1" t="shared" si="29"/>
        <v>New</v>
      </c>
    </row>
    <row r="599" spans="1:14">
      <c r="A599" s="16" t="s">
        <v>1181</v>
      </c>
      <c r="B599" s="17" t="s">
        <v>705</v>
      </c>
      <c r="C599" s="17" t="s">
        <v>19</v>
      </c>
      <c r="D599" s="17" t="s">
        <v>38</v>
      </c>
      <c r="E599" s="17" t="s">
        <v>77</v>
      </c>
      <c r="F599" s="17" t="s">
        <v>15</v>
      </c>
      <c r="G599" s="17" t="s">
        <v>94</v>
      </c>
      <c r="H599" s="17">
        <v>45436</v>
      </c>
      <c r="I599" s="17">
        <v>157968</v>
      </c>
      <c r="J599" s="17" t="s">
        <v>179</v>
      </c>
      <c r="K599" s="17" t="str">
        <f>A599&amp;B599&amp;C599&amp;D599&amp;E599&amp;F599&amp;G599&amp;H599&amp;I599&amp;J599&amp;[1]Sheet1!$G$5</f>
        <v>E0598Shawon IslamMaleEngineeringJunior Software EngineerFull-timeRajshahi45436157968E0045Sylhet</v>
      </c>
      <c r="L599" s="17">
        <f t="shared" si="27"/>
        <v>135986</v>
      </c>
      <c r="M599" s="17">
        <f ca="1" t="shared" si="28"/>
        <v>1</v>
      </c>
      <c r="N599" s="18" t="str">
        <f ca="1" t="shared" si="29"/>
        <v>New</v>
      </c>
    </row>
    <row r="600" spans="1:14">
      <c r="A600" s="13" t="s">
        <v>1182</v>
      </c>
      <c r="B600" s="14" t="s">
        <v>664</v>
      </c>
      <c r="C600" s="14" t="s">
        <v>19</v>
      </c>
      <c r="D600" s="14" t="s">
        <v>38</v>
      </c>
      <c r="E600" s="14" t="s">
        <v>77</v>
      </c>
      <c r="F600" s="14" t="s">
        <v>15</v>
      </c>
      <c r="G600" s="14" t="s">
        <v>40</v>
      </c>
      <c r="H600" s="14">
        <v>45580</v>
      </c>
      <c r="I600" s="14">
        <v>198433</v>
      </c>
      <c r="J600" s="14" t="s">
        <v>175</v>
      </c>
      <c r="K600" s="14" t="str">
        <f>A600&amp;B600&amp;C600&amp;D600&amp;E600&amp;F600&amp;G600&amp;H600&amp;I600&amp;J600&amp;[1]Sheet1!$G$5</f>
        <v>E0599Rahim SharminMaleEngineeringJunior Software EngineerFull-timeDhaka45580198433E0736Sylhet</v>
      </c>
      <c r="L600" s="14">
        <f t="shared" si="27"/>
        <v>135845.5</v>
      </c>
      <c r="M600" s="14">
        <f ca="1" t="shared" si="28"/>
        <v>1</v>
      </c>
      <c r="N600" s="15" t="str">
        <f ca="1" t="shared" si="29"/>
        <v>New</v>
      </c>
    </row>
    <row r="601" spans="1:14">
      <c r="A601" s="16" t="s">
        <v>1183</v>
      </c>
      <c r="B601" s="17" t="s">
        <v>1184</v>
      </c>
      <c r="C601" s="17" t="s">
        <v>12</v>
      </c>
      <c r="D601" s="17" t="s">
        <v>38</v>
      </c>
      <c r="E601" s="17" t="s">
        <v>39</v>
      </c>
      <c r="F601" s="17" t="s">
        <v>15</v>
      </c>
      <c r="G601" s="17" t="s">
        <v>28</v>
      </c>
      <c r="H601" s="17">
        <v>44208</v>
      </c>
      <c r="I601" s="17">
        <v>163236</v>
      </c>
      <c r="J601" s="17" t="s">
        <v>1077</v>
      </c>
      <c r="K601" s="17" t="str">
        <f>A601&amp;B601&amp;C601&amp;D601&amp;E601&amp;F601&amp;G601&amp;H601&amp;I601&amp;J601&amp;[1]Sheet1!$G$5</f>
        <v>E0600Sajid RahmanFemaleEngineeringDevOps EngineerFull-timeRemote44208163236E0640Sylhet</v>
      </c>
      <c r="L601" s="17">
        <f t="shared" si="27"/>
        <v>135705</v>
      </c>
      <c r="M601" s="17">
        <f ca="1" t="shared" si="28"/>
        <v>5</v>
      </c>
      <c r="N601" s="18" t="str">
        <f ca="1" t="shared" si="29"/>
        <v>Mid level</v>
      </c>
    </row>
    <row r="602" spans="1:14">
      <c r="A602" s="13" t="s">
        <v>1185</v>
      </c>
      <c r="B602" s="14" t="s">
        <v>242</v>
      </c>
      <c r="C602" s="14" t="s">
        <v>19</v>
      </c>
      <c r="D602" s="14" t="s">
        <v>38</v>
      </c>
      <c r="E602" s="14" t="s">
        <v>77</v>
      </c>
      <c r="F602" s="14" t="s">
        <v>48</v>
      </c>
      <c r="G602" s="14" t="s">
        <v>28</v>
      </c>
      <c r="H602" s="14">
        <v>43328</v>
      </c>
      <c r="I602" s="14">
        <v>148806</v>
      </c>
      <c r="J602" s="14" t="s">
        <v>341</v>
      </c>
      <c r="K602" s="14" t="str">
        <f>A602&amp;B602&amp;C602&amp;D602&amp;E602&amp;F602&amp;G602&amp;H602&amp;I602&amp;J602&amp;[1]Sheet1!$G$5</f>
        <v>E0601Imran IslamMaleEngineeringJunior Software EngineerContractRemote43328148806E0828Sylhet</v>
      </c>
      <c r="L602" s="14">
        <f t="shared" si="27"/>
        <v>135501</v>
      </c>
      <c r="M602" s="14">
        <f ca="1" t="shared" si="28"/>
        <v>7</v>
      </c>
      <c r="N602" s="15" t="str">
        <f ca="1" t="shared" si="29"/>
        <v>Experienced</v>
      </c>
    </row>
    <row r="603" spans="1:14">
      <c r="A603" s="16" t="s">
        <v>574</v>
      </c>
      <c r="B603" s="17" t="s">
        <v>80</v>
      </c>
      <c r="C603" s="17" t="s">
        <v>12</v>
      </c>
      <c r="D603" s="17" t="s">
        <v>87</v>
      </c>
      <c r="E603" s="17" t="s">
        <v>156</v>
      </c>
      <c r="F603" s="17" t="s">
        <v>48</v>
      </c>
      <c r="G603" s="17" t="s">
        <v>40</v>
      </c>
      <c r="H603" s="17">
        <v>44557</v>
      </c>
      <c r="I603" s="17">
        <v>175181</v>
      </c>
      <c r="J603" s="17"/>
      <c r="K603" s="17" t="str">
        <f>A603&amp;B603&amp;C603&amp;D603&amp;E603&amp;F603&amp;G603&amp;H603&amp;I603&amp;J603&amp;[1]Sheet1!$G$5</f>
        <v>E0602Tania AnjumFemaleProductAssociate Product ManagerContractDhaka44557175181Sylhet</v>
      </c>
      <c r="L603" s="17">
        <f t="shared" si="27"/>
        <v>135297</v>
      </c>
      <c r="M603" s="17">
        <f ca="1" t="shared" si="28"/>
        <v>4</v>
      </c>
      <c r="N603" s="18" t="str">
        <f ca="1" t="shared" si="29"/>
        <v>Mid level</v>
      </c>
    </row>
    <row r="604" spans="1:14">
      <c r="A604" s="13" t="s">
        <v>1186</v>
      </c>
      <c r="B604" s="14" t="s">
        <v>1187</v>
      </c>
      <c r="C604" s="14" t="s">
        <v>19</v>
      </c>
      <c r="D604" s="14" t="s">
        <v>38</v>
      </c>
      <c r="E604" s="14" t="s">
        <v>66</v>
      </c>
      <c r="F604" s="14" t="s">
        <v>15</v>
      </c>
      <c r="G604" s="14" t="s">
        <v>62</v>
      </c>
      <c r="H604" s="14">
        <v>43349</v>
      </c>
      <c r="I604" s="14">
        <v>153747</v>
      </c>
      <c r="J604" s="14" t="s">
        <v>286</v>
      </c>
      <c r="K604" s="14" t="str">
        <f>A604&amp;B604&amp;C604&amp;D604&amp;E604&amp;F604&amp;G604&amp;H604&amp;I604&amp;J604&amp;[1]Sheet1!$G$5</f>
        <v>E0603Rafi AkterMaleEngineeringSoftware EngineerFull-timeChattogram43349153747E0085Sylhet</v>
      </c>
      <c r="L604" s="14">
        <f t="shared" si="27"/>
        <v>135086</v>
      </c>
      <c r="M604" s="14">
        <f ca="1" t="shared" si="28"/>
        <v>7</v>
      </c>
      <c r="N604" s="15" t="str">
        <f ca="1" t="shared" si="29"/>
        <v>Experienced</v>
      </c>
    </row>
    <row r="605" spans="1:14">
      <c r="A605" s="16" t="s">
        <v>1188</v>
      </c>
      <c r="B605" s="17" t="s">
        <v>1065</v>
      </c>
      <c r="C605" s="17" t="s">
        <v>12</v>
      </c>
      <c r="D605" s="17" t="s">
        <v>38</v>
      </c>
      <c r="E605" s="17" t="s">
        <v>66</v>
      </c>
      <c r="F605" s="17" t="s">
        <v>15</v>
      </c>
      <c r="G605" s="17" t="s">
        <v>16</v>
      </c>
      <c r="H605" s="17">
        <v>43637</v>
      </c>
      <c r="I605" s="17">
        <v>170491</v>
      </c>
      <c r="J605" s="17" t="s">
        <v>776</v>
      </c>
      <c r="K605" s="17" t="str">
        <f>A605&amp;B605&amp;C605&amp;D605&amp;E605&amp;F605&amp;G605&amp;H605&amp;I605&amp;J605&amp;[1]Sheet1!$G$5</f>
        <v>E0604Farhan ChowdhuryFemaleEngineeringSoftware EngineerFull-timeKhulna43637170491E0334Sylhet</v>
      </c>
      <c r="L605" s="17">
        <f t="shared" si="27"/>
        <v>134875</v>
      </c>
      <c r="M605" s="17">
        <f ca="1" t="shared" si="28"/>
        <v>6</v>
      </c>
      <c r="N605" s="18" t="str">
        <f ca="1" t="shared" si="29"/>
        <v>Experienced</v>
      </c>
    </row>
    <row r="606" spans="1:14">
      <c r="A606" s="13" t="s">
        <v>1189</v>
      </c>
      <c r="B606" s="14" t="s">
        <v>161</v>
      </c>
      <c r="C606" s="14" t="s">
        <v>12</v>
      </c>
      <c r="D606" s="14" t="s">
        <v>38</v>
      </c>
      <c r="E606" s="14" t="s">
        <v>77</v>
      </c>
      <c r="F606" s="14" t="s">
        <v>48</v>
      </c>
      <c r="G606" s="14" t="s">
        <v>28</v>
      </c>
      <c r="H606" s="14">
        <v>45682</v>
      </c>
      <c r="I606" s="14">
        <v>177297</v>
      </c>
      <c r="J606" s="14" t="s">
        <v>725</v>
      </c>
      <c r="K606" s="14" t="str">
        <f>A606&amp;B606&amp;C606&amp;D606&amp;E606&amp;F606&amp;G606&amp;H606&amp;I606&amp;J606&amp;[1]Sheet1!$G$5</f>
        <v>E0605Sadia BiswasFemaleEngineeringJunior Software EngineerContractRemote45682177297E0801Sylhet</v>
      </c>
      <c r="L606" s="14">
        <f t="shared" si="27"/>
        <v>134858.5</v>
      </c>
      <c r="M606" s="14">
        <f ca="1" t="shared" si="28"/>
        <v>1</v>
      </c>
      <c r="N606" s="15" t="str">
        <f ca="1" t="shared" si="29"/>
        <v>New</v>
      </c>
    </row>
    <row r="607" spans="1:14">
      <c r="A607" s="16" t="s">
        <v>1190</v>
      </c>
      <c r="B607" s="17" t="s">
        <v>1191</v>
      </c>
      <c r="C607" s="17" t="s">
        <v>12</v>
      </c>
      <c r="D607" s="17" t="s">
        <v>13</v>
      </c>
      <c r="E607" s="17" t="s">
        <v>165</v>
      </c>
      <c r="F607" s="17" t="s">
        <v>15</v>
      </c>
      <c r="G607" s="17" t="s">
        <v>62</v>
      </c>
      <c r="H607" s="17">
        <v>45582</v>
      </c>
      <c r="I607" s="17">
        <v>64256</v>
      </c>
      <c r="J607" s="17" t="s">
        <v>206</v>
      </c>
      <c r="K607" s="17" t="str">
        <f>A607&amp;B607&amp;C607&amp;D607&amp;E607&amp;F607&amp;G607&amp;H607&amp;I607&amp;J607&amp;[1]Sheet1!$G$5</f>
        <v>E0606Nadia MorshedFemaleSalesAccount ExecutiveFull-timeChattogram4558264256E0055Sylhet</v>
      </c>
      <c r="L607" s="17">
        <f t="shared" si="27"/>
        <v>134842</v>
      </c>
      <c r="M607" s="17">
        <f ca="1" t="shared" si="28"/>
        <v>1</v>
      </c>
      <c r="N607" s="18" t="str">
        <f ca="1" t="shared" si="29"/>
        <v>New</v>
      </c>
    </row>
    <row r="608" spans="1:14">
      <c r="A608" s="13" t="s">
        <v>1192</v>
      </c>
      <c r="B608" s="14" t="s">
        <v>271</v>
      </c>
      <c r="C608" s="14" t="s">
        <v>19</v>
      </c>
      <c r="D608" s="14" t="s">
        <v>38</v>
      </c>
      <c r="E608" s="14" t="s">
        <v>77</v>
      </c>
      <c r="F608" s="14" t="s">
        <v>22</v>
      </c>
      <c r="G608" s="14" t="s">
        <v>34</v>
      </c>
      <c r="H608" s="14">
        <v>44291</v>
      </c>
      <c r="I608" s="14">
        <v>171159</v>
      </c>
      <c r="J608" s="14" t="s">
        <v>419</v>
      </c>
      <c r="K608" s="14" t="str">
        <f>A608&amp;B608&amp;C608&amp;D608&amp;E608&amp;F608&amp;G608&amp;H608&amp;I608&amp;J608&amp;[1]Sheet1!$G$5</f>
        <v>E0607Tasnim SultanaMaleEngineeringJunior Software EngineerInternSylhet44291171159E0144Sylhet</v>
      </c>
      <c r="L608" s="14">
        <f t="shared" si="27"/>
        <v>134858.5</v>
      </c>
      <c r="M608" s="14">
        <f ca="1" t="shared" si="28"/>
        <v>4</v>
      </c>
      <c r="N608" s="15" t="str">
        <f ca="1" t="shared" si="29"/>
        <v>Mid level</v>
      </c>
    </row>
    <row r="609" spans="1:14">
      <c r="A609" s="16" t="s">
        <v>1193</v>
      </c>
      <c r="B609" s="17" t="s">
        <v>717</v>
      </c>
      <c r="C609" s="17" t="s">
        <v>12</v>
      </c>
      <c r="D609" s="17" t="s">
        <v>13</v>
      </c>
      <c r="E609" s="17" t="s">
        <v>223</v>
      </c>
      <c r="F609" s="17" t="s">
        <v>15</v>
      </c>
      <c r="G609" s="17" t="s">
        <v>28</v>
      </c>
      <c r="H609" s="17">
        <v>45790</v>
      </c>
      <c r="I609" s="17">
        <v>202406</v>
      </c>
      <c r="J609" s="17" t="s">
        <v>621</v>
      </c>
      <c r="K609" s="17" t="str">
        <f>A609&amp;B609&amp;C609&amp;D609&amp;E609&amp;F609&amp;G609&amp;H609&amp;I609&amp;J609&amp;[1]Sheet1!$G$5</f>
        <v>E0608Sumaiya RanaFemaleSalesSenior Account ExecutiveFull-timeRemote45790202406E0852Sylhet</v>
      </c>
      <c r="L609" s="17">
        <f t="shared" si="27"/>
        <v>134842</v>
      </c>
      <c r="M609" s="17">
        <f ca="1" t="shared" si="28"/>
        <v>0</v>
      </c>
      <c r="N609" s="18" t="str">
        <f ca="1" t="shared" si="29"/>
        <v>New</v>
      </c>
    </row>
    <row r="610" spans="1:14">
      <c r="A610" s="13" t="s">
        <v>1194</v>
      </c>
      <c r="B610" s="14" t="s">
        <v>997</v>
      </c>
      <c r="C610" s="14" t="s">
        <v>19</v>
      </c>
      <c r="D610" s="14" t="s">
        <v>92</v>
      </c>
      <c r="E610" s="14" t="s">
        <v>189</v>
      </c>
      <c r="F610" s="14" t="s">
        <v>15</v>
      </c>
      <c r="G610" s="14" t="s">
        <v>16</v>
      </c>
      <c r="H610" s="14">
        <v>43164</v>
      </c>
      <c r="I610" s="14">
        <v>153772</v>
      </c>
      <c r="J610" s="14" t="s">
        <v>347</v>
      </c>
      <c r="K610" s="14" t="str">
        <f>A610&amp;B610&amp;C610&amp;D610&amp;E610&amp;F610&amp;G610&amp;H610&amp;I610&amp;J610&amp;[1]Sheet1!$G$5</f>
        <v>E0609Rashed HaiderMaleMarketingMarketing AssociateFull-timeKhulna43164153772E0500Sylhet</v>
      </c>
      <c r="L610" s="14">
        <f t="shared" si="27"/>
        <v>134588.5</v>
      </c>
      <c r="M610" s="14">
        <f ca="1" t="shared" si="28"/>
        <v>8</v>
      </c>
      <c r="N610" s="15" t="str">
        <f ca="1" t="shared" si="29"/>
        <v>Experienced</v>
      </c>
    </row>
    <row r="611" spans="1:14">
      <c r="A611" s="16" t="s">
        <v>1195</v>
      </c>
      <c r="B611" s="17" t="s">
        <v>1196</v>
      </c>
      <c r="C611" s="17" t="s">
        <v>19</v>
      </c>
      <c r="D611" s="17" t="s">
        <v>26</v>
      </c>
      <c r="E611" s="17" t="s">
        <v>61</v>
      </c>
      <c r="F611" s="17" t="s">
        <v>15</v>
      </c>
      <c r="G611" s="17" t="s">
        <v>62</v>
      </c>
      <c r="H611" s="17">
        <v>43876</v>
      </c>
      <c r="I611" s="17">
        <v>133813</v>
      </c>
      <c r="J611" s="17" t="s">
        <v>386</v>
      </c>
      <c r="K611" s="17" t="str">
        <f>A611&amp;B611&amp;C611&amp;D611&amp;E611&amp;F611&amp;G611&amp;H611&amp;I611&amp;J611&amp;[1]Sheet1!$G$5</f>
        <v>E0610Priya MorshedMaleFinanceFinancial AnalystFull-timeChattogram43876133813E0585Sylhet</v>
      </c>
      <c r="L611" s="17">
        <f t="shared" si="27"/>
        <v>134335</v>
      </c>
      <c r="M611" s="17">
        <f ca="1" t="shared" si="28"/>
        <v>6</v>
      </c>
      <c r="N611" s="18" t="str">
        <f ca="1" t="shared" si="29"/>
        <v>Experienced</v>
      </c>
    </row>
    <row r="612" spans="1:14">
      <c r="A612" s="13" t="s">
        <v>1197</v>
      </c>
      <c r="B612" s="14" t="s">
        <v>69</v>
      </c>
      <c r="C612" s="14" t="s">
        <v>12</v>
      </c>
      <c r="D612" s="14" t="s">
        <v>38</v>
      </c>
      <c r="E612" s="14" t="s">
        <v>39</v>
      </c>
      <c r="F612" s="14" t="s">
        <v>15</v>
      </c>
      <c r="G612" s="14" t="s">
        <v>16</v>
      </c>
      <c r="H612" s="14">
        <v>45148</v>
      </c>
      <c r="I612" s="14">
        <v>228212</v>
      </c>
      <c r="J612" s="14" t="s">
        <v>234</v>
      </c>
      <c r="K612" s="14" t="str">
        <f>A612&amp;B612&amp;C612&amp;D612&amp;E612&amp;F612&amp;G612&amp;H612&amp;I612&amp;J612&amp;[1]Sheet1!$G$5</f>
        <v>E0611Sumaiya ParvinFemaleEngineeringDevOps EngineerFull-timeKhulna45148228212E0797Sylhet</v>
      </c>
      <c r="L612" s="14">
        <f t="shared" si="27"/>
        <v>134588.5</v>
      </c>
      <c r="M612" s="14">
        <f ca="1" t="shared" si="28"/>
        <v>2</v>
      </c>
      <c r="N612" s="15" t="str">
        <f ca="1" t="shared" si="29"/>
        <v>New</v>
      </c>
    </row>
    <row r="613" spans="1:14">
      <c r="A613" s="16" t="s">
        <v>1198</v>
      </c>
      <c r="B613" s="17" t="s">
        <v>948</v>
      </c>
      <c r="C613" s="17" t="s">
        <v>19</v>
      </c>
      <c r="D613" s="17" t="s">
        <v>52</v>
      </c>
      <c r="E613" s="17" t="s">
        <v>120</v>
      </c>
      <c r="F613" s="17" t="s">
        <v>15</v>
      </c>
      <c r="G613" s="17" t="s">
        <v>94</v>
      </c>
      <c r="H613" s="17">
        <v>44706</v>
      </c>
      <c r="I613" s="17">
        <v>154087</v>
      </c>
      <c r="J613" s="17" t="s">
        <v>529</v>
      </c>
      <c r="K613" s="17" t="str">
        <f>A613&amp;B613&amp;C613&amp;D613&amp;E613&amp;F613&amp;G613&amp;H613&amp;I613&amp;J613&amp;[1]Sheet1!$G$5</f>
        <v>E0612Lamia AnjumMaleOperationsSupply Chain AnalystFull-timeRajshahi44706154087E0963Sylhet</v>
      </c>
      <c r="L613" s="17">
        <f t="shared" si="27"/>
        <v>134335</v>
      </c>
      <c r="M613" s="17">
        <f ca="1" t="shared" si="28"/>
        <v>3</v>
      </c>
      <c r="N613" s="18" t="str">
        <f ca="1" t="shared" si="29"/>
        <v>Mid level</v>
      </c>
    </row>
    <row r="614" spans="1:14">
      <c r="A614" s="13" t="s">
        <v>1199</v>
      </c>
      <c r="B614" s="14" t="s">
        <v>1168</v>
      </c>
      <c r="C614" s="14" t="s">
        <v>12</v>
      </c>
      <c r="D614" s="14" t="s">
        <v>32</v>
      </c>
      <c r="E614" s="14" t="s">
        <v>130</v>
      </c>
      <c r="F614" s="14" t="s">
        <v>15</v>
      </c>
      <c r="G614" s="14" t="s">
        <v>94</v>
      </c>
      <c r="H614" s="14">
        <v>44174</v>
      </c>
      <c r="I614" s="14">
        <v>99530</v>
      </c>
      <c r="J614" s="14" t="s">
        <v>243</v>
      </c>
      <c r="K614" s="14" t="str">
        <f>A614&amp;B614&amp;C614&amp;D614&amp;E614&amp;F614&amp;G614&amp;H614&amp;I614&amp;J614&amp;[1]Sheet1!$G$5</f>
        <v>E0613Nadia HossainFemaleHRRecruiterFull-timeRajshahi4417499530E0179Sylhet</v>
      </c>
      <c r="L614" s="14">
        <f t="shared" si="27"/>
        <v>133793</v>
      </c>
      <c r="M614" s="14">
        <f ca="1" t="shared" si="28"/>
        <v>5</v>
      </c>
      <c r="N614" s="15" t="str">
        <f ca="1" t="shared" si="29"/>
        <v>Mid level</v>
      </c>
    </row>
    <row r="615" spans="1:14">
      <c r="A615" s="16" t="s">
        <v>1200</v>
      </c>
      <c r="B615" s="17" t="s">
        <v>1201</v>
      </c>
      <c r="C615" s="17" t="s">
        <v>19</v>
      </c>
      <c r="D615" s="17" t="s">
        <v>38</v>
      </c>
      <c r="E615" s="17" t="s">
        <v>66</v>
      </c>
      <c r="F615" s="17" t="s">
        <v>15</v>
      </c>
      <c r="G615" s="17" t="s">
        <v>40</v>
      </c>
      <c r="H615" s="17">
        <v>44261</v>
      </c>
      <c r="I615" s="17">
        <v>105296</v>
      </c>
      <c r="J615" s="17"/>
      <c r="K615" s="17" t="str">
        <f>A615&amp;B615&amp;C615&amp;D615&amp;E615&amp;F615&amp;G615&amp;H615&amp;I615&amp;J615&amp;[1]Sheet1!$G$5</f>
        <v>E0614Farhan AnjumMaleEngineeringSoftware EngineerFull-timeDhaka44261105296Sylhet</v>
      </c>
      <c r="L615" s="17">
        <f t="shared" si="27"/>
        <v>134335</v>
      </c>
      <c r="M615" s="17">
        <f ca="1" t="shared" si="28"/>
        <v>5</v>
      </c>
      <c r="N615" s="18" t="str">
        <f ca="1" t="shared" si="29"/>
        <v>Mid level</v>
      </c>
    </row>
    <row r="616" spans="1:14">
      <c r="A616" s="13" t="s">
        <v>1202</v>
      </c>
      <c r="B616" s="14" t="s">
        <v>1203</v>
      </c>
      <c r="C616" s="14" t="s">
        <v>19</v>
      </c>
      <c r="D616" s="14" t="s">
        <v>52</v>
      </c>
      <c r="E616" s="14" t="s">
        <v>246</v>
      </c>
      <c r="F616" s="14" t="s">
        <v>48</v>
      </c>
      <c r="G616" s="14" t="s">
        <v>40</v>
      </c>
      <c r="H616" s="14">
        <v>45521</v>
      </c>
      <c r="I616" s="14">
        <v>76276</v>
      </c>
      <c r="J616" s="14" t="s">
        <v>799</v>
      </c>
      <c r="K616" s="14" t="str">
        <f>A616&amp;B616&amp;C616&amp;D616&amp;E616&amp;F616&amp;G616&amp;H616&amp;I616&amp;J616&amp;[1]Sheet1!$G$5</f>
        <v>E0615Mahin BanuMaleOperationsOperations AssociateContractDhaka4552176276E0772Sylhet</v>
      </c>
      <c r="L616" s="14">
        <f t="shared" si="27"/>
        <v>134588.5</v>
      </c>
      <c r="M616" s="14">
        <f ca="1" t="shared" si="28"/>
        <v>1</v>
      </c>
      <c r="N616" s="15" t="str">
        <f ca="1" t="shared" si="29"/>
        <v>New</v>
      </c>
    </row>
    <row r="617" spans="1:14">
      <c r="A617" s="16" t="s">
        <v>1204</v>
      </c>
      <c r="B617" s="17" t="s">
        <v>1165</v>
      </c>
      <c r="C617" s="17" t="s">
        <v>19</v>
      </c>
      <c r="D617" s="17" t="s">
        <v>20</v>
      </c>
      <c r="E617" s="17" t="s">
        <v>21</v>
      </c>
      <c r="F617" s="17" t="s">
        <v>15</v>
      </c>
      <c r="G617" s="17" t="s">
        <v>34</v>
      </c>
      <c r="H617" s="17">
        <v>43524</v>
      </c>
      <c r="I617" s="17">
        <v>68846</v>
      </c>
      <c r="J617" s="17" t="s">
        <v>865</v>
      </c>
      <c r="K617" s="17" t="str">
        <f>A617&amp;B617&amp;C617&amp;D617&amp;E617&amp;F617&amp;G617&amp;H617&amp;I617&amp;J617&amp;[1]Sheet1!$G$5</f>
        <v>E0616Noman HasanMaleCustomer SuccessSupport SpecialistFull-timeSylhet4352468846E0968Sylhet</v>
      </c>
      <c r="L617" s="17">
        <f t="shared" si="27"/>
        <v>134842</v>
      </c>
      <c r="M617" s="17">
        <f ca="1" t="shared" si="28"/>
        <v>7</v>
      </c>
      <c r="N617" s="18" t="str">
        <f ca="1" t="shared" si="29"/>
        <v>Experienced</v>
      </c>
    </row>
    <row r="618" spans="1:14">
      <c r="A618" s="13" t="s">
        <v>280</v>
      </c>
      <c r="B618" s="14" t="s">
        <v>614</v>
      </c>
      <c r="C618" s="14" t="s">
        <v>12</v>
      </c>
      <c r="D618" s="14" t="s">
        <v>38</v>
      </c>
      <c r="E618" s="14" t="s">
        <v>84</v>
      </c>
      <c r="F618" s="14" t="s">
        <v>48</v>
      </c>
      <c r="G618" s="14" t="s">
        <v>94</v>
      </c>
      <c r="H618" s="14">
        <v>45557</v>
      </c>
      <c r="I618" s="14">
        <v>124898</v>
      </c>
      <c r="J618" s="14"/>
      <c r="K618" s="14" t="str">
        <f>A618&amp;B618&amp;C618&amp;D618&amp;E618&amp;F618&amp;G618&amp;H618&amp;I618&amp;J618&amp;[1]Sheet1!$G$5</f>
        <v>E0617Sajid BanuFemaleEngineeringEngineering ManagerContractRajshahi45557124898Sylhet</v>
      </c>
      <c r="L618" s="14">
        <f t="shared" si="27"/>
        <v>134858.5</v>
      </c>
      <c r="M618" s="14">
        <f ca="1" t="shared" si="28"/>
        <v>1</v>
      </c>
      <c r="N618" s="15" t="str">
        <f ca="1" t="shared" si="29"/>
        <v>New</v>
      </c>
    </row>
    <row r="619" spans="1:14">
      <c r="A619" s="16" t="s">
        <v>727</v>
      </c>
      <c r="B619" s="17" t="s">
        <v>590</v>
      </c>
      <c r="C619" s="17" t="s">
        <v>19</v>
      </c>
      <c r="D619" s="17" t="s">
        <v>87</v>
      </c>
      <c r="E619" s="17" t="s">
        <v>349</v>
      </c>
      <c r="F619" s="17" t="s">
        <v>15</v>
      </c>
      <c r="G619" s="17" t="s">
        <v>62</v>
      </c>
      <c r="H619" s="17">
        <v>43934</v>
      </c>
      <c r="I619" s="17">
        <v>316684</v>
      </c>
      <c r="J619" s="17" t="s">
        <v>190</v>
      </c>
      <c r="K619" s="17" t="str">
        <f>A619&amp;B619&amp;C619&amp;D619&amp;E619&amp;F619&amp;G619&amp;H619&amp;I619&amp;J619&amp;[1]Sheet1!$G$5</f>
        <v>E0618Esha AkterMaleProductProduct ManagerFull-timeChattogram43934316684E0592Sylhet</v>
      </c>
      <c r="L619" s="17">
        <f t="shared" si="27"/>
        <v>134875</v>
      </c>
      <c r="M619" s="17">
        <f ca="1" t="shared" si="28"/>
        <v>5</v>
      </c>
      <c r="N619" s="18" t="str">
        <f ca="1" t="shared" si="29"/>
        <v>Mid level</v>
      </c>
    </row>
    <row r="620" spans="1:14">
      <c r="A620" s="13" t="s">
        <v>1205</v>
      </c>
      <c r="B620" s="14" t="s">
        <v>698</v>
      </c>
      <c r="C620" s="14" t="s">
        <v>12</v>
      </c>
      <c r="D620" s="14" t="s">
        <v>52</v>
      </c>
      <c r="E620" s="14" t="s">
        <v>120</v>
      </c>
      <c r="F620" s="14" t="s">
        <v>15</v>
      </c>
      <c r="G620" s="14" t="s">
        <v>28</v>
      </c>
      <c r="H620" s="14">
        <v>44429</v>
      </c>
      <c r="I620" s="14">
        <v>104626</v>
      </c>
      <c r="J620" s="14" t="s">
        <v>201</v>
      </c>
      <c r="K620" s="14" t="str">
        <f>A620&amp;B620&amp;C620&amp;D620&amp;E620&amp;F620&amp;G620&amp;H620&amp;I620&amp;J620&amp;[1]Sheet1!$G$5</f>
        <v>E0619Imran AhmedFemaleOperationsSupply Chain AnalystFull-timeRemote44429104626E0742Sylhet</v>
      </c>
      <c r="L620" s="14">
        <f t="shared" si="27"/>
        <v>134858.5</v>
      </c>
      <c r="M620" s="14">
        <f ca="1" t="shared" si="28"/>
        <v>4</v>
      </c>
      <c r="N620" s="15" t="str">
        <f ca="1" t="shared" si="29"/>
        <v>Mid level</v>
      </c>
    </row>
    <row r="621" spans="1:14">
      <c r="A621" s="16" t="s">
        <v>1206</v>
      </c>
      <c r="B621" s="17" t="s">
        <v>1155</v>
      </c>
      <c r="C621" s="17" t="s">
        <v>19</v>
      </c>
      <c r="D621" s="17" t="s">
        <v>26</v>
      </c>
      <c r="E621" s="17" t="s">
        <v>294</v>
      </c>
      <c r="F621" s="17" t="s">
        <v>15</v>
      </c>
      <c r="G621" s="17" t="s">
        <v>94</v>
      </c>
      <c r="H621" s="17">
        <v>44530</v>
      </c>
      <c r="I621" s="17">
        <v>254832</v>
      </c>
      <c r="J621" s="17" t="s">
        <v>574</v>
      </c>
      <c r="K621" s="17" t="str">
        <f>A621&amp;B621&amp;C621&amp;D621&amp;E621&amp;F621&amp;G621&amp;H621&amp;I621&amp;J621&amp;[1]Sheet1!$G$5</f>
        <v>E0620Shawon KabirMaleFinanceSenior Financial AnalystFull-timeRajshahi44530254832E0602Sylhet</v>
      </c>
      <c r="L621" s="17">
        <f t="shared" si="27"/>
        <v>134875</v>
      </c>
      <c r="M621" s="17">
        <f ca="1" t="shared" si="28"/>
        <v>4</v>
      </c>
      <c r="N621" s="18" t="str">
        <f ca="1" t="shared" si="29"/>
        <v>Mid level</v>
      </c>
    </row>
    <row r="622" spans="1:14">
      <c r="A622" s="13" t="s">
        <v>1207</v>
      </c>
      <c r="B622" s="14" t="s">
        <v>155</v>
      </c>
      <c r="C622" s="14" t="s">
        <v>19</v>
      </c>
      <c r="D622" s="14" t="s">
        <v>38</v>
      </c>
      <c r="E622" s="14" t="s">
        <v>140</v>
      </c>
      <c r="F622" s="14" t="s">
        <v>22</v>
      </c>
      <c r="G622" s="14" t="s">
        <v>34</v>
      </c>
      <c r="H622" s="14">
        <v>44084</v>
      </c>
      <c r="I622" s="14">
        <v>235691</v>
      </c>
      <c r="J622" s="14" t="s">
        <v>806</v>
      </c>
      <c r="K622" s="14" t="str">
        <f>A622&amp;B622&amp;C622&amp;D622&amp;E622&amp;F622&amp;G622&amp;H622&amp;I622&amp;J622&amp;[1]Sheet1!$G$5</f>
        <v>E0621Shawon AnjumMaleEngineeringSenior Software EngineerInternSylhet44084235691E0351Sylhet</v>
      </c>
      <c r="L622" s="14">
        <f t="shared" si="27"/>
        <v>134858.5</v>
      </c>
      <c r="M622" s="14">
        <f ca="1" t="shared" si="28"/>
        <v>5</v>
      </c>
      <c r="N622" s="15" t="str">
        <f ca="1" t="shared" si="29"/>
        <v>Mid level</v>
      </c>
    </row>
    <row r="623" spans="1:14">
      <c r="A623" s="16" t="s">
        <v>1208</v>
      </c>
      <c r="B623" s="17" t="s">
        <v>351</v>
      </c>
      <c r="C623" s="17" t="s">
        <v>19</v>
      </c>
      <c r="D623" s="17" t="s">
        <v>38</v>
      </c>
      <c r="E623" s="17" t="s">
        <v>77</v>
      </c>
      <c r="F623" s="17" t="s">
        <v>15</v>
      </c>
      <c r="G623" s="17" t="s">
        <v>40</v>
      </c>
      <c r="H623" s="17">
        <v>43033</v>
      </c>
      <c r="I623" s="17">
        <v>107528</v>
      </c>
      <c r="J623" s="17" t="s">
        <v>1001</v>
      </c>
      <c r="K623" s="17" t="str">
        <f>A623&amp;B623&amp;C623&amp;D623&amp;E623&amp;F623&amp;G623&amp;H623&amp;I623&amp;J623&amp;[1]Sheet1!$G$5</f>
        <v>E0622Nadia SarkerMaleEngineeringJunior Software EngineerFull-timeDhaka43033107528E0470Sylhet</v>
      </c>
      <c r="L623" s="17">
        <f t="shared" si="27"/>
        <v>134842</v>
      </c>
      <c r="M623" s="17">
        <f ca="1" t="shared" si="28"/>
        <v>8</v>
      </c>
      <c r="N623" s="18" t="str">
        <f ca="1" t="shared" si="29"/>
        <v>Experienced</v>
      </c>
    </row>
    <row r="624" spans="1:14">
      <c r="A624" s="13" t="s">
        <v>1209</v>
      </c>
      <c r="B624" s="14" t="s">
        <v>1155</v>
      </c>
      <c r="C624" s="14" t="s">
        <v>19</v>
      </c>
      <c r="D624" s="14" t="s">
        <v>13</v>
      </c>
      <c r="E624" s="14" t="s">
        <v>165</v>
      </c>
      <c r="F624" s="14" t="s">
        <v>15</v>
      </c>
      <c r="G624" s="14" t="s">
        <v>28</v>
      </c>
      <c r="H624" s="14">
        <v>45715</v>
      </c>
      <c r="I624" s="14">
        <v>125443</v>
      </c>
      <c r="J624" s="14" t="s">
        <v>369</v>
      </c>
      <c r="K624" s="14" t="str">
        <f>A624&amp;B624&amp;C624&amp;D624&amp;E624&amp;F624&amp;G624&amp;H624&amp;I624&amp;J624&amp;[1]Sheet1!$G$5</f>
        <v>E0623Shawon KabirMaleSalesAccount ExecutiveFull-timeRemote45715125443E0881Sylhet</v>
      </c>
      <c r="L624" s="14">
        <f t="shared" si="27"/>
        <v>134858.5</v>
      </c>
      <c r="M624" s="14">
        <f ca="1" t="shared" si="28"/>
        <v>1</v>
      </c>
      <c r="N624" s="15" t="str">
        <f ca="1" t="shared" si="29"/>
        <v>New</v>
      </c>
    </row>
    <row r="625" spans="1:14">
      <c r="A625" s="16" t="s">
        <v>536</v>
      </c>
      <c r="B625" s="17" t="s">
        <v>267</v>
      </c>
      <c r="C625" s="17" t="s">
        <v>19</v>
      </c>
      <c r="D625" s="17" t="s">
        <v>92</v>
      </c>
      <c r="E625" s="17" t="s">
        <v>193</v>
      </c>
      <c r="F625" s="17" t="s">
        <v>22</v>
      </c>
      <c r="G625" s="17" t="s">
        <v>16</v>
      </c>
      <c r="H625" s="17">
        <v>43187</v>
      </c>
      <c r="I625" s="17">
        <v>229318</v>
      </c>
      <c r="J625" s="17" t="s">
        <v>99</v>
      </c>
      <c r="K625" s="17" t="str">
        <f>A625&amp;B625&amp;C625&amp;D625&amp;E625&amp;F625&amp;G625&amp;H625&amp;I625&amp;J625&amp;[1]Sheet1!$G$5</f>
        <v>E0624Sajid SarkerMaleMarketingMarketing ManagerInternKhulna43187229318E0917Sylhet</v>
      </c>
      <c r="L625" s="17">
        <f t="shared" si="27"/>
        <v>134875</v>
      </c>
      <c r="M625" s="17">
        <f ca="1" t="shared" si="28"/>
        <v>7</v>
      </c>
      <c r="N625" s="18" t="str">
        <f ca="1" t="shared" si="29"/>
        <v>Experienced</v>
      </c>
    </row>
    <row r="626" spans="1:14">
      <c r="A626" s="13" t="s">
        <v>1210</v>
      </c>
      <c r="B626" s="14" t="s">
        <v>1211</v>
      </c>
      <c r="C626" s="14" t="s">
        <v>19</v>
      </c>
      <c r="D626" s="14" t="s">
        <v>32</v>
      </c>
      <c r="E626" s="14" t="s">
        <v>57</v>
      </c>
      <c r="F626" s="14" t="s">
        <v>15</v>
      </c>
      <c r="G626" s="14" t="s">
        <v>16</v>
      </c>
      <c r="H626" s="14">
        <v>45651</v>
      </c>
      <c r="I626" s="14">
        <v>69161</v>
      </c>
      <c r="J626" s="14" t="s">
        <v>227</v>
      </c>
      <c r="K626" s="14" t="str">
        <f>A626&amp;B626&amp;C626&amp;D626&amp;E626&amp;F626&amp;G626&amp;H626&amp;I626&amp;J626&amp;[1]Sheet1!$G$5</f>
        <v>E0625Tamanna ShahMaleHRHR AssociateFull-timeKhulna4565169161E0062Sylhet</v>
      </c>
      <c r="L626" s="14">
        <f t="shared" si="27"/>
        <v>134858.5</v>
      </c>
      <c r="M626" s="14">
        <f ca="1" t="shared" si="28"/>
        <v>1</v>
      </c>
      <c r="N626" s="15" t="str">
        <f ca="1" t="shared" si="29"/>
        <v>New</v>
      </c>
    </row>
    <row r="627" spans="1:14">
      <c r="A627" s="16" t="s">
        <v>1212</v>
      </c>
      <c r="B627" s="17" t="s">
        <v>384</v>
      </c>
      <c r="C627" s="17" t="s">
        <v>12</v>
      </c>
      <c r="D627" s="17" t="s">
        <v>13</v>
      </c>
      <c r="E627" s="17" t="s">
        <v>223</v>
      </c>
      <c r="F627" s="17" t="s">
        <v>15</v>
      </c>
      <c r="G627" s="17" t="s">
        <v>62</v>
      </c>
      <c r="H627" s="17">
        <v>44846</v>
      </c>
      <c r="I627" s="17">
        <v>162546</v>
      </c>
      <c r="J627" s="17" t="s">
        <v>183</v>
      </c>
      <c r="K627" s="17" t="str">
        <f>A627&amp;B627&amp;C627&amp;D627&amp;E627&amp;F627&amp;G627&amp;H627&amp;I627&amp;J627&amp;[1]Sheet1!$G$5</f>
        <v>E0626Sajid IslamFemaleSalesSenior Account ExecutiveFull-timeChattogram44846162546E0456Sylhet</v>
      </c>
      <c r="L627" s="17">
        <f t="shared" si="27"/>
        <v>134875</v>
      </c>
      <c r="M627" s="17">
        <f ca="1" t="shared" si="28"/>
        <v>3</v>
      </c>
      <c r="N627" s="18" t="str">
        <f ca="1" t="shared" si="29"/>
        <v>Mid level</v>
      </c>
    </row>
    <row r="628" spans="1:14">
      <c r="A628" s="13" t="s">
        <v>1213</v>
      </c>
      <c r="B628" s="14" t="s">
        <v>703</v>
      </c>
      <c r="C628" s="14" t="s">
        <v>19</v>
      </c>
      <c r="D628" s="14" t="s">
        <v>13</v>
      </c>
      <c r="E628" s="14" t="s">
        <v>14</v>
      </c>
      <c r="F628" s="14" t="s">
        <v>48</v>
      </c>
      <c r="G628" s="14" t="s">
        <v>34</v>
      </c>
      <c r="H628" s="14">
        <v>42936</v>
      </c>
      <c r="I628" s="14">
        <v>113537</v>
      </c>
      <c r="J628" s="14" t="s">
        <v>259</v>
      </c>
      <c r="K628" s="14" t="str">
        <f>A628&amp;B628&amp;C628&amp;D628&amp;E628&amp;F628&amp;G628&amp;H628&amp;I628&amp;J628&amp;[1]Sheet1!$G$5</f>
        <v>E0627Zahid ParvinMaleSalesSales AssociateContractSylhet42936113537E0239Sylhet</v>
      </c>
      <c r="L628" s="14">
        <f t="shared" si="27"/>
        <v>134858.5</v>
      </c>
      <c r="M628" s="14">
        <f ca="1" t="shared" si="28"/>
        <v>8</v>
      </c>
      <c r="N628" s="15" t="str">
        <f ca="1" t="shared" si="29"/>
        <v>Experienced</v>
      </c>
    </row>
    <row r="629" spans="1:14">
      <c r="A629" s="16" t="s">
        <v>1214</v>
      </c>
      <c r="B629" s="17" t="s">
        <v>1215</v>
      </c>
      <c r="C629" s="17" t="s">
        <v>19</v>
      </c>
      <c r="D629" s="17" t="s">
        <v>26</v>
      </c>
      <c r="E629" s="17" t="s">
        <v>61</v>
      </c>
      <c r="F629" s="17" t="s">
        <v>15</v>
      </c>
      <c r="G629" s="17" t="s">
        <v>40</v>
      </c>
      <c r="H629" s="17">
        <v>43394</v>
      </c>
      <c r="I629" s="17">
        <v>162823</v>
      </c>
      <c r="J629" s="17" t="s">
        <v>842</v>
      </c>
      <c r="K629" s="17" t="str">
        <f>A629&amp;B629&amp;C629&amp;D629&amp;E629&amp;F629&amp;G629&amp;H629&amp;I629&amp;J629&amp;[1]Sheet1!$G$5</f>
        <v>E0628Tamanna AhmedMaleFinanceFinancial AnalystFull-timeDhaka43394162823E0465Sylhet</v>
      </c>
      <c r="L629" s="17">
        <f t="shared" si="27"/>
        <v>134875</v>
      </c>
      <c r="M629" s="17">
        <f ca="1" t="shared" si="28"/>
        <v>7</v>
      </c>
      <c r="N629" s="18" t="str">
        <f ca="1" t="shared" si="29"/>
        <v>Experienced</v>
      </c>
    </row>
    <row r="630" spans="1:14">
      <c r="A630" s="13" t="s">
        <v>1216</v>
      </c>
      <c r="B630" s="14" t="s">
        <v>1217</v>
      </c>
      <c r="C630" s="14" t="s">
        <v>19</v>
      </c>
      <c r="D630" s="14" t="s">
        <v>38</v>
      </c>
      <c r="E630" s="14" t="s">
        <v>77</v>
      </c>
      <c r="F630" s="14" t="s">
        <v>15</v>
      </c>
      <c r="G630" s="14" t="s">
        <v>94</v>
      </c>
      <c r="H630" s="14">
        <v>42583</v>
      </c>
      <c r="I630" s="14">
        <v>156024</v>
      </c>
      <c r="J630" s="14"/>
      <c r="K630" s="14" t="str">
        <f>A630&amp;B630&amp;C630&amp;D630&amp;E630&amp;F630&amp;G630&amp;H630&amp;I630&amp;J630&amp;[1]Sheet1!$G$5</f>
        <v>E0629Farhan RahmanMaleEngineeringJunior Software EngineerFull-timeRajshahi42583156024Sylhet</v>
      </c>
      <c r="L630" s="14">
        <f t="shared" si="27"/>
        <v>134858.5</v>
      </c>
      <c r="M630" s="14">
        <f ca="1" t="shared" si="28"/>
        <v>9</v>
      </c>
      <c r="N630" s="15" t="str">
        <f ca="1" t="shared" si="29"/>
        <v>Experienced</v>
      </c>
    </row>
    <row r="631" spans="1:14">
      <c r="A631" s="16" t="s">
        <v>134</v>
      </c>
      <c r="B631" s="17" t="s">
        <v>1218</v>
      </c>
      <c r="C631" s="17" t="s">
        <v>12</v>
      </c>
      <c r="D631" s="17" t="s">
        <v>87</v>
      </c>
      <c r="E631" s="17" t="s">
        <v>156</v>
      </c>
      <c r="F631" s="17" t="s">
        <v>48</v>
      </c>
      <c r="G631" s="17" t="s">
        <v>28</v>
      </c>
      <c r="H631" s="17">
        <v>44996</v>
      </c>
      <c r="I631" s="17">
        <v>143628</v>
      </c>
      <c r="J631" s="17" t="s">
        <v>721</v>
      </c>
      <c r="K631" s="17" t="str">
        <f>A631&amp;B631&amp;C631&amp;D631&amp;E631&amp;F631&amp;G631&amp;H631&amp;I631&amp;J631&amp;[1]Sheet1!$G$5</f>
        <v>E0630Rahim BanuFemaleProductAssociate Product ManagerContractRemote44996143628E0376Sylhet</v>
      </c>
      <c r="L631" s="17">
        <f t="shared" si="27"/>
        <v>134842</v>
      </c>
      <c r="M631" s="17">
        <f ca="1" t="shared" si="28"/>
        <v>3</v>
      </c>
      <c r="N631" s="18" t="str">
        <f ca="1" t="shared" si="29"/>
        <v>Mid level</v>
      </c>
    </row>
    <row r="632" spans="1:14">
      <c r="A632" s="13" t="s">
        <v>1219</v>
      </c>
      <c r="B632" s="14" t="s">
        <v>754</v>
      </c>
      <c r="C632" s="14" t="s">
        <v>146</v>
      </c>
      <c r="D632" s="14" t="s">
        <v>26</v>
      </c>
      <c r="E632" s="14" t="s">
        <v>294</v>
      </c>
      <c r="F632" s="14" t="s">
        <v>15</v>
      </c>
      <c r="G632" s="14" t="s">
        <v>28</v>
      </c>
      <c r="H632" s="14">
        <v>44338</v>
      </c>
      <c r="I632" s="14">
        <v>250336</v>
      </c>
      <c r="J632" s="14" t="s">
        <v>1220</v>
      </c>
      <c r="K632" s="14" t="str">
        <f>A632&amp;B632&amp;C632&amp;D632&amp;E632&amp;F632&amp;G632&amp;H632&amp;I632&amp;J632&amp;[1]Sheet1!$G$5</f>
        <v>E0631Shawon SadiqNon-binaryFinanceSenior Financial AnalystFull-timeRemote44338250336E0955Sylhet</v>
      </c>
      <c r="L632" s="14">
        <f t="shared" si="27"/>
        <v>134588.5</v>
      </c>
      <c r="M632" s="14">
        <f ca="1" t="shared" si="28"/>
        <v>4</v>
      </c>
      <c r="N632" s="15" t="str">
        <f ca="1" t="shared" si="29"/>
        <v>Mid level</v>
      </c>
    </row>
    <row r="633" spans="1:14">
      <c r="A633" s="16" t="s">
        <v>1221</v>
      </c>
      <c r="B633" s="17" t="s">
        <v>1222</v>
      </c>
      <c r="C633" s="17" t="s">
        <v>19</v>
      </c>
      <c r="D633" s="17" t="s">
        <v>52</v>
      </c>
      <c r="E633" s="17" t="s">
        <v>246</v>
      </c>
      <c r="F633" s="17" t="s">
        <v>15</v>
      </c>
      <c r="G633" s="17" t="s">
        <v>94</v>
      </c>
      <c r="H633" s="17">
        <v>43890</v>
      </c>
      <c r="I633" s="17">
        <v>126833</v>
      </c>
      <c r="J633" s="17"/>
      <c r="K633" s="17" t="str">
        <f>A633&amp;B633&amp;C633&amp;D633&amp;E633&amp;F633&amp;G633&amp;H633&amp;I633&amp;J633&amp;[1]Sheet1!$G$5</f>
        <v>E0632Mahin RahmanMaleOperationsOperations AssociateFull-timeRajshahi43890126833Sylhet</v>
      </c>
      <c r="L633" s="17">
        <f t="shared" si="27"/>
        <v>134335</v>
      </c>
      <c r="M633" s="17">
        <f ca="1" t="shared" si="28"/>
        <v>6</v>
      </c>
      <c r="N633" s="18" t="str">
        <f ca="1" t="shared" si="29"/>
        <v>Experienced</v>
      </c>
    </row>
    <row r="634" spans="1:14">
      <c r="A634" s="13" t="s">
        <v>1223</v>
      </c>
      <c r="B634" s="14" t="s">
        <v>1224</v>
      </c>
      <c r="C634" s="14" t="s">
        <v>19</v>
      </c>
      <c r="D634" s="14" t="s">
        <v>92</v>
      </c>
      <c r="E634" s="14" t="s">
        <v>93</v>
      </c>
      <c r="F634" s="14" t="s">
        <v>15</v>
      </c>
      <c r="G634" s="14" t="s">
        <v>16</v>
      </c>
      <c r="H634" s="14">
        <v>44641</v>
      </c>
      <c r="I634" s="14">
        <v>98625</v>
      </c>
      <c r="J634" s="14" t="s">
        <v>240</v>
      </c>
      <c r="K634" s="14" t="str">
        <f>A634&amp;B634&amp;C634&amp;D634&amp;E634&amp;F634&amp;G634&amp;H634&amp;I634&amp;J634&amp;[1]Sheet1!$G$5</f>
        <v>E0633Farhan AminMaleMarketingGrowth MarketerFull-timeKhulna4464198625E0831Sylhet</v>
      </c>
      <c r="L634" s="14">
        <f t="shared" si="27"/>
        <v>134588.5</v>
      </c>
      <c r="M634" s="14">
        <f ca="1" t="shared" si="28"/>
        <v>3</v>
      </c>
      <c r="N634" s="15" t="str">
        <f ca="1" t="shared" si="29"/>
        <v>Mid level</v>
      </c>
    </row>
    <row r="635" spans="1:14">
      <c r="A635" s="16" t="s">
        <v>1225</v>
      </c>
      <c r="B635" s="17" t="s">
        <v>750</v>
      </c>
      <c r="C635" s="17" t="s">
        <v>19</v>
      </c>
      <c r="D635" s="17" t="s">
        <v>92</v>
      </c>
      <c r="E635" s="17" t="s">
        <v>126</v>
      </c>
      <c r="F635" s="17" t="s">
        <v>15</v>
      </c>
      <c r="G635" s="17" t="s">
        <v>62</v>
      </c>
      <c r="H635" s="17">
        <v>42790</v>
      </c>
      <c r="I635" s="17">
        <v>181577</v>
      </c>
      <c r="J635" s="17" t="s">
        <v>58</v>
      </c>
      <c r="K635" s="17" t="str">
        <f>A635&amp;B635&amp;C635&amp;D635&amp;E635&amp;F635&amp;G635&amp;H635&amp;I635&amp;J635&amp;[1]Sheet1!$G$5</f>
        <v>E0634Mitu BanuMaleMarketingSEO SpecialistFull-timeChattogram42790181577E0314Sylhet</v>
      </c>
      <c r="L635" s="17">
        <f t="shared" si="27"/>
        <v>134842</v>
      </c>
      <c r="M635" s="17">
        <f ca="1" t="shared" si="28"/>
        <v>9</v>
      </c>
      <c r="N635" s="18" t="str">
        <f ca="1" t="shared" si="29"/>
        <v>Experienced</v>
      </c>
    </row>
    <row r="636" spans="1:14">
      <c r="A636" s="13" t="s">
        <v>1039</v>
      </c>
      <c r="B636" s="14" t="s">
        <v>1090</v>
      </c>
      <c r="C636" s="14" t="s">
        <v>19</v>
      </c>
      <c r="D636" s="14" t="s">
        <v>38</v>
      </c>
      <c r="E636" s="14" t="s">
        <v>84</v>
      </c>
      <c r="F636" s="14" t="s">
        <v>22</v>
      </c>
      <c r="G636" s="14" t="s">
        <v>34</v>
      </c>
      <c r="H636" s="14">
        <v>45283</v>
      </c>
      <c r="I636" s="14">
        <v>264639</v>
      </c>
      <c r="J636" s="14" t="s">
        <v>663</v>
      </c>
      <c r="K636" s="14" t="str">
        <f>A636&amp;B636&amp;C636&amp;D636&amp;E636&amp;F636&amp;G636&amp;H636&amp;I636&amp;J636&amp;[1]Sheet1!$G$5</f>
        <v>E0635Rashed RanaMaleEngineeringEngineering ManagerInternSylhet45283264639E0688Sylhet</v>
      </c>
      <c r="L636" s="14">
        <f t="shared" si="27"/>
        <v>134588.5</v>
      </c>
      <c r="M636" s="14">
        <f ca="1" t="shared" si="28"/>
        <v>2</v>
      </c>
      <c r="N636" s="15" t="str">
        <f ca="1" t="shared" si="29"/>
        <v>New</v>
      </c>
    </row>
    <row r="637" spans="1:14">
      <c r="A637" s="16" t="s">
        <v>1226</v>
      </c>
      <c r="B637" s="17" t="s">
        <v>934</v>
      </c>
      <c r="C637" s="17" t="s">
        <v>19</v>
      </c>
      <c r="D637" s="17" t="s">
        <v>13</v>
      </c>
      <c r="E637" s="17" t="s">
        <v>14</v>
      </c>
      <c r="F637" s="17" t="s">
        <v>15</v>
      </c>
      <c r="G637" s="17" t="s">
        <v>40</v>
      </c>
      <c r="H637" s="17">
        <v>45834</v>
      </c>
      <c r="I637" s="17">
        <v>49291</v>
      </c>
      <c r="J637" s="17" t="s">
        <v>838</v>
      </c>
      <c r="K637" s="17" t="str">
        <f>A637&amp;B637&amp;C637&amp;D637&amp;E637&amp;F637&amp;G637&amp;H637&amp;I637&amp;J637&amp;[1]Sheet1!$G$5</f>
        <v>E0636Nabila FerdousMaleSalesSales AssociateFull-timeDhaka4583449291E0871Sylhet</v>
      </c>
      <c r="L637" s="17">
        <f t="shared" si="27"/>
        <v>134335</v>
      </c>
      <c r="M637" s="17">
        <f ca="1" t="shared" si="28"/>
        <v>0</v>
      </c>
      <c r="N637" s="18" t="str">
        <f ca="1" t="shared" si="29"/>
        <v>New</v>
      </c>
    </row>
    <row r="638" spans="1:14">
      <c r="A638" s="13" t="s">
        <v>1227</v>
      </c>
      <c r="B638" s="14" t="s">
        <v>1029</v>
      </c>
      <c r="C638" s="14" t="s">
        <v>19</v>
      </c>
      <c r="D638" s="14" t="s">
        <v>92</v>
      </c>
      <c r="E638" s="14" t="s">
        <v>391</v>
      </c>
      <c r="F638" s="14" t="s">
        <v>15</v>
      </c>
      <c r="G638" s="14" t="s">
        <v>16</v>
      </c>
      <c r="H638" s="14">
        <v>44483</v>
      </c>
      <c r="I638" s="14">
        <v>128115</v>
      </c>
      <c r="J638" s="14" t="s">
        <v>929</v>
      </c>
      <c r="K638" s="14" t="str">
        <f>A638&amp;B638&amp;C638&amp;D638&amp;E638&amp;F638&amp;G638&amp;H638&amp;I638&amp;J638&amp;[1]Sheet1!$G$5</f>
        <v>E0637Tania AkterMaleMarketingContent SpecialistFull-timeKhulna44483128115E0545Sylhet</v>
      </c>
      <c r="L638" s="14">
        <f t="shared" si="27"/>
        <v>134588.5</v>
      </c>
      <c r="M638" s="14">
        <f ca="1" t="shared" si="28"/>
        <v>4</v>
      </c>
      <c r="N638" s="15" t="str">
        <f ca="1" t="shared" si="29"/>
        <v>Mid level</v>
      </c>
    </row>
    <row r="639" spans="1:14">
      <c r="A639" s="16" t="s">
        <v>1228</v>
      </c>
      <c r="B639" s="17" t="s">
        <v>1229</v>
      </c>
      <c r="C639" s="17" t="s">
        <v>19</v>
      </c>
      <c r="D639" s="17" t="s">
        <v>87</v>
      </c>
      <c r="E639" s="17" t="s">
        <v>88</v>
      </c>
      <c r="F639" s="17" t="s">
        <v>48</v>
      </c>
      <c r="G639" s="17" t="s">
        <v>16</v>
      </c>
      <c r="H639" s="17">
        <v>45856</v>
      </c>
      <c r="I639" s="17">
        <v>188148</v>
      </c>
      <c r="J639" s="17" t="s">
        <v>71</v>
      </c>
      <c r="K639" s="17" t="str">
        <f>A639&amp;B639&amp;C639&amp;D639&amp;E639&amp;F639&amp;G639&amp;H639&amp;I639&amp;J639&amp;[1]Sheet1!$G$5</f>
        <v>E0638Jannat SarkerMaleProductProduct AnalystContractKhulna45856188148E0816Sylhet</v>
      </c>
      <c r="L639" s="17">
        <f t="shared" si="27"/>
        <v>134842</v>
      </c>
      <c r="M639" s="17">
        <f ca="1" t="shared" si="28"/>
        <v>0</v>
      </c>
      <c r="N639" s="18" t="str">
        <f ca="1" t="shared" si="29"/>
        <v>New</v>
      </c>
    </row>
    <row r="640" spans="1:14">
      <c r="A640" s="13" t="s">
        <v>539</v>
      </c>
      <c r="B640" s="14" t="s">
        <v>1230</v>
      </c>
      <c r="C640" s="14" t="s">
        <v>19</v>
      </c>
      <c r="D640" s="14" t="s">
        <v>87</v>
      </c>
      <c r="E640" s="14" t="s">
        <v>111</v>
      </c>
      <c r="F640" s="14" t="s">
        <v>15</v>
      </c>
      <c r="G640" s="14" t="s">
        <v>40</v>
      </c>
      <c r="H640" s="14">
        <v>42880</v>
      </c>
      <c r="I640" s="14">
        <v>138471</v>
      </c>
      <c r="J640" s="14" t="s">
        <v>464</v>
      </c>
      <c r="K640" s="14" t="str">
        <f>A640&amp;B640&amp;C640&amp;D640&amp;E640&amp;F640&amp;G640&amp;H640&amp;I640&amp;J640&amp;[1]Sheet1!$G$5</f>
        <v>E0639Karim TalukderMaleProductSenior Product ManagerFull-timeDhaka42880138471E0656Sylhet</v>
      </c>
      <c r="L640" s="14">
        <f t="shared" si="27"/>
        <v>134588.5</v>
      </c>
      <c r="M640" s="14">
        <f ca="1" t="shared" si="28"/>
        <v>8</v>
      </c>
      <c r="N640" s="15" t="str">
        <f ca="1" t="shared" si="29"/>
        <v>Experienced</v>
      </c>
    </row>
    <row r="641" spans="1:14">
      <c r="A641" s="16" t="s">
        <v>1077</v>
      </c>
      <c r="B641" s="17" t="s">
        <v>652</v>
      </c>
      <c r="C641" s="17" t="s">
        <v>19</v>
      </c>
      <c r="D641" s="17" t="s">
        <v>13</v>
      </c>
      <c r="E641" s="17" t="s">
        <v>98</v>
      </c>
      <c r="F641" s="17" t="s">
        <v>15</v>
      </c>
      <c r="G641" s="17" t="s">
        <v>28</v>
      </c>
      <c r="H641" s="17">
        <v>43537</v>
      </c>
      <c r="I641" s="17">
        <v>133251</v>
      </c>
      <c r="J641" s="17" t="s">
        <v>397</v>
      </c>
      <c r="K641" s="17" t="str">
        <f>A641&amp;B641&amp;C641&amp;D641&amp;E641&amp;F641&amp;G641&amp;H641&amp;I641&amp;J641&amp;[1]Sheet1!$G$5</f>
        <v>E0640Sadia AhmedMaleSalesSales ManagerFull-timeRemote43537133251E0407Sylhet</v>
      </c>
      <c r="L641" s="17">
        <f t="shared" si="27"/>
        <v>134335</v>
      </c>
      <c r="M641" s="17">
        <f ca="1" t="shared" si="28"/>
        <v>7</v>
      </c>
      <c r="N641" s="18" t="str">
        <f ca="1" t="shared" si="29"/>
        <v>Experienced</v>
      </c>
    </row>
    <row r="642" spans="1:14">
      <c r="A642" s="13" t="s">
        <v>1231</v>
      </c>
      <c r="B642" s="14" t="s">
        <v>1232</v>
      </c>
      <c r="C642" s="14" t="s">
        <v>146</v>
      </c>
      <c r="D642" s="14" t="s">
        <v>38</v>
      </c>
      <c r="E642" s="14" t="s">
        <v>140</v>
      </c>
      <c r="F642" s="14" t="s">
        <v>15</v>
      </c>
      <c r="G642" s="14" t="s">
        <v>94</v>
      </c>
      <c r="H642" s="14">
        <v>42713</v>
      </c>
      <c r="I642" s="14">
        <v>229364</v>
      </c>
      <c r="J642" s="14" t="s">
        <v>334</v>
      </c>
      <c r="K642" s="14" t="str">
        <f>A642&amp;B642&amp;C642&amp;D642&amp;E642&amp;F642&amp;G642&amp;H642&amp;I642&amp;J642&amp;[1]Sheet1!$G$5</f>
        <v>E0641Nabila JahanNon-binaryEngineeringSenior Software EngineerFull-timeRajshahi42713229364E0104Sylhet</v>
      </c>
      <c r="L642" s="14">
        <f t="shared" si="27"/>
        <v>134588.5</v>
      </c>
      <c r="M642" s="14">
        <f ca="1" t="shared" si="28"/>
        <v>9</v>
      </c>
      <c r="N642" s="15" t="str">
        <f ca="1" t="shared" si="29"/>
        <v>Experienced</v>
      </c>
    </row>
    <row r="643" spans="1:14">
      <c r="A643" s="16" t="s">
        <v>671</v>
      </c>
      <c r="B643" s="17" t="s">
        <v>888</v>
      </c>
      <c r="C643" s="17" t="s">
        <v>12</v>
      </c>
      <c r="D643" s="17" t="s">
        <v>13</v>
      </c>
      <c r="E643" s="17" t="s">
        <v>98</v>
      </c>
      <c r="F643" s="17" t="s">
        <v>15</v>
      </c>
      <c r="G643" s="17" t="s">
        <v>94</v>
      </c>
      <c r="H643" s="17">
        <v>45495</v>
      </c>
      <c r="I643" s="17">
        <v>135297</v>
      </c>
      <c r="J643" s="17"/>
      <c r="K643" s="17" t="str">
        <f>A643&amp;B643&amp;C643&amp;D643&amp;E643&amp;F643&amp;G643&amp;H643&amp;I643&amp;J643&amp;[1]Sheet1!$G$5</f>
        <v>E0642Farhan HasanFemaleSalesSales ManagerFull-timeRajshahi45495135297Sylhet</v>
      </c>
      <c r="L643" s="17">
        <f t="shared" ref="L643:L706" si="30">MEDIAN(I643:I1642)</f>
        <v>134335</v>
      </c>
      <c r="M643" s="17">
        <f ca="1" t="shared" ref="M643:M706" si="31">DATEDIF(H643,TODAY(),"Y")</f>
        <v>1</v>
      </c>
      <c r="N643" s="18" t="str">
        <f ca="1" t="shared" ref="N643:N706" si="32">IF(M643&lt;=2,"New",IF(M643&lt;=5,"Mid level",IF(M643&lt;=10,"Experienced","Long term")))</f>
        <v>New</v>
      </c>
    </row>
    <row r="644" spans="1:14">
      <c r="A644" s="13" t="s">
        <v>1233</v>
      </c>
      <c r="B644" s="14" t="s">
        <v>1234</v>
      </c>
      <c r="C644" s="14" t="s">
        <v>12</v>
      </c>
      <c r="D644" s="14" t="s">
        <v>38</v>
      </c>
      <c r="E644" s="14" t="s">
        <v>140</v>
      </c>
      <c r="F644" s="14" t="s">
        <v>15</v>
      </c>
      <c r="G644" s="14" t="s">
        <v>40</v>
      </c>
      <c r="H644" s="14">
        <v>43026</v>
      </c>
      <c r="I644" s="14">
        <v>215631</v>
      </c>
      <c r="J644" s="14" t="s">
        <v>191</v>
      </c>
      <c r="K644" s="14" t="str">
        <f>A644&amp;B644&amp;C644&amp;D644&amp;E644&amp;F644&amp;G644&amp;H644&amp;I644&amp;J644&amp;[1]Sheet1!$G$5</f>
        <v>E0643Shafiq UddinFemaleEngineeringSenior Software EngineerFull-timeDhaka43026215631E0049Sylhet</v>
      </c>
      <c r="L644" s="14">
        <f t="shared" si="30"/>
        <v>133219.5</v>
      </c>
      <c r="M644" s="14">
        <f ca="1" t="shared" si="31"/>
        <v>8</v>
      </c>
      <c r="N644" s="15" t="str">
        <f ca="1" t="shared" si="32"/>
        <v>Experienced</v>
      </c>
    </row>
    <row r="645" spans="1:14">
      <c r="A645" s="16" t="s">
        <v>1235</v>
      </c>
      <c r="B645" s="17" t="s">
        <v>1236</v>
      </c>
      <c r="C645" s="17" t="s">
        <v>19</v>
      </c>
      <c r="D645" s="17" t="s">
        <v>13</v>
      </c>
      <c r="E645" s="17" t="s">
        <v>223</v>
      </c>
      <c r="F645" s="17" t="s">
        <v>15</v>
      </c>
      <c r="G645" s="17" t="s">
        <v>62</v>
      </c>
      <c r="H645" s="17">
        <v>43487</v>
      </c>
      <c r="I645" s="17">
        <v>125647</v>
      </c>
      <c r="J645" s="17" t="s">
        <v>374</v>
      </c>
      <c r="K645" s="17" t="str">
        <f>A645&amp;B645&amp;C645&amp;D645&amp;E645&amp;F645&amp;G645&amp;H645&amp;I645&amp;J645&amp;[1]Sheet1!$G$5</f>
        <v>E0644Tasnim SarkerMaleSalesSenior Account ExecutiveFull-timeChattogram43487125647E0122Sylhet</v>
      </c>
      <c r="L645" s="17">
        <f t="shared" si="30"/>
        <v>132104</v>
      </c>
      <c r="M645" s="17">
        <f ca="1" t="shared" si="31"/>
        <v>7</v>
      </c>
      <c r="N645" s="18" t="str">
        <f ca="1" t="shared" si="32"/>
        <v>Experienced</v>
      </c>
    </row>
    <row r="646" spans="1:14">
      <c r="A646" s="13" t="s">
        <v>1237</v>
      </c>
      <c r="B646" s="14" t="s">
        <v>1238</v>
      </c>
      <c r="C646" s="14" t="s">
        <v>12</v>
      </c>
      <c r="D646" s="14" t="s">
        <v>38</v>
      </c>
      <c r="E646" s="14" t="s">
        <v>77</v>
      </c>
      <c r="F646" s="14" t="s">
        <v>15</v>
      </c>
      <c r="G646" s="14" t="s">
        <v>16</v>
      </c>
      <c r="H646" s="14">
        <v>44210</v>
      </c>
      <c r="I646" s="14">
        <v>129283</v>
      </c>
      <c r="J646" s="14" t="s">
        <v>115</v>
      </c>
      <c r="K646" s="14" t="str">
        <f>A646&amp;B646&amp;C646&amp;D646&amp;E646&amp;F646&amp;G646&amp;H646&amp;I646&amp;J646&amp;[1]Sheet1!$G$5</f>
        <v>E0645Nafiz HossainFemaleEngineeringJunior Software EngineerFull-timeKhulna44210129283E0025Sylhet</v>
      </c>
      <c r="L646" s="14">
        <f t="shared" si="30"/>
        <v>133219.5</v>
      </c>
      <c r="M646" s="14">
        <f ca="1" t="shared" si="31"/>
        <v>5</v>
      </c>
      <c r="N646" s="15" t="str">
        <f ca="1" t="shared" si="32"/>
        <v>Mid level</v>
      </c>
    </row>
    <row r="647" spans="1:14">
      <c r="A647" s="16" t="s">
        <v>54</v>
      </c>
      <c r="B647" s="17" t="s">
        <v>282</v>
      </c>
      <c r="C647" s="17" t="s">
        <v>19</v>
      </c>
      <c r="D647" s="17" t="s">
        <v>52</v>
      </c>
      <c r="E647" s="17" t="s">
        <v>53</v>
      </c>
      <c r="F647" s="17" t="s">
        <v>15</v>
      </c>
      <c r="G647" s="17" t="s">
        <v>62</v>
      </c>
      <c r="H647" s="17">
        <v>44472</v>
      </c>
      <c r="I647" s="17">
        <v>144222</v>
      </c>
      <c r="J647" s="17" t="s">
        <v>347</v>
      </c>
      <c r="K647" s="17" t="str">
        <f>A647&amp;B647&amp;C647&amp;D647&amp;E647&amp;F647&amp;G647&amp;H647&amp;I647&amp;J647&amp;[1]Sheet1!$G$5</f>
        <v>E0646Ayesha BanuMaleOperationsOperations ManagerFull-timeChattogram44472144222E0500Sylhet</v>
      </c>
      <c r="L647" s="17">
        <f t="shared" si="30"/>
        <v>134335</v>
      </c>
      <c r="M647" s="17">
        <f ca="1" t="shared" si="31"/>
        <v>4</v>
      </c>
      <c r="N647" s="18" t="str">
        <f ca="1" t="shared" si="32"/>
        <v>Mid level</v>
      </c>
    </row>
    <row r="648" spans="1:14">
      <c r="A648" s="13" t="s">
        <v>1239</v>
      </c>
      <c r="B648" s="14" t="s">
        <v>942</v>
      </c>
      <c r="C648" s="14" t="s">
        <v>12</v>
      </c>
      <c r="D648" s="14" t="s">
        <v>32</v>
      </c>
      <c r="E648" s="14" t="s">
        <v>57</v>
      </c>
      <c r="F648" s="14" t="s">
        <v>15</v>
      </c>
      <c r="G648" s="14" t="s">
        <v>28</v>
      </c>
      <c r="H648" s="14">
        <v>42973</v>
      </c>
      <c r="I648" s="14">
        <v>98071</v>
      </c>
      <c r="J648" s="14" t="s">
        <v>115</v>
      </c>
      <c r="K648" s="14" t="str">
        <f>A648&amp;B648&amp;C648&amp;D648&amp;E648&amp;F648&amp;G648&amp;H648&amp;I648&amp;J648&amp;[1]Sheet1!$G$5</f>
        <v>E0647Ovi MiahFemaleHRHR AssociateFull-timeRemote4297398071E0025Sylhet</v>
      </c>
      <c r="L648" s="14">
        <f t="shared" si="30"/>
        <v>133219.5</v>
      </c>
      <c r="M648" s="14">
        <f ca="1" t="shared" si="31"/>
        <v>8</v>
      </c>
      <c r="N648" s="15" t="str">
        <f ca="1" t="shared" si="32"/>
        <v>Experienced</v>
      </c>
    </row>
    <row r="649" spans="1:14">
      <c r="A649" s="16" t="s">
        <v>67</v>
      </c>
      <c r="B649" s="17" t="s">
        <v>362</v>
      </c>
      <c r="C649" s="17" t="s">
        <v>12</v>
      </c>
      <c r="D649" s="17" t="s">
        <v>26</v>
      </c>
      <c r="E649" s="17" t="s">
        <v>27</v>
      </c>
      <c r="F649" s="17" t="s">
        <v>15</v>
      </c>
      <c r="G649" s="17" t="s">
        <v>94</v>
      </c>
      <c r="H649" s="17">
        <v>45773</v>
      </c>
      <c r="I649" s="17">
        <v>198142</v>
      </c>
      <c r="J649" s="17" t="s">
        <v>95</v>
      </c>
      <c r="K649" s="17" t="str">
        <f>A649&amp;B649&amp;C649&amp;D649&amp;E649&amp;F649&amp;G649&amp;H649&amp;I649&amp;J649&amp;[1]Sheet1!$G$5</f>
        <v>E0648Sumaiya SharminFemaleFinanceFinance ManagerFull-timeRajshahi45773198142E0893Sylhet</v>
      </c>
      <c r="L649" s="17">
        <f t="shared" si="30"/>
        <v>134335</v>
      </c>
      <c r="M649" s="17">
        <f ca="1" t="shared" si="31"/>
        <v>0</v>
      </c>
      <c r="N649" s="18" t="str">
        <f ca="1" t="shared" si="32"/>
        <v>New</v>
      </c>
    </row>
    <row r="650" spans="1:14">
      <c r="A650" s="13" t="s">
        <v>1003</v>
      </c>
      <c r="B650" s="14" t="s">
        <v>1240</v>
      </c>
      <c r="C650" s="14" t="s">
        <v>19</v>
      </c>
      <c r="D650" s="14" t="s">
        <v>52</v>
      </c>
      <c r="E650" s="14" t="s">
        <v>53</v>
      </c>
      <c r="F650" s="14" t="s">
        <v>15</v>
      </c>
      <c r="G650" s="14" t="s">
        <v>34</v>
      </c>
      <c r="H650" s="14">
        <v>44161</v>
      </c>
      <c r="I650" s="14">
        <v>143186</v>
      </c>
      <c r="J650" s="14" t="s">
        <v>582</v>
      </c>
      <c r="K650" s="14" t="str">
        <f>A650&amp;B650&amp;C650&amp;D650&amp;E650&amp;F650&amp;G650&amp;H650&amp;I650&amp;J650&amp;[1]Sheet1!$G$5</f>
        <v>E0649Rafi AnjumMaleOperationsOperations ManagerFull-timeSylhet44161143186E0511Sylhet</v>
      </c>
      <c r="L650" s="14">
        <f t="shared" si="30"/>
        <v>133219.5</v>
      </c>
      <c r="M650" s="14">
        <f ca="1" t="shared" si="31"/>
        <v>5</v>
      </c>
      <c r="N650" s="15" t="str">
        <f ca="1" t="shared" si="32"/>
        <v>Mid level</v>
      </c>
    </row>
    <row r="651" spans="1:14">
      <c r="A651" s="16" t="s">
        <v>1241</v>
      </c>
      <c r="B651" s="17" t="s">
        <v>1242</v>
      </c>
      <c r="C651" s="17" t="s">
        <v>19</v>
      </c>
      <c r="D651" s="17" t="s">
        <v>92</v>
      </c>
      <c r="E651" s="17" t="s">
        <v>126</v>
      </c>
      <c r="F651" s="17" t="s">
        <v>15</v>
      </c>
      <c r="G651" s="17" t="s">
        <v>34</v>
      </c>
      <c r="H651" s="17">
        <v>42745</v>
      </c>
      <c r="I651" s="17">
        <v>107440</v>
      </c>
      <c r="J651" s="17" t="s">
        <v>879</v>
      </c>
      <c r="K651" s="17" t="str">
        <f>A651&amp;B651&amp;C651&amp;D651&amp;E651&amp;F651&amp;G651&amp;H651&amp;I651&amp;J651&amp;[1]Sheet1!$G$5</f>
        <v>E0650Sajid JahanMaleMarketingSEO SpecialistFull-timeSylhet42745107440E0745Sylhet</v>
      </c>
      <c r="L651" s="17">
        <f t="shared" si="30"/>
        <v>132104</v>
      </c>
      <c r="M651" s="17">
        <f ca="1" t="shared" si="31"/>
        <v>9</v>
      </c>
      <c r="N651" s="18" t="str">
        <f ca="1" t="shared" si="32"/>
        <v>Experienced</v>
      </c>
    </row>
    <row r="652" spans="1:14">
      <c r="A652" s="13" t="s">
        <v>1243</v>
      </c>
      <c r="B652" s="14" t="s">
        <v>504</v>
      </c>
      <c r="C652" s="14" t="s">
        <v>19</v>
      </c>
      <c r="D652" s="14" t="s">
        <v>38</v>
      </c>
      <c r="E652" s="14" t="s">
        <v>77</v>
      </c>
      <c r="F652" s="14" t="s">
        <v>15</v>
      </c>
      <c r="G652" s="14" t="s">
        <v>34</v>
      </c>
      <c r="H652" s="14">
        <v>43279</v>
      </c>
      <c r="I652" s="14">
        <v>139534</v>
      </c>
      <c r="J652" s="14" t="s">
        <v>197</v>
      </c>
      <c r="K652" s="14" t="str">
        <f>A652&amp;B652&amp;C652&amp;D652&amp;E652&amp;F652&amp;G652&amp;H652&amp;I652&amp;J652&amp;[1]Sheet1!$G$5</f>
        <v>E0651Sajid AhmedMaleEngineeringJunior Software EngineerFull-timeSylhet43279139534E0051Sylhet</v>
      </c>
      <c r="L652" s="14">
        <f t="shared" si="30"/>
        <v>133219.5</v>
      </c>
      <c r="M652" s="14">
        <f ca="1" t="shared" si="31"/>
        <v>7</v>
      </c>
      <c r="N652" s="15" t="str">
        <f ca="1" t="shared" si="32"/>
        <v>Experienced</v>
      </c>
    </row>
    <row r="653" spans="1:14">
      <c r="A653" s="16" t="s">
        <v>1244</v>
      </c>
      <c r="B653" s="17" t="s">
        <v>1187</v>
      </c>
      <c r="C653" s="17" t="s">
        <v>19</v>
      </c>
      <c r="D653" s="17" t="s">
        <v>92</v>
      </c>
      <c r="E653" s="17" t="s">
        <v>391</v>
      </c>
      <c r="F653" s="17" t="s">
        <v>15</v>
      </c>
      <c r="G653" s="17" t="s">
        <v>62</v>
      </c>
      <c r="H653" s="17">
        <v>45715</v>
      </c>
      <c r="I653" s="17">
        <v>140432</v>
      </c>
      <c r="J653" s="17" t="s">
        <v>67</v>
      </c>
      <c r="K653" s="17" t="str">
        <f>A653&amp;B653&amp;C653&amp;D653&amp;E653&amp;F653&amp;G653&amp;H653&amp;I653&amp;J653&amp;[1]Sheet1!$G$5</f>
        <v>E0652Rafi AkterMaleMarketingContent SpecialistFull-timeChattogram45715140432E0648Sylhet</v>
      </c>
      <c r="L653" s="17">
        <f t="shared" si="30"/>
        <v>132104</v>
      </c>
      <c r="M653" s="17">
        <f ca="1" t="shared" si="31"/>
        <v>1</v>
      </c>
      <c r="N653" s="18" t="str">
        <f ca="1" t="shared" si="32"/>
        <v>New</v>
      </c>
    </row>
    <row r="654" spans="1:14">
      <c r="A654" s="13" t="s">
        <v>1245</v>
      </c>
      <c r="B654" s="14" t="s">
        <v>1246</v>
      </c>
      <c r="C654" s="14" t="s">
        <v>12</v>
      </c>
      <c r="D654" s="14" t="s">
        <v>92</v>
      </c>
      <c r="E654" s="14" t="s">
        <v>391</v>
      </c>
      <c r="F654" s="14" t="s">
        <v>15</v>
      </c>
      <c r="G654" s="14" t="s">
        <v>34</v>
      </c>
      <c r="H654" s="14">
        <v>44217</v>
      </c>
      <c r="I654" s="14">
        <v>163230</v>
      </c>
      <c r="J654" s="14" t="s">
        <v>72</v>
      </c>
      <c r="K654" s="14" t="str">
        <f>A654&amp;B654&amp;C654&amp;D654&amp;E654&amp;F654&amp;G654&amp;H654&amp;I654&amp;J654&amp;[1]Sheet1!$G$5</f>
        <v>E0653Sadia IslamFemaleMarketingContent SpecialistFull-timeSylhet44217163230E0013Sylhet</v>
      </c>
      <c r="L654" s="14">
        <f t="shared" si="30"/>
        <v>132031</v>
      </c>
      <c r="M654" s="14">
        <f ca="1" t="shared" si="31"/>
        <v>5</v>
      </c>
      <c r="N654" s="15" t="str">
        <f ca="1" t="shared" si="32"/>
        <v>Mid level</v>
      </c>
    </row>
    <row r="655" spans="1:14">
      <c r="A655" s="16" t="s">
        <v>1247</v>
      </c>
      <c r="B655" s="17" t="s">
        <v>1248</v>
      </c>
      <c r="C655" s="17" t="s">
        <v>19</v>
      </c>
      <c r="D655" s="17" t="s">
        <v>26</v>
      </c>
      <c r="E655" s="17" t="s">
        <v>61</v>
      </c>
      <c r="F655" s="17" t="s">
        <v>15</v>
      </c>
      <c r="G655" s="17" t="s">
        <v>16</v>
      </c>
      <c r="H655" s="17">
        <v>43801</v>
      </c>
      <c r="I655" s="17">
        <v>116495</v>
      </c>
      <c r="J655" s="17" t="s">
        <v>108</v>
      </c>
      <c r="K655" s="17" t="str">
        <f>A655&amp;B655&amp;C655&amp;D655&amp;E655&amp;F655&amp;G655&amp;H655&amp;I655&amp;J655&amp;[1]Sheet1!$G$5</f>
        <v>E0654Noman SharminMaleFinanceFinancial AnalystFull-timeKhulna43801116495E0190Sylhet</v>
      </c>
      <c r="L655" s="17">
        <f t="shared" si="30"/>
        <v>131958</v>
      </c>
      <c r="M655" s="17">
        <f ca="1" t="shared" si="31"/>
        <v>6</v>
      </c>
      <c r="N655" s="18" t="str">
        <f ca="1" t="shared" si="32"/>
        <v>Experienced</v>
      </c>
    </row>
    <row r="656" spans="1:14">
      <c r="A656" s="13" t="s">
        <v>1249</v>
      </c>
      <c r="B656" s="14" t="s">
        <v>297</v>
      </c>
      <c r="C656" s="14" t="s">
        <v>12</v>
      </c>
      <c r="D656" s="14" t="s">
        <v>13</v>
      </c>
      <c r="E656" s="14" t="s">
        <v>14</v>
      </c>
      <c r="F656" s="14" t="s">
        <v>15</v>
      </c>
      <c r="G656" s="14" t="s">
        <v>16</v>
      </c>
      <c r="H656" s="14">
        <v>42479</v>
      </c>
      <c r="I656" s="14">
        <v>129832</v>
      </c>
      <c r="J656" s="14" t="s">
        <v>29</v>
      </c>
      <c r="K656" s="14" t="str">
        <f>A656&amp;B656&amp;C656&amp;D656&amp;E656&amp;F656&amp;G656&amp;H656&amp;I656&amp;J656&amp;[1]Sheet1!$G$5</f>
        <v>E0655Mitu ChowdhuryFemaleSalesSales AssociateFull-timeKhulna42479129832E0990Sylhet</v>
      </c>
      <c r="L656" s="14">
        <f t="shared" si="30"/>
        <v>132031</v>
      </c>
      <c r="M656" s="14">
        <f ca="1" t="shared" si="31"/>
        <v>9</v>
      </c>
      <c r="N656" s="15" t="str">
        <f ca="1" t="shared" si="32"/>
        <v>Experienced</v>
      </c>
    </row>
    <row r="657" spans="1:14">
      <c r="A657" s="16" t="s">
        <v>464</v>
      </c>
      <c r="B657" s="17" t="s">
        <v>1250</v>
      </c>
      <c r="C657" s="17" t="s">
        <v>19</v>
      </c>
      <c r="D657" s="17" t="s">
        <v>38</v>
      </c>
      <c r="E657" s="17" t="s">
        <v>84</v>
      </c>
      <c r="F657" s="17" t="s">
        <v>15</v>
      </c>
      <c r="G657" s="17" t="s">
        <v>34</v>
      </c>
      <c r="H657" s="17">
        <v>44069</v>
      </c>
      <c r="I657" s="17">
        <v>156323</v>
      </c>
      <c r="J657" s="17" t="s">
        <v>262</v>
      </c>
      <c r="K657" s="17" t="str">
        <f>A657&amp;B657&amp;C657&amp;D657&amp;E657&amp;F657&amp;G657&amp;H657&amp;I657&amp;J657&amp;[1]Sheet1!$G$5</f>
        <v>E0656Rashed AnjumMaleEngineeringEngineering ManagerFull-timeSylhet44069156323E0075Sylhet</v>
      </c>
      <c r="L657" s="17">
        <f t="shared" si="30"/>
        <v>132104</v>
      </c>
      <c r="M657" s="17">
        <f ca="1" t="shared" si="31"/>
        <v>5</v>
      </c>
      <c r="N657" s="18" t="str">
        <f ca="1" t="shared" si="32"/>
        <v>Mid level</v>
      </c>
    </row>
    <row r="658" spans="1:14">
      <c r="A658" s="13" t="s">
        <v>274</v>
      </c>
      <c r="B658" s="14" t="s">
        <v>1251</v>
      </c>
      <c r="C658" s="14" t="s">
        <v>19</v>
      </c>
      <c r="D658" s="14" t="s">
        <v>87</v>
      </c>
      <c r="E658" s="14" t="s">
        <v>156</v>
      </c>
      <c r="F658" s="14" t="s">
        <v>15</v>
      </c>
      <c r="G658" s="14" t="s">
        <v>40</v>
      </c>
      <c r="H658" s="14">
        <v>42588</v>
      </c>
      <c r="I658" s="14">
        <v>284958</v>
      </c>
      <c r="J658" s="14" t="s">
        <v>322</v>
      </c>
      <c r="K658" s="14" t="str">
        <f>A658&amp;B658&amp;C658&amp;D658&amp;E658&amp;F658&amp;G658&amp;H658&amp;I658&amp;J658&amp;[1]Sheet1!$G$5</f>
        <v>E0657Arif HaiderMaleProductAssociate Product ManagerFull-timeDhaka42588284958E0672Sylhet</v>
      </c>
      <c r="L658" s="14">
        <f t="shared" si="30"/>
        <v>132031</v>
      </c>
      <c r="M658" s="14">
        <f ca="1" t="shared" si="31"/>
        <v>9</v>
      </c>
      <c r="N658" s="15" t="str">
        <f ca="1" t="shared" si="32"/>
        <v>Experienced</v>
      </c>
    </row>
    <row r="659" spans="1:14">
      <c r="A659" s="16" t="s">
        <v>1252</v>
      </c>
      <c r="B659" s="17" t="s">
        <v>893</v>
      </c>
      <c r="C659" s="17" t="s">
        <v>12</v>
      </c>
      <c r="D659" s="17" t="s">
        <v>13</v>
      </c>
      <c r="E659" s="17" t="s">
        <v>165</v>
      </c>
      <c r="F659" s="17" t="s">
        <v>15</v>
      </c>
      <c r="G659" s="17" t="s">
        <v>94</v>
      </c>
      <c r="H659" s="17">
        <v>43993</v>
      </c>
      <c r="I659" s="17">
        <v>189635</v>
      </c>
      <c r="J659" s="17"/>
      <c r="K659" s="17" t="str">
        <f>A659&amp;B659&amp;C659&amp;D659&amp;E659&amp;F659&amp;G659&amp;H659&amp;I659&amp;J659&amp;[1]Sheet1!$G$5</f>
        <v>E0658Rafi SharminFemaleSalesAccount ExecutiveFull-timeRajshahi43993189635Sylhet</v>
      </c>
      <c r="L659" s="17">
        <f t="shared" si="30"/>
        <v>131958</v>
      </c>
      <c r="M659" s="17">
        <f ca="1" t="shared" si="31"/>
        <v>5</v>
      </c>
      <c r="N659" s="18" t="str">
        <f ca="1" t="shared" si="32"/>
        <v>Mid level</v>
      </c>
    </row>
    <row r="660" spans="1:14">
      <c r="A660" s="13" t="s">
        <v>1253</v>
      </c>
      <c r="B660" s="14" t="s">
        <v>561</v>
      </c>
      <c r="C660" s="14" t="s">
        <v>19</v>
      </c>
      <c r="D660" s="14" t="s">
        <v>32</v>
      </c>
      <c r="E660" s="14" t="s">
        <v>130</v>
      </c>
      <c r="F660" s="14" t="s">
        <v>15</v>
      </c>
      <c r="G660" s="14" t="s">
        <v>94</v>
      </c>
      <c r="H660" s="14">
        <v>44426</v>
      </c>
      <c r="I660" s="14">
        <v>101750</v>
      </c>
      <c r="J660" s="14" t="s">
        <v>1036</v>
      </c>
      <c r="K660" s="14" t="str">
        <f>A660&amp;B660&amp;C660&amp;D660&amp;E660&amp;F660&amp;G660&amp;H660&amp;I660&amp;J660&amp;[1]Sheet1!$G$5</f>
        <v>E0659Nafiz AhmedMaleHRRecruiterFull-timeRajshahi44426101750E0997Sylhet</v>
      </c>
      <c r="L660" s="14">
        <f t="shared" si="30"/>
        <v>131817.5</v>
      </c>
      <c r="M660" s="14">
        <f ca="1" t="shared" si="31"/>
        <v>4</v>
      </c>
      <c r="N660" s="15" t="str">
        <f ca="1" t="shared" si="32"/>
        <v>Mid level</v>
      </c>
    </row>
    <row r="661" spans="1:14">
      <c r="A661" s="16" t="s">
        <v>1254</v>
      </c>
      <c r="B661" s="17" t="s">
        <v>1074</v>
      </c>
      <c r="C661" s="17" t="s">
        <v>19</v>
      </c>
      <c r="D661" s="17" t="s">
        <v>92</v>
      </c>
      <c r="E661" s="17" t="s">
        <v>391</v>
      </c>
      <c r="F661" s="17" t="s">
        <v>15</v>
      </c>
      <c r="G661" s="17" t="s">
        <v>28</v>
      </c>
      <c r="H661" s="17">
        <v>43901</v>
      </c>
      <c r="I661" s="17">
        <v>129219</v>
      </c>
      <c r="J661" s="17" t="s">
        <v>884</v>
      </c>
      <c r="K661" s="17" t="str">
        <f>A661&amp;B661&amp;C661&amp;D661&amp;E661&amp;F661&amp;G661&amp;H661&amp;I661&amp;J661&amp;[1]Sheet1!$G$5</f>
        <v>E0660Noman HaiderMaleMarketingContent SpecialistFull-timeRemote43901129219E0874Sylhet</v>
      </c>
      <c r="L661" s="17">
        <f t="shared" si="30"/>
        <v>131958</v>
      </c>
      <c r="M661" s="17">
        <f ca="1" t="shared" si="31"/>
        <v>6</v>
      </c>
      <c r="N661" s="18" t="str">
        <f ca="1" t="shared" si="32"/>
        <v>Experienced</v>
      </c>
    </row>
    <row r="662" spans="1:14">
      <c r="A662" s="13" t="s">
        <v>1255</v>
      </c>
      <c r="B662" s="14" t="s">
        <v>1256</v>
      </c>
      <c r="C662" s="14" t="s">
        <v>12</v>
      </c>
      <c r="D662" s="14" t="s">
        <v>13</v>
      </c>
      <c r="E662" s="14" t="s">
        <v>223</v>
      </c>
      <c r="F662" s="14" t="s">
        <v>15</v>
      </c>
      <c r="G662" s="14" t="s">
        <v>34</v>
      </c>
      <c r="H662" s="14">
        <v>43335</v>
      </c>
      <c r="I662" s="14">
        <v>223274</v>
      </c>
      <c r="J662" s="14" t="s">
        <v>127</v>
      </c>
      <c r="K662" s="14" t="str">
        <f>A662&amp;B662&amp;C662&amp;D662&amp;E662&amp;F662&amp;G662&amp;H662&amp;I662&amp;J662&amp;[1]Sheet1!$G$5</f>
        <v>E0661Karim MahmudFemaleSalesSenior Account ExecutiveFull-timeSylhet43335223274E0755Sylhet</v>
      </c>
      <c r="L662" s="14">
        <f t="shared" si="30"/>
        <v>132031</v>
      </c>
      <c r="M662" s="14">
        <f ca="1" t="shared" si="31"/>
        <v>7</v>
      </c>
      <c r="N662" s="15" t="str">
        <f ca="1" t="shared" si="32"/>
        <v>Experienced</v>
      </c>
    </row>
    <row r="663" spans="1:14">
      <c r="A663" s="16" t="s">
        <v>1257</v>
      </c>
      <c r="B663" s="17" t="s">
        <v>1258</v>
      </c>
      <c r="C663" s="17" t="s">
        <v>19</v>
      </c>
      <c r="D663" s="17" t="s">
        <v>20</v>
      </c>
      <c r="E663" s="17" t="s">
        <v>21</v>
      </c>
      <c r="F663" s="17" t="s">
        <v>15</v>
      </c>
      <c r="G663" s="17" t="s">
        <v>94</v>
      </c>
      <c r="H663" s="17">
        <v>43951</v>
      </c>
      <c r="I663" s="17">
        <v>68587</v>
      </c>
      <c r="J663" s="17"/>
      <c r="K663" s="17" t="str">
        <f>A663&amp;B663&amp;C663&amp;D663&amp;E663&amp;F663&amp;G663&amp;H663&amp;I663&amp;J663&amp;[1]Sheet1!$G$5</f>
        <v>E0662Tamanna SharminMaleCustomer SuccessSupport SpecialistFull-timeRajshahi4395168587Sylhet</v>
      </c>
      <c r="L663" s="17">
        <f t="shared" si="30"/>
        <v>131958</v>
      </c>
      <c r="M663" s="17">
        <f ca="1" t="shared" si="31"/>
        <v>5</v>
      </c>
      <c r="N663" s="18" t="str">
        <f ca="1" t="shared" si="32"/>
        <v>Mid level</v>
      </c>
    </row>
    <row r="664" spans="1:14">
      <c r="A664" s="13" t="s">
        <v>325</v>
      </c>
      <c r="B664" s="14" t="s">
        <v>771</v>
      </c>
      <c r="C664" s="14" t="s">
        <v>293</v>
      </c>
      <c r="D664" s="14" t="s">
        <v>32</v>
      </c>
      <c r="E664" s="14" t="s">
        <v>208</v>
      </c>
      <c r="F664" s="14" t="s">
        <v>15</v>
      </c>
      <c r="G664" s="14" t="s">
        <v>94</v>
      </c>
      <c r="H664" s="14">
        <v>42704</v>
      </c>
      <c r="I664" s="14">
        <v>140584</v>
      </c>
      <c r="J664" s="14" t="s">
        <v>1122</v>
      </c>
      <c r="K664" s="14" t="str">
        <f>A664&amp;B664&amp;C664&amp;D664&amp;E664&amp;F664&amp;G664&amp;H664&amp;I664&amp;J664&amp;[1]Sheet1!$G$5</f>
        <v>E0663Shawon AminPrefer not to sayHRHR ManagerFull-timeRajshahi42704140584E0551Sylhet</v>
      </c>
      <c r="L664" s="14">
        <f t="shared" si="30"/>
        <v>132031</v>
      </c>
      <c r="M664" s="14">
        <f ca="1" t="shared" si="31"/>
        <v>9</v>
      </c>
      <c r="N664" s="15" t="str">
        <f ca="1" t="shared" si="32"/>
        <v>Experienced</v>
      </c>
    </row>
    <row r="665" spans="1:14">
      <c r="A665" s="16" t="s">
        <v>1259</v>
      </c>
      <c r="B665" s="17" t="s">
        <v>1260</v>
      </c>
      <c r="C665" s="17" t="s">
        <v>19</v>
      </c>
      <c r="D665" s="17" t="s">
        <v>87</v>
      </c>
      <c r="E665" s="17" t="s">
        <v>156</v>
      </c>
      <c r="F665" s="17" t="s">
        <v>15</v>
      </c>
      <c r="G665" s="17" t="s">
        <v>62</v>
      </c>
      <c r="H665" s="17">
        <v>43905</v>
      </c>
      <c r="I665" s="17">
        <v>219962</v>
      </c>
      <c r="J665" s="17"/>
      <c r="K665" s="17" t="str">
        <f>A665&amp;B665&amp;C665&amp;D665&amp;E665&amp;F665&amp;G665&amp;H665&amp;I665&amp;J665&amp;[1]Sheet1!$G$5</f>
        <v>E0664Rahim MiahMaleProductAssociate Product ManagerFull-timeChattogram43905219962Sylhet</v>
      </c>
      <c r="L665" s="17">
        <f t="shared" si="30"/>
        <v>131958</v>
      </c>
      <c r="M665" s="17">
        <f ca="1" t="shared" si="31"/>
        <v>6</v>
      </c>
      <c r="N665" s="18" t="str">
        <f ca="1" t="shared" si="32"/>
        <v>Experienced</v>
      </c>
    </row>
    <row r="666" spans="1:14">
      <c r="A666" s="13" t="s">
        <v>105</v>
      </c>
      <c r="B666" s="14" t="s">
        <v>1261</v>
      </c>
      <c r="C666" s="14" t="s">
        <v>12</v>
      </c>
      <c r="D666" s="14" t="s">
        <v>38</v>
      </c>
      <c r="E666" s="14" t="s">
        <v>84</v>
      </c>
      <c r="F666" s="14" t="s">
        <v>15</v>
      </c>
      <c r="G666" s="14" t="s">
        <v>40</v>
      </c>
      <c r="H666" s="14">
        <v>43289</v>
      </c>
      <c r="I666" s="14">
        <v>115007</v>
      </c>
      <c r="J666" s="14"/>
      <c r="K666" s="14" t="str">
        <f>A666&amp;B666&amp;C666&amp;D666&amp;E666&amp;F666&amp;G666&amp;H666&amp;I666&amp;J666&amp;[1]Sheet1!$G$5</f>
        <v>E0665Farhan SadiqFemaleEngineeringEngineering ManagerFull-timeDhaka43289115007Sylhet</v>
      </c>
      <c r="L666" s="14">
        <f t="shared" si="30"/>
        <v>131817.5</v>
      </c>
      <c r="M666" s="14">
        <f ca="1" t="shared" si="31"/>
        <v>7</v>
      </c>
      <c r="N666" s="15" t="str">
        <f ca="1" t="shared" si="32"/>
        <v>Experienced</v>
      </c>
    </row>
    <row r="667" spans="1:14">
      <c r="A667" s="16" t="s">
        <v>1262</v>
      </c>
      <c r="B667" s="17" t="s">
        <v>1263</v>
      </c>
      <c r="C667" s="17" t="s">
        <v>12</v>
      </c>
      <c r="D667" s="17" t="s">
        <v>38</v>
      </c>
      <c r="E667" s="17" t="s">
        <v>39</v>
      </c>
      <c r="F667" s="17" t="s">
        <v>15</v>
      </c>
      <c r="G667" s="17" t="s">
        <v>40</v>
      </c>
      <c r="H667" s="17">
        <v>42485</v>
      </c>
      <c r="I667" s="17">
        <v>214063</v>
      </c>
      <c r="J667" s="17" t="s">
        <v>309</v>
      </c>
      <c r="K667" s="17" t="str">
        <f>A667&amp;B667&amp;C667&amp;D667&amp;E667&amp;F667&amp;G667&amp;H667&amp;I667&amp;J667&amp;[1]Sheet1!$G$5</f>
        <v>E0666Imran SharminFemaleEngineeringDevOps EngineerFull-timeDhaka42485214063E0197Sylhet</v>
      </c>
      <c r="L667" s="17">
        <f t="shared" si="30"/>
        <v>131958</v>
      </c>
      <c r="M667" s="17">
        <f ca="1" t="shared" si="31"/>
        <v>9</v>
      </c>
      <c r="N667" s="18" t="str">
        <f ca="1" t="shared" si="32"/>
        <v>Experienced</v>
      </c>
    </row>
    <row r="668" spans="1:14">
      <c r="A668" s="13" t="s">
        <v>1264</v>
      </c>
      <c r="B668" s="14" t="s">
        <v>249</v>
      </c>
      <c r="C668" s="14" t="s">
        <v>12</v>
      </c>
      <c r="D668" s="14" t="s">
        <v>87</v>
      </c>
      <c r="E668" s="14" t="s">
        <v>88</v>
      </c>
      <c r="F668" s="14" t="s">
        <v>15</v>
      </c>
      <c r="G668" s="14" t="s">
        <v>28</v>
      </c>
      <c r="H668" s="14">
        <v>43675</v>
      </c>
      <c r="I668" s="14">
        <v>185866</v>
      </c>
      <c r="J668" s="14" t="s">
        <v>299</v>
      </c>
      <c r="K668" s="14" t="str">
        <f>A668&amp;B668&amp;C668&amp;D668&amp;E668&amp;F668&amp;G668&amp;H668&amp;I668&amp;J668&amp;[1]Sheet1!$G$5</f>
        <v>E0667Priya TalukderFemaleProductProduct AnalystFull-timeRemote43675185866E0089Sylhet</v>
      </c>
      <c r="L668" s="14">
        <f t="shared" si="30"/>
        <v>131817.5</v>
      </c>
      <c r="M668" s="14">
        <f ca="1" t="shared" si="31"/>
        <v>6</v>
      </c>
      <c r="N668" s="15" t="str">
        <f ca="1" t="shared" si="32"/>
        <v>Experienced</v>
      </c>
    </row>
    <row r="669" spans="1:14">
      <c r="A669" s="16" t="s">
        <v>786</v>
      </c>
      <c r="B669" s="17" t="s">
        <v>422</v>
      </c>
      <c r="C669" s="17" t="s">
        <v>19</v>
      </c>
      <c r="D669" s="17" t="s">
        <v>38</v>
      </c>
      <c r="E669" s="17" t="s">
        <v>84</v>
      </c>
      <c r="F669" s="17" t="s">
        <v>15</v>
      </c>
      <c r="G669" s="17" t="s">
        <v>94</v>
      </c>
      <c r="H669" s="17">
        <v>42775</v>
      </c>
      <c r="I669" s="17">
        <v>152869</v>
      </c>
      <c r="J669" s="17" t="s">
        <v>558</v>
      </c>
      <c r="K669" s="17" t="str">
        <f>A669&amp;B669&amp;C669&amp;D669&amp;E669&amp;F669&amp;G669&amp;H669&amp;I669&amp;J669&amp;[1]Sheet1!$G$5</f>
        <v>E0668Sajid RanaMaleEngineeringEngineering ManagerFull-timeRajshahi42775152869E0214Sylhet</v>
      </c>
      <c r="L669" s="17">
        <f t="shared" si="30"/>
        <v>131677</v>
      </c>
      <c r="M669" s="17">
        <f ca="1" t="shared" si="31"/>
        <v>9</v>
      </c>
      <c r="N669" s="18" t="str">
        <f ca="1" t="shared" si="32"/>
        <v>Experienced</v>
      </c>
    </row>
    <row r="670" spans="1:14">
      <c r="A670" s="13" t="s">
        <v>1265</v>
      </c>
      <c r="B670" s="14" t="s">
        <v>1266</v>
      </c>
      <c r="C670" s="14" t="s">
        <v>19</v>
      </c>
      <c r="D670" s="14" t="s">
        <v>38</v>
      </c>
      <c r="E670" s="14" t="s">
        <v>77</v>
      </c>
      <c r="F670" s="14" t="s">
        <v>15</v>
      </c>
      <c r="G670" s="14" t="s">
        <v>28</v>
      </c>
      <c r="H670" s="14">
        <v>45807</v>
      </c>
      <c r="I670" s="14">
        <v>98911</v>
      </c>
      <c r="J670" s="14" t="s">
        <v>288</v>
      </c>
      <c r="K670" s="14" t="str">
        <f>A670&amp;B670&amp;C670&amp;D670&amp;E670&amp;F670&amp;G670&amp;H670&amp;I670&amp;J670&amp;[1]Sheet1!$G$5</f>
        <v>E0669Fahim RanaMaleEngineeringJunior Software EngineerFull-timeRemote4580798911E0172Sylhet</v>
      </c>
      <c r="L670" s="14">
        <f t="shared" si="30"/>
        <v>131671.5</v>
      </c>
      <c r="M670" s="14">
        <f ca="1" t="shared" si="31"/>
        <v>0</v>
      </c>
      <c r="N670" s="15" t="str">
        <f ca="1" t="shared" si="32"/>
        <v>New</v>
      </c>
    </row>
    <row r="671" spans="1:14">
      <c r="A671" s="16" t="s">
        <v>1018</v>
      </c>
      <c r="B671" s="17" t="s">
        <v>431</v>
      </c>
      <c r="C671" s="17" t="s">
        <v>19</v>
      </c>
      <c r="D671" s="17" t="s">
        <v>87</v>
      </c>
      <c r="E671" s="17" t="s">
        <v>111</v>
      </c>
      <c r="F671" s="17" t="s">
        <v>15</v>
      </c>
      <c r="G671" s="17" t="s">
        <v>62</v>
      </c>
      <c r="H671" s="17">
        <v>45297</v>
      </c>
      <c r="I671" s="17">
        <v>220530</v>
      </c>
      <c r="J671" s="17" t="s">
        <v>663</v>
      </c>
      <c r="K671" s="17" t="str">
        <f>A671&amp;B671&amp;C671&amp;D671&amp;E671&amp;F671&amp;G671&amp;H671&amp;I671&amp;J671&amp;[1]Sheet1!$G$5</f>
        <v>E0670Ovi HossainMaleProductSenior Product ManagerFull-timeChattogram45297220530E0688Sylhet</v>
      </c>
      <c r="L671" s="17">
        <f t="shared" si="30"/>
        <v>131677</v>
      </c>
      <c r="M671" s="17">
        <f ca="1" t="shared" si="31"/>
        <v>2</v>
      </c>
      <c r="N671" s="18" t="str">
        <f ca="1" t="shared" si="32"/>
        <v>New</v>
      </c>
    </row>
    <row r="672" spans="1:14">
      <c r="A672" s="13" t="s">
        <v>1267</v>
      </c>
      <c r="B672" s="14" t="s">
        <v>1196</v>
      </c>
      <c r="C672" s="14" t="s">
        <v>19</v>
      </c>
      <c r="D672" s="14" t="s">
        <v>38</v>
      </c>
      <c r="E672" s="14" t="s">
        <v>66</v>
      </c>
      <c r="F672" s="14" t="s">
        <v>48</v>
      </c>
      <c r="G672" s="14" t="s">
        <v>16</v>
      </c>
      <c r="H672" s="14">
        <v>45032</v>
      </c>
      <c r="I672" s="14">
        <v>173326</v>
      </c>
      <c r="J672" s="14" t="s">
        <v>1259</v>
      </c>
      <c r="K672" s="14" t="str">
        <f>A672&amp;B672&amp;C672&amp;D672&amp;E672&amp;F672&amp;G672&amp;H672&amp;I672&amp;J672&amp;[1]Sheet1!$G$5</f>
        <v>E0671Priya MorshedMaleEngineeringSoftware EngineerContractKhulna45032173326E0664Sylhet</v>
      </c>
      <c r="L672" s="14">
        <f t="shared" si="30"/>
        <v>131671.5</v>
      </c>
      <c r="M672" s="14">
        <f ca="1" t="shared" si="31"/>
        <v>2</v>
      </c>
      <c r="N672" s="15" t="str">
        <f ca="1" t="shared" si="32"/>
        <v>New</v>
      </c>
    </row>
    <row r="673" spans="1:14">
      <c r="A673" s="16" t="s">
        <v>322</v>
      </c>
      <c r="B673" s="17" t="s">
        <v>623</v>
      </c>
      <c r="C673" s="17" t="s">
        <v>12</v>
      </c>
      <c r="D673" s="17" t="s">
        <v>52</v>
      </c>
      <c r="E673" s="17" t="s">
        <v>53</v>
      </c>
      <c r="F673" s="17" t="s">
        <v>48</v>
      </c>
      <c r="G673" s="17" t="s">
        <v>28</v>
      </c>
      <c r="H673" s="17">
        <v>43743</v>
      </c>
      <c r="I673" s="17">
        <v>202760</v>
      </c>
      <c r="J673" s="17" t="s">
        <v>386</v>
      </c>
      <c r="K673" s="17" t="str">
        <f>A673&amp;B673&amp;C673&amp;D673&amp;E673&amp;F673&amp;G673&amp;H673&amp;I673&amp;J673&amp;[1]Sheet1!$G$5</f>
        <v>E0672Shawon JahanFemaleOperationsOperations ManagerContractRemote43743202760E0585Sylhet</v>
      </c>
      <c r="L673" s="17">
        <f t="shared" si="30"/>
        <v>131666</v>
      </c>
      <c r="M673" s="17">
        <f ca="1" t="shared" si="31"/>
        <v>6</v>
      </c>
      <c r="N673" s="18" t="str">
        <f ca="1" t="shared" si="32"/>
        <v>Experienced</v>
      </c>
    </row>
    <row r="674" spans="1:14">
      <c r="A674" s="13" t="s">
        <v>1268</v>
      </c>
      <c r="B674" s="14" t="s">
        <v>1269</v>
      </c>
      <c r="C674" s="14" t="s">
        <v>293</v>
      </c>
      <c r="D674" s="14" t="s">
        <v>38</v>
      </c>
      <c r="E674" s="14" t="s">
        <v>39</v>
      </c>
      <c r="F674" s="14" t="s">
        <v>22</v>
      </c>
      <c r="G674" s="14" t="s">
        <v>62</v>
      </c>
      <c r="H674" s="14">
        <v>45611</v>
      </c>
      <c r="I674" s="14">
        <v>163043</v>
      </c>
      <c r="J674" s="14" t="s">
        <v>295</v>
      </c>
      <c r="K674" s="14" t="str">
        <f>A674&amp;B674&amp;C674&amp;D674&amp;E674&amp;F674&amp;G674&amp;H674&amp;I674&amp;J674&amp;[1]Sheet1!$G$5</f>
        <v>E0673Zahid RahmanPrefer not to sayEngineeringDevOps EngineerInternChattogram45611163043E0420Sylhet</v>
      </c>
      <c r="L674" s="14">
        <f t="shared" si="30"/>
        <v>131642.5</v>
      </c>
      <c r="M674" s="14">
        <f ca="1" t="shared" si="31"/>
        <v>1</v>
      </c>
      <c r="N674" s="15" t="str">
        <f ca="1" t="shared" si="32"/>
        <v>New</v>
      </c>
    </row>
    <row r="675" spans="1:14">
      <c r="A675" s="16" t="s">
        <v>1270</v>
      </c>
      <c r="B675" s="17" t="s">
        <v>1271</v>
      </c>
      <c r="C675" s="17" t="s">
        <v>19</v>
      </c>
      <c r="D675" s="17" t="s">
        <v>92</v>
      </c>
      <c r="E675" s="17" t="s">
        <v>126</v>
      </c>
      <c r="F675" s="17" t="s">
        <v>15</v>
      </c>
      <c r="G675" s="17" t="s">
        <v>40</v>
      </c>
      <c r="H675" s="17">
        <v>42968</v>
      </c>
      <c r="I675" s="17">
        <v>111351</v>
      </c>
      <c r="J675" s="17" t="s">
        <v>71</v>
      </c>
      <c r="K675" s="17" t="str">
        <f>A675&amp;B675&amp;C675&amp;D675&amp;E675&amp;F675&amp;G675&amp;H675&amp;I675&amp;J675&amp;[1]Sheet1!$G$5</f>
        <v>E0674Mahin ShahMaleMarketingSEO SpecialistFull-timeDhaka42968111351E0816Sylhet</v>
      </c>
      <c r="L675" s="17">
        <f t="shared" si="30"/>
        <v>131619</v>
      </c>
      <c r="M675" s="17">
        <f ca="1" t="shared" si="31"/>
        <v>8</v>
      </c>
      <c r="N675" s="18" t="str">
        <f ca="1" t="shared" si="32"/>
        <v>Experienced</v>
      </c>
    </row>
    <row r="676" spans="1:14">
      <c r="A676" s="13" t="s">
        <v>1272</v>
      </c>
      <c r="B676" s="14" t="s">
        <v>1273</v>
      </c>
      <c r="C676" s="14" t="s">
        <v>12</v>
      </c>
      <c r="D676" s="14" t="s">
        <v>13</v>
      </c>
      <c r="E676" s="14" t="s">
        <v>223</v>
      </c>
      <c r="F676" s="14" t="s">
        <v>15</v>
      </c>
      <c r="G676" s="14" t="s">
        <v>16</v>
      </c>
      <c r="H676" s="14">
        <v>42933</v>
      </c>
      <c r="I676" s="14">
        <v>226302</v>
      </c>
      <c r="J676" s="14" t="s">
        <v>412</v>
      </c>
      <c r="K676" s="14" t="str">
        <f>A676&amp;B676&amp;C676&amp;D676&amp;E676&amp;F676&amp;G676&amp;H676&amp;I676&amp;J676&amp;[1]Sheet1!$G$5</f>
        <v>E0675Ovi UddinFemaleSalesSenior Account ExecutiveFull-timeKhulna42933226302E0357Sylhet</v>
      </c>
      <c r="L676" s="14">
        <f t="shared" si="30"/>
        <v>131642.5</v>
      </c>
      <c r="M676" s="14">
        <f ca="1" t="shared" si="31"/>
        <v>8</v>
      </c>
      <c r="N676" s="15" t="str">
        <f ca="1" t="shared" si="32"/>
        <v>Experienced</v>
      </c>
    </row>
    <row r="677" spans="1:14">
      <c r="A677" s="16" t="s">
        <v>1274</v>
      </c>
      <c r="B677" s="17" t="s">
        <v>205</v>
      </c>
      <c r="C677" s="17" t="s">
        <v>12</v>
      </c>
      <c r="D677" s="17" t="s">
        <v>20</v>
      </c>
      <c r="E677" s="17" t="s">
        <v>147</v>
      </c>
      <c r="F677" s="17" t="s">
        <v>15</v>
      </c>
      <c r="G677" s="17" t="s">
        <v>28</v>
      </c>
      <c r="H677" s="17">
        <v>42526</v>
      </c>
      <c r="I677" s="17">
        <v>66924</v>
      </c>
      <c r="J677" s="17" t="s">
        <v>879</v>
      </c>
      <c r="K677" s="17" t="str">
        <f>A677&amp;B677&amp;C677&amp;D677&amp;E677&amp;F677&amp;G677&amp;H677&amp;I677&amp;J677&amp;[1]Sheet1!$G$5</f>
        <v>E0676Tamanna RahmanFemaleCustomer SuccessSupport AssociateFull-timeRemote4252666924E0745Sylhet</v>
      </c>
      <c r="L677" s="17">
        <f t="shared" si="30"/>
        <v>131619</v>
      </c>
      <c r="M677" s="17">
        <f ca="1" t="shared" si="31"/>
        <v>9</v>
      </c>
      <c r="N677" s="18" t="str">
        <f ca="1" t="shared" si="32"/>
        <v>Experienced</v>
      </c>
    </row>
    <row r="678" spans="1:14">
      <c r="A678" s="13" t="s">
        <v>1275</v>
      </c>
      <c r="B678" s="14" t="s">
        <v>1276</v>
      </c>
      <c r="C678" s="14" t="s">
        <v>12</v>
      </c>
      <c r="D678" s="14" t="s">
        <v>38</v>
      </c>
      <c r="E678" s="14" t="s">
        <v>77</v>
      </c>
      <c r="F678" s="14" t="s">
        <v>15</v>
      </c>
      <c r="G678" s="14" t="s">
        <v>16</v>
      </c>
      <c r="H678" s="14">
        <v>43545</v>
      </c>
      <c r="I678" s="14">
        <v>105800</v>
      </c>
      <c r="J678" s="14" t="s">
        <v>1220</v>
      </c>
      <c r="K678" s="14" t="str">
        <f>A678&amp;B678&amp;C678&amp;D678&amp;E678&amp;F678&amp;G678&amp;H678&amp;I678&amp;J678&amp;[1]Sheet1!$G$5</f>
        <v>E0677Tania MahmudFemaleEngineeringJunior Software EngineerFull-timeKhulna43545105800E0955Sylhet</v>
      </c>
      <c r="L678" s="14">
        <f t="shared" si="30"/>
        <v>131642.5</v>
      </c>
      <c r="M678" s="14">
        <f ca="1" t="shared" si="31"/>
        <v>6</v>
      </c>
      <c r="N678" s="15" t="str">
        <f ca="1" t="shared" si="32"/>
        <v>Experienced</v>
      </c>
    </row>
    <row r="679" spans="1:14">
      <c r="A679" s="16" t="s">
        <v>1277</v>
      </c>
      <c r="B679" s="17" t="s">
        <v>110</v>
      </c>
      <c r="C679" s="17" t="s">
        <v>12</v>
      </c>
      <c r="D679" s="17" t="s">
        <v>13</v>
      </c>
      <c r="E679" s="17" t="s">
        <v>165</v>
      </c>
      <c r="F679" s="17" t="s">
        <v>15</v>
      </c>
      <c r="G679" s="17" t="s">
        <v>16</v>
      </c>
      <c r="H679" s="17">
        <v>45768</v>
      </c>
      <c r="I679" s="17">
        <v>96400</v>
      </c>
      <c r="J679" s="17" t="s">
        <v>621</v>
      </c>
      <c r="K679" s="17" t="str">
        <f>A679&amp;B679&amp;C679&amp;D679&amp;E679&amp;F679&amp;G679&amp;H679&amp;I679&amp;J679&amp;[1]Sheet1!$G$5</f>
        <v>E0678Arif AkterFemaleSalesAccount ExecutiveFull-timeKhulna4576896400E0852Sylhet</v>
      </c>
      <c r="L679" s="17">
        <f t="shared" si="30"/>
        <v>131666</v>
      </c>
      <c r="M679" s="17">
        <f ca="1" t="shared" si="31"/>
        <v>0</v>
      </c>
      <c r="N679" s="18" t="str">
        <f ca="1" t="shared" si="32"/>
        <v>New</v>
      </c>
    </row>
    <row r="680" spans="1:14">
      <c r="A680" s="13" t="s">
        <v>1278</v>
      </c>
      <c r="B680" s="14" t="s">
        <v>1015</v>
      </c>
      <c r="C680" s="14" t="s">
        <v>19</v>
      </c>
      <c r="D680" s="14" t="s">
        <v>20</v>
      </c>
      <c r="E680" s="14" t="s">
        <v>147</v>
      </c>
      <c r="F680" s="14" t="s">
        <v>15</v>
      </c>
      <c r="G680" s="14" t="s">
        <v>94</v>
      </c>
      <c r="H680" s="14">
        <v>44305</v>
      </c>
      <c r="I680" s="14">
        <v>108900</v>
      </c>
      <c r="J680" s="14" t="s">
        <v>74</v>
      </c>
      <c r="K680" s="14" t="str">
        <f>A680&amp;B680&amp;C680&amp;D680&amp;E680&amp;F680&amp;G680&amp;H680&amp;I680&amp;J680&amp;[1]Sheet1!$G$5</f>
        <v>E0679Priya RahmanMaleCustomer SuccessSupport AssociateFull-timeRajshahi44305108900E0396Sylhet</v>
      </c>
      <c r="L680" s="14">
        <f t="shared" si="30"/>
        <v>131671.5</v>
      </c>
      <c r="M680" s="14">
        <f ca="1" t="shared" si="31"/>
        <v>4</v>
      </c>
      <c r="N680" s="15" t="str">
        <f ca="1" t="shared" si="32"/>
        <v>Mid level</v>
      </c>
    </row>
    <row r="681" spans="1:14">
      <c r="A681" s="16" t="s">
        <v>1279</v>
      </c>
      <c r="B681" s="17" t="s">
        <v>1280</v>
      </c>
      <c r="C681" s="17" t="s">
        <v>19</v>
      </c>
      <c r="D681" s="17" t="s">
        <v>52</v>
      </c>
      <c r="E681" s="17" t="s">
        <v>120</v>
      </c>
      <c r="F681" s="17" t="s">
        <v>15</v>
      </c>
      <c r="G681" s="17" t="s">
        <v>94</v>
      </c>
      <c r="H681" s="17">
        <v>45221</v>
      </c>
      <c r="I681" s="17">
        <v>101913</v>
      </c>
      <c r="J681" s="17" t="s">
        <v>1281</v>
      </c>
      <c r="K681" s="17" t="str">
        <f>A681&amp;B681&amp;C681&amp;D681&amp;E681&amp;F681&amp;G681&amp;H681&amp;I681&amp;J681&amp;[1]Sheet1!$G$5</f>
        <v>E0680Arif UddinMaleOperationsSupply Chain AnalystFull-timeRajshahi45221101913E0687Sylhet</v>
      </c>
      <c r="L681" s="17">
        <f t="shared" si="30"/>
        <v>131677</v>
      </c>
      <c r="M681" s="17">
        <f ca="1" t="shared" si="31"/>
        <v>2</v>
      </c>
      <c r="N681" s="18" t="str">
        <f ca="1" t="shared" si="32"/>
        <v>New</v>
      </c>
    </row>
    <row r="682" spans="1:14">
      <c r="A682" s="13" t="s">
        <v>1282</v>
      </c>
      <c r="B682" s="14" t="s">
        <v>1283</v>
      </c>
      <c r="C682" s="14" t="s">
        <v>12</v>
      </c>
      <c r="D682" s="14" t="s">
        <v>52</v>
      </c>
      <c r="E682" s="14" t="s">
        <v>246</v>
      </c>
      <c r="F682" s="14" t="s">
        <v>15</v>
      </c>
      <c r="G682" s="14" t="s">
        <v>16</v>
      </c>
      <c r="H682" s="14">
        <v>45774</v>
      </c>
      <c r="I682" s="14">
        <v>87577</v>
      </c>
      <c r="J682" s="14" t="s">
        <v>671</v>
      </c>
      <c r="K682" s="14" t="str">
        <f>A682&amp;B682&amp;C682&amp;D682&amp;E682&amp;F682&amp;G682&amp;H682&amp;I682&amp;J682&amp;[1]Sheet1!$G$5</f>
        <v>E0681Sumaiya HaiderFemaleOperationsOperations AssociateFull-timeKhulna4577487577E0642Sylhet</v>
      </c>
      <c r="L682" s="14">
        <f t="shared" si="30"/>
        <v>131817.5</v>
      </c>
      <c r="M682" s="14">
        <f ca="1" t="shared" si="31"/>
        <v>0</v>
      </c>
      <c r="N682" s="15" t="str">
        <f ca="1" t="shared" si="32"/>
        <v>New</v>
      </c>
    </row>
    <row r="683" spans="1:14">
      <c r="A683" s="16" t="s">
        <v>440</v>
      </c>
      <c r="B683" s="17" t="s">
        <v>1284</v>
      </c>
      <c r="C683" s="17" t="s">
        <v>19</v>
      </c>
      <c r="D683" s="17" t="s">
        <v>87</v>
      </c>
      <c r="E683" s="17" t="s">
        <v>111</v>
      </c>
      <c r="F683" s="17" t="s">
        <v>15</v>
      </c>
      <c r="G683" s="17" t="s">
        <v>16</v>
      </c>
      <c r="H683" s="17">
        <v>42938</v>
      </c>
      <c r="I683" s="17">
        <v>211968</v>
      </c>
      <c r="J683" s="17" t="s">
        <v>131</v>
      </c>
      <c r="K683" s="17" t="str">
        <f>A683&amp;B683&amp;C683&amp;D683&amp;E683&amp;F683&amp;G683&amp;H683&amp;I683&amp;J683&amp;[1]Sheet1!$G$5</f>
        <v>E0682Lamia SharminMaleProductSenior Product ManagerFull-timeKhulna42938211968E0356Sylhet</v>
      </c>
      <c r="L683" s="17">
        <f t="shared" si="30"/>
        <v>131958</v>
      </c>
      <c r="M683" s="17">
        <f ca="1" t="shared" si="31"/>
        <v>8</v>
      </c>
      <c r="N683" s="18" t="str">
        <f ca="1" t="shared" si="32"/>
        <v>Experienced</v>
      </c>
    </row>
    <row r="684" spans="1:14">
      <c r="A684" s="13" t="s">
        <v>1285</v>
      </c>
      <c r="B684" s="14" t="s">
        <v>1230</v>
      </c>
      <c r="C684" s="14" t="s">
        <v>19</v>
      </c>
      <c r="D684" s="14" t="s">
        <v>38</v>
      </c>
      <c r="E684" s="14" t="s">
        <v>44</v>
      </c>
      <c r="F684" s="14" t="s">
        <v>15</v>
      </c>
      <c r="G684" s="14" t="s">
        <v>94</v>
      </c>
      <c r="H684" s="14">
        <v>45478</v>
      </c>
      <c r="I684" s="14">
        <v>201850</v>
      </c>
      <c r="J684" s="14" t="s">
        <v>476</v>
      </c>
      <c r="K684" s="14" t="str">
        <f>A684&amp;B684&amp;C684&amp;D684&amp;E684&amp;F684&amp;G684&amp;H684&amp;I684&amp;J684&amp;[1]Sheet1!$G$5</f>
        <v>E0683Karim TalukderMaleEngineeringQA EngineerFull-timeRajshahi45478201850E0574Sylhet</v>
      </c>
      <c r="L684" s="14">
        <f t="shared" si="30"/>
        <v>131817.5</v>
      </c>
      <c r="M684" s="14">
        <f ca="1" t="shared" si="31"/>
        <v>1</v>
      </c>
      <c r="N684" s="15" t="str">
        <f ca="1" t="shared" si="32"/>
        <v>New</v>
      </c>
    </row>
    <row r="685" spans="1:14">
      <c r="A685" s="16" t="s">
        <v>316</v>
      </c>
      <c r="B685" s="17" t="s">
        <v>346</v>
      </c>
      <c r="C685" s="17" t="s">
        <v>19</v>
      </c>
      <c r="D685" s="17" t="s">
        <v>32</v>
      </c>
      <c r="E685" s="17" t="s">
        <v>208</v>
      </c>
      <c r="F685" s="17" t="s">
        <v>15</v>
      </c>
      <c r="G685" s="17" t="s">
        <v>28</v>
      </c>
      <c r="H685" s="17">
        <v>45259</v>
      </c>
      <c r="I685" s="17">
        <v>114025</v>
      </c>
      <c r="J685" s="17" t="s">
        <v>758</v>
      </c>
      <c r="K685" s="17" t="str">
        <f>A685&amp;B685&amp;C685&amp;D685&amp;E685&amp;F685&amp;G685&amp;H685&amp;I685&amp;J685&amp;[1]Sheet1!$G$5</f>
        <v>E0684Nabila SadiqMaleHRHR ManagerFull-timeRemote45259114025E0323Sylhet</v>
      </c>
      <c r="L685" s="17">
        <f t="shared" si="30"/>
        <v>131677</v>
      </c>
      <c r="M685" s="17">
        <f ca="1" t="shared" si="31"/>
        <v>2</v>
      </c>
      <c r="N685" s="18" t="str">
        <f ca="1" t="shared" si="32"/>
        <v>New</v>
      </c>
    </row>
    <row r="686" spans="1:14">
      <c r="A686" s="13" t="s">
        <v>1286</v>
      </c>
      <c r="B686" s="14" t="s">
        <v>1094</v>
      </c>
      <c r="C686" s="14" t="s">
        <v>19</v>
      </c>
      <c r="D686" s="14" t="s">
        <v>20</v>
      </c>
      <c r="E686" s="14" t="s">
        <v>147</v>
      </c>
      <c r="F686" s="14" t="s">
        <v>15</v>
      </c>
      <c r="G686" s="14" t="s">
        <v>62</v>
      </c>
      <c r="H686" s="14">
        <v>44291</v>
      </c>
      <c r="I686" s="14">
        <v>121728</v>
      </c>
      <c r="J686" s="14" t="s">
        <v>456</v>
      </c>
      <c r="K686" s="14" t="str">
        <f>A686&amp;B686&amp;C686&amp;D686&amp;E686&amp;F686&amp;G686&amp;H686&amp;I686&amp;J686&amp;[1]Sheet1!$G$5</f>
        <v>E0685Fahim IslamMaleCustomer SuccessSupport AssociateFull-timeChattogram44291121728E0416Sylhet</v>
      </c>
      <c r="L686" s="14">
        <f t="shared" si="30"/>
        <v>131817.5</v>
      </c>
      <c r="M686" s="14">
        <f ca="1" t="shared" si="31"/>
        <v>4</v>
      </c>
      <c r="N686" s="15" t="str">
        <f ca="1" t="shared" si="32"/>
        <v>Mid level</v>
      </c>
    </row>
    <row r="687" spans="1:14">
      <c r="A687" s="16" t="s">
        <v>490</v>
      </c>
      <c r="B687" s="17" t="s">
        <v>603</v>
      </c>
      <c r="C687" s="17" t="s">
        <v>19</v>
      </c>
      <c r="D687" s="17" t="s">
        <v>92</v>
      </c>
      <c r="E687" s="17" t="s">
        <v>193</v>
      </c>
      <c r="F687" s="17" t="s">
        <v>15</v>
      </c>
      <c r="G687" s="17" t="s">
        <v>34</v>
      </c>
      <c r="H687" s="17">
        <v>44207</v>
      </c>
      <c r="I687" s="17">
        <v>230250</v>
      </c>
      <c r="J687" s="17" t="s">
        <v>957</v>
      </c>
      <c r="K687" s="17" t="str">
        <f>A687&amp;B687&amp;C687&amp;D687&amp;E687&amp;F687&amp;G687&amp;H687&amp;I687&amp;J687&amp;[1]Sheet1!$G$5</f>
        <v>E0686Shawon SarkerMaleMarketingMarketing ManagerFull-timeSylhet44207230250E0441Sylhet</v>
      </c>
      <c r="L687" s="17">
        <f t="shared" si="30"/>
        <v>131958</v>
      </c>
      <c r="M687" s="17">
        <f ca="1" t="shared" si="31"/>
        <v>5</v>
      </c>
      <c r="N687" s="18" t="str">
        <f ca="1" t="shared" si="32"/>
        <v>Mid level</v>
      </c>
    </row>
    <row r="688" spans="1:14">
      <c r="A688" s="13" t="s">
        <v>1281</v>
      </c>
      <c r="B688" s="14" t="s">
        <v>1287</v>
      </c>
      <c r="C688" s="14" t="s">
        <v>12</v>
      </c>
      <c r="D688" s="14" t="s">
        <v>92</v>
      </c>
      <c r="E688" s="14" t="s">
        <v>193</v>
      </c>
      <c r="F688" s="14" t="s">
        <v>15</v>
      </c>
      <c r="G688" s="14" t="s">
        <v>34</v>
      </c>
      <c r="H688" s="14">
        <v>44890</v>
      </c>
      <c r="I688" s="14">
        <v>145443</v>
      </c>
      <c r="J688" s="14" t="s">
        <v>58</v>
      </c>
      <c r="K688" s="14" t="str">
        <f>A688&amp;B688&amp;C688&amp;D688&amp;E688&amp;F688&amp;G688&amp;H688&amp;I688&amp;J688&amp;[1]Sheet1!$G$5</f>
        <v>E0687Lamia KhanFemaleMarketingMarketing ManagerFull-timeSylhet44890145443E0314Sylhet</v>
      </c>
      <c r="L688" s="14">
        <f t="shared" si="30"/>
        <v>131817.5</v>
      </c>
      <c r="M688" s="14">
        <f ca="1" t="shared" si="31"/>
        <v>3</v>
      </c>
      <c r="N688" s="15" t="str">
        <f ca="1" t="shared" si="32"/>
        <v>Mid level</v>
      </c>
    </row>
    <row r="689" spans="1:14">
      <c r="A689" s="16" t="s">
        <v>663</v>
      </c>
      <c r="B689" s="17" t="s">
        <v>881</v>
      </c>
      <c r="C689" s="17" t="s">
        <v>19</v>
      </c>
      <c r="D689" s="17" t="s">
        <v>87</v>
      </c>
      <c r="E689" s="17" t="s">
        <v>156</v>
      </c>
      <c r="F689" s="17" t="s">
        <v>15</v>
      </c>
      <c r="G689" s="17" t="s">
        <v>40</v>
      </c>
      <c r="H689" s="17">
        <v>42391</v>
      </c>
      <c r="I689" s="17">
        <v>344942</v>
      </c>
      <c r="J689" s="17" t="s">
        <v>499</v>
      </c>
      <c r="K689" s="17" t="str">
        <f>A689&amp;B689&amp;C689&amp;D689&amp;E689&amp;F689&amp;G689&amp;H689&amp;I689&amp;J689&amp;[1]Sheet1!$G$5</f>
        <v>E0688Nafiz BanuMaleProductAssociate Product ManagerFull-timeDhaka42391344942E0595Sylhet</v>
      </c>
      <c r="L689" s="17">
        <f t="shared" si="30"/>
        <v>131677</v>
      </c>
      <c r="M689" s="17">
        <f ca="1" t="shared" si="31"/>
        <v>10</v>
      </c>
      <c r="N689" s="18" t="str">
        <f ca="1" t="shared" si="32"/>
        <v>Experienced</v>
      </c>
    </row>
    <row r="690" spans="1:14">
      <c r="A690" s="13" t="s">
        <v>1288</v>
      </c>
      <c r="B690" s="14" t="s">
        <v>754</v>
      </c>
      <c r="C690" s="14" t="s">
        <v>19</v>
      </c>
      <c r="D690" s="14" t="s">
        <v>26</v>
      </c>
      <c r="E690" s="14" t="s">
        <v>294</v>
      </c>
      <c r="F690" s="14" t="s">
        <v>15</v>
      </c>
      <c r="G690" s="14" t="s">
        <v>16</v>
      </c>
      <c r="H690" s="14">
        <v>42694</v>
      </c>
      <c r="I690" s="14">
        <v>230193</v>
      </c>
      <c r="J690" s="14" t="s">
        <v>836</v>
      </c>
      <c r="K690" s="14" t="str">
        <f>A690&amp;B690&amp;C690&amp;D690&amp;E690&amp;F690&amp;G690&amp;H690&amp;I690&amp;J690&amp;[1]Sheet1!$G$5</f>
        <v>E0689Shawon SadiqMaleFinanceSenior Financial AnalystFull-timeKhulna42694230193E0371Sylhet</v>
      </c>
      <c r="L690" s="14">
        <f t="shared" si="30"/>
        <v>131671.5</v>
      </c>
      <c r="M690" s="14">
        <f ca="1" t="shared" si="31"/>
        <v>9</v>
      </c>
      <c r="N690" s="15" t="str">
        <f ca="1" t="shared" si="32"/>
        <v>Experienced</v>
      </c>
    </row>
    <row r="691" spans="1:14">
      <c r="A691" s="16" t="s">
        <v>1289</v>
      </c>
      <c r="B691" s="17" t="s">
        <v>1290</v>
      </c>
      <c r="C691" s="17" t="s">
        <v>12</v>
      </c>
      <c r="D691" s="17" t="s">
        <v>38</v>
      </c>
      <c r="E691" s="17" t="s">
        <v>44</v>
      </c>
      <c r="F691" s="17" t="s">
        <v>15</v>
      </c>
      <c r="G691" s="17" t="s">
        <v>94</v>
      </c>
      <c r="H691" s="17">
        <v>42447</v>
      </c>
      <c r="I691" s="17">
        <v>104109</v>
      </c>
      <c r="J691" s="17" t="s">
        <v>29</v>
      </c>
      <c r="K691" s="17" t="str">
        <f>A691&amp;B691&amp;C691&amp;D691&amp;E691&amp;F691&amp;G691&amp;H691&amp;I691&amp;J691&amp;[1]Sheet1!$G$5</f>
        <v>E0690Sajid AnjumFemaleEngineeringQA EngineerFull-timeRajshahi42447104109E0990Sylhet</v>
      </c>
      <c r="L691" s="17">
        <f t="shared" si="30"/>
        <v>131666</v>
      </c>
      <c r="M691" s="17">
        <f ca="1" t="shared" si="31"/>
        <v>9</v>
      </c>
      <c r="N691" s="18" t="str">
        <f ca="1" t="shared" si="32"/>
        <v>Experienced</v>
      </c>
    </row>
    <row r="692" spans="1:14">
      <c r="A692" s="13" t="s">
        <v>1291</v>
      </c>
      <c r="B692" s="14" t="s">
        <v>1292</v>
      </c>
      <c r="C692" s="14" t="s">
        <v>12</v>
      </c>
      <c r="D692" s="14" t="s">
        <v>13</v>
      </c>
      <c r="E692" s="14" t="s">
        <v>14</v>
      </c>
      <c r="F692" s="14" t="s">
        <v>15</v>
      </c>
      <c r="G692" s="14" t="s">
        <v>62</v>
      </c>
      <c r="H692" s="14">
        <v>43418</v>
      </c>
      <c r="I692" s="14">
        <v>123664</v>
      </c>
      <c r="J692" s="14" t="s">
        <v>821</v>
      </c>
      <c r="K692" s="14" t="str">
        <f>A692&amp;B692&amp;C692&amp;D692&amp;E692&amp;F692&amp;G692&amp;H692&amp;I692&amp;J692&amp;[1]Sheet1!$G$5</f>
        <v>E0691Nabila HasanFemaleSalesSales AssociateFull-timeChattogram43418123664E0361Sylhet</v>
      </c>
      <c r="L692" s="14">
        <f t="shared" si="30"/>
        <v>131671.5</v>
      </c>
      <c r="M692" s="14">
        <f ca="1" t="shared" si="31"/>
        <v>7</v>
      </c>
      <c r="N692" s="15" t="str">
        <f ca="1" t="shared" si="32"/>
        <v>Experienced</v>
      </c>
    </row>
    <row r="693" spans="1:14">
      <c r="A693" s="16" t="s">
        <v>1293</v>
      </c>
      <c r="B693" s="17" t="s">
        <v>1294</v>
      </c>
      <c r="C693" s="17" t="s">
        <v>19</v>
      </c>
      <c r="D693" s="17" t="s">
        <v>13</v>
      </c>
      <c r="E693" s="17" t="s">
        <v>165</v>
      </c>
      <c r="F693" s="17" t="s">
        <v>48</v>
      </c>
      <c r="G693" s="17" t="s">
        <v>16</v>
      </c>
      <c r="H693" s="17">
        <v>43253</v>
      </c>
      <c r="I693" s="17">
        <v>79430</v>
      </c>
      <c r="J693" s="17" t="s">
        <v>226</v>
      </c>
      <c r="K693" s="17" t="str">
        <f>A693&amp;B693&amp;C693&amp;D693&amp;E693&amp;F693&amp;G693&amp;H693&amp;I693&amp;J693&amp;[1]Sheet1!$G$5</f>
        <v>E0692Sadia JahanMaleSalesAccount ExecutiveContractKhulna4325379430E0453Sylhet</v>
      </c>
      <c r="L693" s="17">
        <f t="shared" si="30"/>
        <v>131677</v>
      </c>
      <c r="M693" s="17">
        <f ca="1" t="shared" si="31"/>
        <v>7</v>
      </c>
      <c r="N693" s="18" t="str">
        <f ca="1" t="shared" si="32"/>
        <v>Experienced</v>
      </c>
    </row>
    <row r="694" spans="1:14">
      <c r="A694" s="13" t="s">
        <v>1295</v>
      </c>
      <c r="B694" s="14" t="s">
        <v>1296</v>
      </c>
      <c r="C694" s="14" t="s">
        <v>12</v>
      </c>
      <c r="D694" s="14" t="s">
        <v>92</v>
      </c>
      <c r="E694" s="14" t="s">
        <v>391</v>
      </c>
      <c r="F694" s="14" t="s">
        <v>15</v>
      </c>
      <c r="G694" s="14" t="s">
        <v>62</v>
      </c>
      <c r="H694" s="14">
        <v>45790</v>
      </c>
      <c r="I694" s="14">
        <v>156229</v>
      </c>
      <c r="J694" s="14" t="s">
        <v>24</v>
      </c>
      <c r="K694" s="14" t="str">
        <f>A694&amp;B694&amp;C694&amp;D694&amp;E694&amp;F694&amp;G694&amp;H694&amp;I694&amp;J694&amp;[1]Sheet1!$G$5</f>
        <v>E0693Sadia SarkerFemaleMarketingContent SpecialistFull-timeChattogram45790156229E0003Sylhet</v>
      </c>
      <c r="L694" s="14">
        <f t="shared" si="30"/>
        <v>131817.5</v>
      </c>
      <c r="M694" s="14">
        <f ca="1" t="shared" si="31"/>
        <v>0</v>
      </c>
      <c r="N694" s="15" t="str">
        <f ca="1" t="shared" si="32"/>
        <v>New</v>
      </c>
    </row>
    <row r="695" spans="1:14">
      <c r="A695" s="16" t="s">
        <v>1297</v>
      </c>
      <c r="B695" s="17" t="s">
        <v>1298</v>
      </c>
      <c r="C695" s="17" t="s">
        <v>12</v>
      </c>
      <c r="D695" s="17" t="s">
        <v>87</v>
      </c>
      <c r="E695" s="17" t="s">
        <v>88</v>
      </c>
      <c r="F695" s="17" t="s">
        <v>15</v>
      </c>
      <c r="G695" s="17" t="s">
        <v>94</v>
      </c>
      <c r="H695" s="17">
        <v>42982</v>
      </c>
      <c r="I695" s="17">
        <v>121916</v>
      </c>
      <c r="J695" s="17" t="s">
        <v>493</v>
      </c>
      <c r="K695" s="17" t="str">
        <f>A695&amp;B695&amp;C695&amp;D695&amp;E695&amp;F695&amp;G695&amp;H695&amp;I695&amp;J695&amp;[1]Sheet1!$G$5</f>
        <v>E0694Shawon UddinFemaleProductProduct AnalystFull-timeRajshahi42982121916E0249Sylhet</v>
      </c>
      <c r="L695" s="17">
        <f t="shared" si="30"/>
        <v>131677</v>
      </c>
      <c r="M695" s="17">
        <f ca="1" t="shared" si="31"/>
        <v>8</v>
      </c>
      <c r="N695" s="18" t="str">
        <f ca="1" t="shared" si="32"/>
        <v>Experienced</v>
      </c>
    </row>
    <row r="696" spans="1:14">
      <c r="A696" s="13" t="s">
        <v>1299</v>
      </c>
      <c r="B696" s="14" t="s">
        <v>1300</v>
      </c>
      <c r="C696" s="14" t="s">
        <v>12</v>
      </c>
      <c r="D696" s="14" t="s">
        <v>38</v>
      </c>
      <c r="E696" s="14" t="s">
        <v>66</v>
      </c>
      <c r="F696" s="14" t="s">
        <v>15</v>
      </c>
      <c r="G696" s="14" t="s">
        <v>16</v>
      </c>
      <c r="H696" s="14">
        <v>44617</v>
      </c>
      <c r="I696" s="14">
        <v>208355</v>
      </c>
      <c r="J696" s="14" t="s">
        <v>589</v>
      </c>
      <c r="K696" s="14" t="str">
        <f>A696&amp;B696&amp;C696&amp;D696&amp;E696&amp;F696&amp;G696&amp;H696&amp;I696&amp;J696&amp;[1]Sheet1!$G$5</f>
        <v>E0695Tamanna AlamFemaleEngineeringSoftware EngineerFull-timeKhulna44617208355E0538Sylhet</v>
      </c>
      <c r="L696" s="14">
        <f t="shared" si="30"/>
        <v>131817.5</v>
      </c>
      <c r="M696" s="14">
        <f ca="1" t="shared" si="31"/>
        <v>4</v>
      </c>
      <c r="N696" s="15" t="str">
        <f ca="1" t="shared" si="32"/>
        <v>Mid level</v>
      </c>
    </row>
    <row r="697" spans="1:14">
      <c r="A697" s="16" t="s">
        <v>1301</v>
      </c>
      <c r="B697" s="17" t="s">
        <v>1302</v>
      </c>
      <c r="C697" s="17" t="s">
        <v>12</v>
      </c>
      <c r="D697" s="17" t="s">
        <v>32</v>
      </c>
      <c r="E697" s="17" t="s">
        <v>57</v>
      </c>
      <c r="F697" s="17" t="s">
        <v>15</v>
      </c>
      <c r="G697" s="17" t="s">
        <v>28</v>
      </c>
      <c r="H697" s="17">
        <v>45348</v>
      </c>
      <c r="I697" s="17">
        <v>97862</v>
      </c>
      <c r="J697" s="17" t="s">
        <v>435</v>
      </c>
      <c r="K697" s="17" t="str">
        <f>A697&amp;B697&amp;C697&amp;D697&amp;E697&amp;F697&amp;G697&amp;H697&amp;I697&amp;J697&amp;[1]Sheet1!$G$5</f>
        <v>E0696Mahin RasheedFemaleHRHR AssociateFull-timeRemote4534897862E0956Sylhet</v>
      </c>
      <c r="L697" s="17">
        <f t="shared" si="30"/>
        <v>131677</v>
      </c>
      <c r="M697" s="17">
        <f ca="1" t="shared" si="31"/>
        <v>2</v>
      </c>
      <c r="N697" s="18" t="str">
        <f ca="1" t="shared" si="32"/>
        <v>New</v>
      </c>
    </row>
    <row r="698" spans="1:14">
      <c r="A698" s="13" t="s">
        <v>1303</v>
      </c>
      <c r="B698" s="14" t="s">
        <v>1137</v>
      </c>
      <c r="C698" s="14" t="s">
        <v>12</v>
      </c>
      <c r="D698" s="14" t="s">
        <v>87</v>
      </c>
      <c r="E698" s="14" t="s">
        <v>88</v>
      </c>
      <c r="F698" s="14" t="s">
        <v>15</v>
      </c>
      <c r="G698" s="14" t="s">
        <v>16</v>
      </c>
      <c r="H698" s="14">
        <v>44863</v>
      </c>
      <c r="I698" s="14">
        <v>130480</v>
      </c>
      <c r="J698" s="14" t="s">
        <v>667</v>
      </c>
      <c r="K698" s="14" t="str">
        <f>A698&amp;B698&amp;C698&amp;D698&amp;E698&amp;F698&amp;G698&amp;H698&amp;I698&amp;J698&amp;[1]Sheet1!$G$5</f>
        <v>E0697Farhan AlamFemaleProductProduct AnalystFull-timeKhulna44863130480E0272Sylhet</v>
      </c>
      <c r="L698" s="14">
        <f t="shared" si="30"/>
        <v>131817.5</v>
      </c>
      <c r="M698" s="14">
        <f ca="1" t="shared" si="31"/>
        <v>3</v>
      </c>
      <c r="N698" s="15" t="str">
        <f ca="1" t="shared" si="32"/>
        <v>Mid level</v>
      </c>
    </row>
    <row r="699" spans="1:14">
      <c r="A699" s="16" t="s">
        <v>1304</v>
      </c>
      <c r="B699" s="17" t="s">
        <v>896</v>
      </c>
      <c r="C699" s="17" t="s">
        <v>12</v>
      </c>
      <c r="D699" s="17" t="s">
        <v>92</v>
      </c>
      <c r="E699" s="17" t="s">
        <v>189</v>
      </c>
      <c r="F699" s="17" t="s">
        <v>15</v>
      </c>
      <c r="G699" s="17" t="s">
        <v>94</v>
      </c>
      <c r="H699" s="17">
        <v>44531</v>
      </c>
      <c r="I699" s="17">
        <v>59947</v>
      </c>
      <c r="J699" s="17" t="s">
        <v>303</v>
      </c>
      <c r="K699" s="17" t="str">
        <f>A699&amp;B699&amp;C699&amp;D699&amp;E699&amp;F699&amp;G699&amp;H699&amp;I699&amp;J699&amp;[1]Sheet1!$G$5</f>
        <v>E0698Rahim HossainFemaleMarketingMarketing AssociateFull-timeRajshahi4453159947E0196Sylhet</v>
      </c>
      <c r="L699" s="17">
        <f t="shared" si="30"/>
        <v>131958</v>
      </c>
      <c r="M699" s="17">
        <f ca="1" t="shared" si="31"/>
        <v>4</v>
      </c>
      <c r="N699" s="18" t="str">
        <f ca="1" t="shared" si="32"/>
        <v>Mid level</v>
      </c>
    </row>
    <row r="700" spans="1:14">
      <c r="A700" s="13" t="s">
        <v>137</v>
      </c>
      <c r="B700" s="14" t="s">
        <v>1280</v>
      </c>
      <c r="C700" s="14" t="s">
        <v>19</v>
      </c>
      <c r="D700" s="14" t="s">
        <v>38</v>
      </c>
      <c r="E700" s="14" t="s">
        <v>84</v>
      </c>
      <c r="F700" s="14" t="s">
        <v>48</v>
      </c>
      <c r="G700" s="14" t="s">
        <v>28</v>
      </c>
      <c r="H700" s="14">
        <v>44103</v>
      </c>
      <c r="I700" s="14">
        <v>296169</v>
      </c>
      <c r="J700" s="14" t="s">
        <v>96</v>
      </c>
      <c r="K700" s="14" t="str">
        <f>A700&amp;B700&amp;C700&amp;D700&amp;E700&amp;F700&amp;G700&amp;H700&amp;I700&amp;J700&amp;[1]Sheet1!$G$5</f>
        <v>E0699Arif UddinMaleEngineeringEngineering ManagerContractRemote44103296169E0019Sylhet</v>
      </c>
      <c r="L700" s="14">
        <f t="shared" si="30"/>
        <v>132031</v>
      </c>
      <c r="M700" s="14">
        <f ca="1" t="shared" si="31"/>
        <v>5</v>
      </c>
      <c r="N700" s="15" t="str">
        <f ca="1" t="shared" si="32"/>
        <v>Mid level</v>
      </c>
    </row>
    <row r="701" spans="1:14">
      <c r="A701" s="16" t="s">
        <v>1305</v>
      </c>
      <c r="B701" s="17" t="s">
        <v>348</v>
      </c>
      <c r="C701" s="17" t="s">
        <v>19</v>
      </c>
      <c r="D701" s="17" t="s">
        <v>92</v>
      </c>
      <c r="E701" s="17" t="s">
        <v>93</v>
      </c>
      <c r="F701" s="17" t="s">
        <v>22</v>
      </c>
      <c r="G701" s="17" t="s">
        <v>28</v>
      </c>
      <c r="H701" s="17">
        <v>42825</v>
      </c>
      <c r="I701" s="17">
        <v>110392</v>
      </c>
      <c r="J701" s="17" t="s">
        <v>175</v>
      </c>
      <c r="K701" s="17" t="str">
        <f>A701&amp;B701&amp;C701&amp;D701&amp;E701&amp;F701&amp;G701&amp;H701&amp;I701&amp;J701&amp;[1]Sheet1!$G$5</f>
        <v>E0700Rafi BanuMaleMarketingGrowth MarketerInternRemote42825110392E0736Sylhet</v>
      </c>
      <c r="L701" s="17">
        <f t="shared" si="30"/>
        <v>131958</v>
      </c>
      <c r="M701" s="17">
        <f ca="1" t="shared" si="31"/>
        <v>8</v>
      </c>
      <c r="N701" s="18" t="str">
        <f ca="1" t="shared" si="32"/>
        <v>Experienced</v>
      </c>
    </row>
    <row r="702" spans="1:14">
      <c r="A702" s="13" t="s">
        <v>159</v>
      </c>
      <c r="B702" s="14" t="s">
        <v>1306</v>
      </c>
      <c r="C702" s="14" t="s">
        <v>12</v>
      </c>
      <c r="D702" s="14" t="s">
        <v>92</v>
      </c>
      <c r="E702" s="14" t="s">
        <v>193</v>
      </c>
      <c r="F702" s="14" t="s">
        <v>15</v>
      </c>
      <c r="G702" s="14" t="s">
        <v>28</v>
      </c>
      <c r="H702" s="14">
        <v>45549</v>
      </c>
      <c r="I702" s="14">
        <v>234854</v>
      </c>
      <c r="J702" s="14" t="s">
        <v>114</v>
      </c>
      <c r="K702" s="14" t="str">
        <f>A702&amp;B702&amp;C702&amp;D702&amp;E702&amp;F702&amp;G702&amp;H702&amp;I702&amp;J702&amp;[1]Sheet1!$G$5</f>
        <v>E0701Mahin AminFemaleMarketingMarketing ManagerFull-timeRemote45549234854E0989Sylhet</v>
      </c>
      <c r="L702" s="14">
        <f t="shared" si="30"/>
        <v>132031</v>
      </c>
      <c r="M702" s="14">
        <f ca="1" t="shared" si="31"/>
        <v>1</v>
      </c>
      <c r="N702" s="15" t="str">
        <f ca="1" t="shared" si="32"/>
        <v>New</v>
      </c>
    </row>
    <row r="703" spans="1:14">
      <c r="A703" s="16" t="s">
        <v>1307</v>
      </c>
      <c r="B703" s="17" t="s">
        <v>1035</v>
      </c>
      <c r="C703" s="17" t="s">
        <v>12</v>
      </c>
      <c r="D703" s="17" t="s">
        <v>38</v>
      </c>
      <c r="E703" s="17" t="s">
        <v>66</v>
      </c>
      <c r="F703" s="17" t="s">
        <v>15</v>
      </c>
      <c r="G703" s="17" t="s">
        <v>62</v>
      </c>
      <c r="H703" s="17">
        <v>43550</v>
      </c>
      <c r="I703" s="17">
        <v>86771</v>
      </c>
      <c r="J703" s="17" t="s">
        <v>386</v>
      </c>
      <c r="K703" s="17" t="str">
        <f>A703&amp;B703&amp;C703&amp;D703&amp;E703&amp;F703&amp;G703&amp;H703&amp;I703&amp;J703&amp;[1]Sheet1!$G$5</f>
        <v>E0702Esha KhanFemaleEngineeringSoftware EngineerFull-timeChattogram4355086771E0585Sylhet</v>
      </c>
      <c r="L703" s="17">
        <f t="shared" si="30"/>
        <v>131958</v>
      </c>
      <c r="M703" s="17">
        <f ca="1" t="shared" si="31"/>
        <v>6</v>
      </c>
      <c r="N703" s="18" t="str">
        <f ca="1" t="shared" si="32"/>
        <v>Experienced</v>
      </c>
    </row>
    <row r="704" spans="1:14">
      <c r="A704" s="13" t="s">
        <v>1308</v>
      </c>
      <c r="B704" s="14" t="s">
        <v>618</v>
      </c>
      <c r="C704" s="14" t="s">
        <v>12</v>
      </c>
      <c r="D704" s="14" t="s">
        <v>13</v>
      </c>
      <c r="E704" s="14" t="s">
        <v>165</v>
      </c>
      <c r="F704" s="14" t="s">
        <v>48</v>
      </c>
      <c r="G704" s="14" t="s">
        <v>40</v>
      </c>
      <c r="H704" s="14">
        <v>43343</v>
      </c>
      <c r="I704" s="14">
        <v>152242</v>
      </c>
      <c r="J704" s="14" t="s">
        <v>280</v>
      </c>
      <c r="K704" s="14" t="str">
        <f>A704&amp;B704&amp;C704&amp;D704&amp;E704&amp;F704&amp;G704&amp;H704&amp;I704&amp;J704&amp;[1]Sheet1!$G$5</f>
        <v>E0703Jannat SharminFemaleSalesAccount ExecutiveContractDhaka43343152242E0617Sylhet</v>
      </c>
      <c r="L704" s="14">
        <f t="shared" si="30"/>
        <v>132031</v>
      </c>
      <c r="M704" s="14">
        <f ca="1" t="shared" si="31"/>
        <v>7</v>
      </c>
      <c r="N704" s="15" t="str">
        <f ca="1" t="shared" si="32"/>
        <v>Experienced</v>
      </c>
    </row>
    <row r="705" spans="1:14">
      <c r="A705" s="16" t="s">
        <v>1309</v>
      </c>
      <c r="B705" s="17" t="s">
        <v>1310</v>
      </c>
      <c r="C705" s="17" t="s">
        <v>19</v>
      </c>
      <c r="D705" s="17" t="s">
        <v>38</v>
      </c>
      <c r="E705" s="17" t="s">
        <v>140</v>
      </c>
      <c r="F705" s="17" t="s">
        <v>15</v>
      </c>
      <c r="G705" s="17" t="s">
        <v>40</v>
      </c>
      <c r="H705" s="17">
        <v>43603</v>
      </c>
      <c r="I705" s="17">
        <v>246659</v>
      </c>
      <c r="J705" s="17" t="s">
        <v>154</v>
      </c>
      <c r="K705" s="17" t="str">
        <f>A705&amp;B705&amp;C705&amp;D705&amp;E705&amp;F705&amp;G705&amp;H705&amp;I705&amp;J705&amp;[1]Sheet1!$G$5</f>
        <v>E0704Lamia RasheedMaleEngineeringSenior Software EngineerFull-timeDhaka43603246659E0037Sylhet</v>
      </c>
      <c r="L705" s="17">
        <f t="shared" si="30"/>
        <v>131958</v>
      </c>
      <c r="M705" s="17">
        <f ca="1" t="shared" si="31"/>
        <v>6</v>
      </c>
      <c r="N705" s="18" t="str">
        <f ca="1" t="shared" si="32"/>
        <v>Experienced</v>
      </c>
    </row>
    <row r="706" spans="1:14">
      <c r="A706" s="13" t="s">
        <v>1311</v>
      </c>
      <c r="B706" s="14" t="s">
        <v>1312</v>
      </c>
      <c r="C706" s="14" t="s">
        <v>19</v>
      </c>
      <c r="D706" s="14" t="s">
        <v>38</v>
      </c>
      <c r="E706" s="14" t="s">
        <v>66</v>
      </c>
      <c r="F706" s="14" t="s">
        <v>15</v>
      </c>
      <c r="G706" s="14" t="s">
        <v>62</v>
      </c>
      <c r="H706" s="14">
        <v>42869</v>
      </c>
      <c r="I706" s="14">
        <v>176602</v>
      </c>
      <c r="J706" s="14" t="s">
        <v>419</v>
      </c>
      <c r="K706" s="14" t="str">
        <f>A706&amp;B706&amp;C706&amp;D706&amp;E706&amp;F706&amp;G706&amp;H706&amp;I706&amp;J706&amp;[1]Sheet1!$G$5</f>
        <v>E0705Esha TalukderMaleEngineeringSoftware EngineerFull-timeChattogram42869176602E0144Sylhet</v>
      </c>
      <c r="L706" s="14">
        <f t="shared" si="30"/>
        <v>131817.5</v>
      </c>
      <c r="M706" s="14">
        <f ca="1" t="shared" si="31"/>
        <v>8</v>
      </c>
      <c r="N706" s="15" t="str">
        <f ca="1" t="shared" si="32"/>
        <v>Experienced</v>
      </c>
    </row>
    <row r="707" spans="1:14">
      <c r="A707" s="16" t="s">
        <v>1313</v>
      </c>
      <c r="B707" s="17" t="s">
        <v>1026</v>
      </c>
      <c r="C707" s="17" t="s">
        <v>19</v>
      </c>
      <c r="D707" s="17" t="s">
        <v>20</v>
      </c>
      <c r="E707" s="17" t="s">
        <v>147</v>
      </c>
      <c r="F707" s="17" t="s">
        <v>22</v>
      </c>
      <c r="G707" s="17" t="s">
        <v>16</v>
      </c>
      <c r="H707" s="17">
        <v>42565</v>
      </c>
      <c r="I707" s="17">
        <v>91420</v>
      </c>
      <c r="J707" s="17" t="s">
        <v>591</v>
      </c>
      <c r="K707" s="17" t="str">
        <f>A707&amp;B707&amp;C707&amp;D707&amp;E707&amp;F707&amp;G707&amp;H707&amp;I707&amp;J707&amp;[1]Sheet1!$G$5</f>
        <v>E0706Tamanna MiahMaleCustomer SuccessSupport AssociateInternKhulna4256591420E0365Sylhet</v>
      </c>
      <c r="L707" s="17">
        <f t="shared" ref="L707:L770" si="33">MEDIAN(I707:I1706)</f>
        <v>131677</v>
      </c>
      <c r="M707" s="17">
        <f ca="1" t="shared" ref="M707:M770" si="34">DATEDIF(H707,TODAY(),"Y")</f>
        <v>9</v>
      </c>
      <c r="N707" s="18" t="str">
        <f ca="1" t="shared" ref="N707:N770" si="35">IF(M707&lt;=2,"New",IF(M707&lt;=5,"Mid level",IF(M707&lt;=10,"Experienced","Long term")))</f>
        <v>Experienced</v>
      </c>
    </row>
    <row r="708" spans="1:14">
      <c r="A708" s="13" t="s">
        <v>1314</v>
      </c>
      <c r="B708" s="14" t="s">
        <v>311</v>
      </c>
      <c r="C708" s="14" t="s">
        <v>12</v>
      </c>
      <c r="D708" s="14" t="s">
        <v>13</v>
      </c>
      <c r="E708" s="14" t="s">
        <v>223</v>
      </c>
      <c r="F708" s="14" t="s">
        <v>22</v>
      </c>
      <c r="G708" s="14" t="s">
        <v>16</v>
      </c>
      <c r="H708" s="14">
        <v>43346</v>
      </c>
      <c r="I708" s="14">
        <v>117598</v>
      </c>
      <c r="J708" s="14" t="s">
        <v>583</v>
      </c>
      <c r="K708" s="14" t="str">
        <f>A708&amp;B708&amp;C708&amp;D708&amp;E708&amp;F708&amp;G708&amp;H708&amp;I708&amp;J708&amp;[1]Sheet1!$G$5</f>
        <v>E0707Rafi SultanaFemaleSalesSenior Account ExecutiveInternKhulna43346117598E0226Sylhet</v>
      </c>
      <c r="L708" s="14">
        <f t="shared" si="33"/>
        <v>131817.5</v>
      </c>
      <c r="M708" s="14">
        <f ca="1" t="shared" si="34"/>
        <v>7</v>
      </c>
      <c r="N708" s="15" t="str">
        <f ca="1" t="shared" si="35"/>
        <v>Experienced</v>
      </c>
    </row>
    <row r="709" spans="1:14">
      <c r="A709" s="16" t="s">
        <v>1315</v>
      </c>
      <c r="B709" s="17" t="s">
        <v>710</v>
      </c>
      <c r="C709" s="17" t="s">
        <v>12</v>
      </c>
      <c r="D709" s="17" t="s">
        <v>52</v>
      </c>
      <c r="E709" s="17" t="s">
        <v>246</v>
      </c>
      <c r="F709" s="17" t="s">
        <v>15</v>
      </c>
      <c r="G709" s="17" t="s">
        <v>62</v>
      </c>
      <c r="H709" s="17">
        <v>44089</v>
      </c>
      <c r="I709" s="17">
        <v>124911</v>
      </c>
      <c r="J709" s="17" t="s">
        <v>501</v>
      </c>
      <c r="K709" s="17" t="str">
        <f>A709&amp;B709&amp;C709&amp;D709&amp;E709&amp;F709&amp;G709&amp;H709&amp;I709&amp;J709&amp;[1]Sheet1!$G$5</f>
        <v>E0708Arif RanaFemaleOperationsOperations AssociateFull-timeChattogram44089124911E0866Sylhet</v>
      </c>
      <c r="L709" s="17">
        <f t="shared" si="33"/>
        <v>131958</v>
      </c>
      <c r="M709" s="17">
        <f ca="1" t="shared" si="34"/>
        <v>5</v>
      </c>
      <c r="N709" s="18" t="str">
        <f ca="1" t="shared" si="35"/>
        <v>Mid level</v>
      </c>
    </row>
    <row r="710" spans="1:14">
      <c r="A710" s="13" t="s">
        <v>141</v>
      </c>
      <c r="B710" s="14" t="s">
        <v>759</v>
      </c>
      <c r="C710" s="14" t="s">
        <v>19</v>
      </c>
      <c r="D710" s="14" t="s">
        <v>87</v>
      </c>
      <c r="E710" s="14" t="s">
        <v>349</v>
      </c>
      <c r="F710" s="14" t="s">
        <v>15</v>
      </c>
      <c r="G710" s="14" t="s">
        <v>16</v>
      </c>
      <c r="H710" s="14">
        <v>44987</v>
      </c>
      <c r="I710" s="14">
        <v>171022</v>
      </c>
      <c r="J710" s="14" t="s">
        <v>280</v>
      </c>
      <c r="K710" s="14" t="str">
        <f>A710&amp;B710&amp;C710&amp;D710&amp;E710&amp;F710&amp;G710&amp;H710&amp;I710&amp;J710&amp;[1]Sheet1!$G$5</f>
        <v>E0709Ovi SharminMaleProductProduct ManagerFull-timeKhulna44987171022E0617Sylhet</v>
      </c>
      <c r="L710" s="14">
        <f t="shared" si="33"/>
        <v>132031</v>
      </c>
      <c r="M710" s="14">
        <f ca="1" t="shared" si="34"/>
        <v>3</v>
      </c>
      <c r="N710" s="15" t="str">
        <f ca="1" t="shared" si="35"/>
        <v>Mid level</v>
      </c>
    </row>
    <row r="711" spans="1:14">
      <c r="A711" s="16" t="s">
        <v>1316</v>
      </c>
      <c r="B711" s="17" t="s">
        <v>1140</v>
      </c>
      <c r="C711" s="17" t="s">
        <v>19</v>
      </c>
      <c r="D711" s="17" t="s">
        <v>26</v>
      </c>
      <c r="E711" s="17" t="s">
        <v>294</v>
      </c>
      <c r="F711" s="17" t="s">
        <v>15</v>
      </c>
      <c r="G711" s="17" t="s">
        <v>34</v>
      </c>
      <c r="H711" s="17">
        <v>45621</v>
      </c>
      <c r="I711" s="17">
        <v>219044</v>
      </c>
      <c r="J711" s="17" t="s">
        <v>229</v>
      </c>
      <c r="K711" s="17" t="str">
        <f>A711&amp;B711&amp;C711&amp;D711&amp;E711&amp;F711&amp;G711&amp;H711&amp;I711&amp;J711&amp;[1]Sheet1!$G$5</f>
        <v>E0710Rashed MorshedMaleFinanceSenior Financial AnalystFull-timeSylhet45621219044E0980Sylhet</v>
      </c>
      <c r="L711" s="17">
        <f t="shared" si="33"/>
        <v>131958</v>
      </c>
      <c r="M711" s="17">
        <f ca="1" t="shared" si="34"/>
        <v>1</v>
      </c>
      <c r="N711" s="18" t="str">
        <f ca="1" t="shared" si="35"/>
        <v>New</v>
      </c>
    </row>
    <row r="712" spans="1:14">
      <c r="A712" s="13" t="s">
        <v>1317</v>
      </c>
      <c r="B712" s="14" t="s">
        <v>466</v>
      </c>
      <c r="C712" s="14" t="s">
        <v>12</v>
      </c>
      <c r="D712" s="14" t="s">
        <v>26</v>
      </c>
      <c r="E712" s="14" t="s">
        <v>162</v>
      </c>
      <c r="F712" s="14" t="s">
        <v>15</v>
      </c>
      <c r="G712" s="14" t="s">
        <v>40</v>
      </c>
      <c r="H712" s="14">
        <v>44921</v>
      </c>
      <c r="I712" s="14">
        <v>112993</v>
      </c>
      <c r="J712" s="14" t="s">
        <v>235</v>
      </c>
      <c r="K712" s="14" t="str">
        <f>A712&amp;B712&amp;C712&amp;D712&amp;E712&amp;F712&amp;G712&amp;H712&amp;I712&amp;J712&amp;[1]Sheet1!$G$5</f>
        <v>E0711Karim HasanFemaleFinanceAccounts ExecutiveFull-timeDhaka44921112993E0065Sylhet</v>
      </c>
      <c r="L712" s="14">
        <f t="shared" si="33"/>
        <v>131817.5</v>
      </c>
      <c r="M712" s="14">
        <f ca="1" t="shared" si="34"/>
        <v>3</v>
      </c>
      <c r="N712" s="15" t="str">
        <f ca="1" t="shared" si="35"/>
        <v>Mid level</v>
      </c>
    </row>
    <row r="713" spans="1:14">
      <c r="A713" s="16" t="s">
        <v>1318</v>
      </c>
      <c r="B713" s="17" t="s">
        <v>1319</v>
      </c>
      <c r="C713" s="17" t="s">
        <v>12</v>
      </c>
      <c r="D713" s="17" t="s">
        <v>32</v>
      </c>
      <c r="E713" s="17" t="s">
        <v>57</v>
      </c>
      <c r="F713" s="17" t="s">
        <v>15</v>
      </c>
      <c r="G713" s="17" t="s">
        <v>34</v>
      </c>
      <c r="H713" s="17">
        <v>44242</v>
      </c>
      <c r="I713" s="17">
        <v>90401</v>
      </c>
      <c r="J713" s="17" t="s">
        <v>621</v>
      </c>
      <c r="K713" s="17" t="str">
        <f>A713&amp;B713&amp;C713&amp;D713&amp;E713&amp;F713&amp;G713&amp;H713&amp;I713&amp;J713&amp;[1]Sheet1!$G$5</f>
        <v>E0712Tamanna MorshedFemaleHRHR AssociateFull-timeSylhet4424290401E0852Sylhet</v>
      </c>
      <c r="L713" s="17">
        <f t="shared" si="33"/>
        <v>131958</v>
      </c>
      <c r="M713" s="17">
        <f ca="1" t="shared" si="34"/>
        <v>5</v>
      </c>
      <c r="N713" s="18" t="str">
        <f ca="1" t="shared" si="35"/>
        <v>Mid level</v>
      </c>
    </row>
    <row r="714" spans="1:14">
      <c r="A714" s="13" t="s">
        <v>1320</v>
      </c>
      <c r="B714" s="14" t="s">
        <v>874</v>
      </c>
      <c r="C714" s="14" t="s">
        <v>12</v>
      </c>
      <c r="D714" s="14" t="s">
        <v>92</v>
      </c>
      <c r="E714" s="14" t="s">
        <v>126</v>
      </c>
      <c r="F714" s="14" t="s">
        <v>15</v>
      </c>
      <c r="G714" s="14" t="s">
        <v>16</v>
      </c>
      <c r="H714" s="14">
        <v>42627</v>
      </c>
      <c r="I714" s="14">
        <v>74498</v>
      </c>
      <c r="J714" s="14" t="s">
        <v>347</v>
      </c>
      <c r="K714" s="14" t="str">
        <f>A714&amp;B714&amp;C714&amp;D714&amp;E714&amp;F714&amp;G714&amp;H714&amp;I714&amp;J714&amp;[1]Sheet1!$G$5</f>
        <v>E0713Rafi HossainFemaleMarketingSEO SpecialistFull-timeKhulna4262774498E0500Sylhet</v>
      </c>
      <c r="L714" s="14">
        <f t="shared" si="33"/>
        <v>132031</v>
      </c>
      <c r="M714" s="14">
        <f ca="1" t="shared" si="34"/>
        <v>9</v>
      </c>
      <c r="N714" s="15" t="str">
        <f ca="1" t="shared" si="35"/>
        <v>Experienced</v>
      </c>
    </row>
    <row r="715" spans="1:14">
      <c r="A715" s="16" t="s">
        <v>1321</v>
      </c>
      <c r="B715" s="17" t="s">
        <v>1256</v>
      </c>
      <c r="C715" s="17" t="s">
        <v>19</v>
      </c>
      <c r="D715" s="17" t="s">
        <v>13</v>
      </c>
      <c r="E715" s="17" t="s">
        <v>165</v>
      </c>
      <c r="F715" s="17" t="s">
        <v>15</v>
      </c>
      <c r="G715" s="17" t="s">
        <v>62</v>
      </c>
      <c r="H715" s="17">
        <v>42824</v>
      </c>
      <c r="I715" s="17">
        <v>189759</v>
      </c>
      <c r="J715" s="17" t="s">
        <v>175</v>
      </c>
      <c r="K715" s="17" t="str">
        <f>A715&amp;B715&amp;C715&amp;D715&amp;E715&amp;F715&amp;G715&amp;H715&amp;I715&amp;J715&amp;[1]Sheet1!$G$5</f>
        <v>E0714Karim MahmudMaleSalesAccount ExecutiveFull-timeChattogram42824189759E0736Sylhet</v>
      </c>
      <c r="L715" s="17">
        <f t="shared" si="33"/>
        <v>132104</v>
      </c>
      <c r="M715" s="17">
        <f ca="1" t="shared" si="34"/>
        <v>8</v>
      </c>
      <c r="N715" s="18" t="str">
        <f ca="1" t="shared" si="35"/>
        <v>Experienced</v>
      </c>
    </row>
    <row r="716" spans="1:14">
      <c r="A716" s="13" t="s">
        <v>1322</v>
      </c>
      <c r="B716" s="14" t="s">
        <v>1323</v>
      </c>
      <c r="C716" s="14" t="s">
        <v>19</v>
      </c>
      <c r="D716" s="14" t="s">
        <v>13</v>
      </c>
      <c r="E716" s="14" t="s">
        <v>14</v>
      </c>
      <c r="F716" s="14" t="s">
        <v>15</v>
      </c>
      <c r="G716" s="14" t="s">
        <v>16</v>
      </c>
      <c r="H716" s="14">
        <v>45797</v>
      </c>
      <c r="I716" s="14">
        <v>93826</v>
      </c>
      <c r="J716" s="14" t="s">
        <v>838</v>
      </c>
      <c r="K716" s="14" t="str">
        <f>A716&amp;B716&amp;C716&amp;D716&amp;E716&amp;F716&amp;G716&amp;H716&amp;I716&amp;J716&amp;[1]Sheet1!$G$5</f>
        <v>E0715Tamanna ChowdhuryMaleSalesSales AssociateFull-timeKhulna4579793826E0871Sylhet</v>
      </c>
      <c r="L716" s="14">
        <f t="shared" si="33"/>
        <v>132031</v>
      </c>
      <c r="M716" s="14">
        <f ca="1" t="shared" si="34"/>
        <v>0</v>
      </c>
      <c r="N716" s="15" t="str">
        <f ca="1" t="shared" si="35"/>
        <v>New</v>
      </c>
    </row>
    <row r="717" spans="1:14">
      <c r="A717" s="16" t="s">
        <v>711</v>
      </c>
      <c r="B717" s="17" t="s">
        <v>1324</v>
      </c>
      <c r="C717" s="17" t="s">
        <v>19</v>
      </c>
      <c r="D717" s="17" t="s">
        <v>20</v>
      </c>
      <c r="E717" s="17" t="s">
        <v>70</v>
      </c>
      <c r="F717" s="17" t="s">
        <v>15</v>
      </c>
      <c r="G717" s="17" t="s">
        <v>62</v>
      </c>
      <c r="H717" s="17">
        <v>44417</v>
      </c>
      <c r="I717" s="17">
        <v>171523</v>
      </c>
      <c r="J717" s="17" t="s">
        <v>1077</v>
      </c>
      <c r="K717" s="17" t="str">
        <f>A717&amp;B717&amp;C717&amp;D717&amp;E717&amp;F717&amp;G717&amp;H717&amp;I717&amp;J717&amp;[1]Sheet1!$G$5</f>
        <v>E0716Tasnim HossainMaleCustomer SuccessCustomer Success ManagerFull-timeChattogram44417171523E0640Sylhet</v>
      </c>
      <c r="L717" s="17">
        <f t="shared" si="33"/>
        <v>132104</v>
      </c>
      <c r="M717" s="17">
        <f ca="1" t="shared" si="34"/>
        <v>4</v>
      </c>
      <c r="N717" s="18" t="str">
        <f ca="1" t="shared" si="35"/>
        <v>Mid level</v>
      </c>
    </row>
    <row r="718" spans="1:14">
      <c r="A718" s="13" t="s">
        <v>1325</v>
      </c>
      <c r="B718" s="14" t="s">
        <v>1326</v>
      </c>
      <c r="C718" s="14" t="s">
        <v>19</v>
      </c>
      <c r="D718" s="14" t="s">
        <v>52</v>
      </c>
      <c r="E718" s="14" t="s">
        <v>246</v>
      </c>
      <c r="F718" s="14" t="s">
        <v>15</v>
      </c>
      <c r="G718" s="14" t="s">
        <v>62</v>
      </c>
      <c r="H718" s="14">
        <v>44814</v>
      </c>
      <c r="I718" s="14">
        <v>89249</v>
      </c>
      <c r="J718" s="14" t="s">
        <v>154</v>
      </c>
      <c r="K718" s="14" t="str">
        <f>A718&amp;B718&amp;C718&amp;D718&amp;E718&amp;F718&amp;G718&amp;H718&amp;I718&amp;J718&amp;[1]Sheet1!$G$5</f>
        <v>E0717Tania ChowdhuryMaleOperationsOperations AssociateFull-timeChattogram4481489249E0037Sylhet</v>
      </c>
      <c r="L718" s="14">
        <f t="shared" si="33"/>
        <v>132031</v>
      </c>
      <c r="M718" s="14">
        <f ca="1" t="shared" si="34"/>
        <v>3</v>
      </c>
      <c r="N718" s="15" t="str">
        <f ca="1" t="shared" si="35"/>
        <v>Mid level</v>
      </c>
    </row>
    <row r="719" spans="1:14">
      <c r="A719" s="16" t="s">
        <v>1327</v>
      </c>
      <c r="B719" s="17" t="s">
        <v>894</v>
      </c>
      <c r="C719" s="17" t="s">
        <v>19</v>
      </c>
      <c r="D719" s="17" t="s">
        <v>20</v>
      </c>
      <c r="E719" s="17" t="s">
        <v>21</v>
      </c>
      <c r="F719" s="17" t="s">
        <v>15</v>
      </c>
      <c r="G719" s="17" t="s">
        <v>62</v>
      </c>
      <c r="H719" s="17">
        <v>44565</v>
      </c>
      <c r="I719" s="17">
        <v>48538</v>
      </c>
      <c r="J719" s="17" t="s">
        <v>727</v>
      </c>
      <c r="K719" s="17" t="str">
        <f>A719&amp;B719&amp;C719&amp;D719&amp;E719&amp;F719&amp;G719&amp;H719&amp;I719&amp;J719&amp;[1]Sheet1!$G$5</f>
        <v>E0718Imran KhanMaleCustomer SuccessSupport SpecialistFull-timeChattogram4456548538E0618Sylhet</v>
      </c>
      <c r="L719" s="17">
        <f t="shared" si="33"/>
        <v>132104</v>
      </c>
      <c r="M719" s="17">
        <f ca="1" t="shared" si="34"/>
        <v>4</v>
      </c>
      <c r="N719" s="18" t="str">
        <f ca="1" t="shared" si="35"/>
        <v>Mid level</v>
      </c>
    </row>
    <row r="720" spans="1:14">
      <c r="A720" s="13" t="s">
        <v>512</v>
      </c>
      <c r="B720" s="14" t="s">
        <v>1092</v>
      </c>
      <c r="C720" s="14" t="s">
        <v>19</v>
      </c>
      <c r="D720" s="14" t="s">
        <v>38</v>
      </c>
      <c r="E720" s="14" t="s">
        <v>84</v>
      </c>
      <c r="F720" s="14" t="s">
        <v>15</v>
      </c>
      <c r="G720" s="14" t="s">
        <v>28</v>
      </c>
      <c r="H720" s="14">
        <v>42437</v>
      </c>
      <c r="I720" s="14">
        <v>122096</v>
      </c>
      <c r="J720" s="14" t="s">
        <v>773</v>
      </c>
      <c r="K720" s="14" t="str">
        <f>A720&amp;B720&amp;C720&amp;D720&amp;E720&amp;F720&amp;G720&amp;H720&amp;I720&amp;J720&amp;[1]Sheet1!$G$5</f>
        <v>E0719Nabila IslamMaleEngineeringEngineering ManagerFull-timeRemote42437122096E0845Sylhet</v>
      </c>
      <c r="L720" s="14">
        <f t="shared" si="33"/>
        <v>133219.5</v>
      </c>
      <c r="M720" s="14">
        <f ca="1" t="shared" si="34"/>
        <v>10</v>
      </c>
      <c r="N720" s="15" t="str">
        <f ca="1" t="shared" si="35"/>
        <v>Experienced</v>
      </c>
    </row>
    <row r="721" spans="1:14">
      <c r="A721" s="16" t="s">
        <v>1328</v>
      </c>
      <c r="B721" s="17" t="s">
        <v>541</v>
      </c>
      <c r="C721" s="17" t="s">
        <v>19</v>
      </c>
      <c r="D721" s="17" t="s">
        <v>26</v>
      </c>
      <c r="E721" s="17" t="s">
        <v>162</v>
      </c>
      <c r="F721" s="17" t="s">
        <v>15</v>
      </c>
      <c r="G721" s="17" t="s">
        <v>34</v>
      </c>
      <c r="H721" s="17">
        <v>44958</v>
      </c>
      <c r="I721" s="17">
        <v>78350</v>
      </c>
      <c r="J721" s="17"/>
      <c r="K721" s="17" t="str">
        <f>A721&amp;B721&amp;C721&amp;D721&amp;E721&amp;F721&amp;G721&amp;H721&amp;I721&amp;J721&amp;[1]Sheet1!$G$5</f>
        <v>E0720Jannat IslamMaleFinanceAccounts ExecutiveFull-timeSylhet4495878350Sylhet</v>
      </c>
      <c r="L721" s="17">
        <f t="shared" si="33"/>
        <v>134335</v>
      </c>
      <c r="M721" s="17">
        <f ca="1" t="shared" si="34"/>
        <v>3</v>
      </c>
      <c r="N721" s="18" t="str">
        <f ca="1" t="shared" si="35"/>
        <v>Mid level</v>
      </c>
    </row>
    <row r="722" spans="1:14">
      <c r="A722" s="13" t="s">
        <v>1329</v>
      </c>
      <c r="B722" s="14" t="s">
        <v>1165</v>
      </c>
      <c r="C722" s="14" t="s">
        <v>19</v>
      </c>
      <c r="D722" s="14" t="s">
        <v>20</v>
      </c>
      <c r="E722" s="14" t="s">
        <v>147</v>
      </c>
      <c r="F722" s="14" t="s">
        <v>15</v>
      </c>
      <c r="G722" s="14" t="s">
        <v>28</v>
      </c>
      <c r="H722" s="14">
        <v>44480</v>
      </c>
      <c r="I722" s="14">
        <v>109085</v>
      </c>
      <c r="J722" s="14" t="s">
        <v>806</v>
      </c>
      <c r="K722" s="14" t="str">
        <f>A722&amp;B722&amp;C722&amp;D722&amp;E722&amp;F722&amp;G722&amp;H722&amp;I722&amp;J722&amp;[1]Sheet1!$G$5</f>
        <v>E0721Noman HasanMaleCustomer SuccessSupport AssociateFull-timeRemote44480109085E0351Sylhet</v>
      </c>
      <c r="L722" s="14">
        <f t="shared" si="33"/>
        <v>134588.5</v>
      </c>
      <c r="M722" s="14">
        <f ca="1" t="shared" si="34"/>
        <v>4</v>
      </c>
      <c r="N722" s="15" t="str">
        <f ca="1" t="shared" si="35"/>
        <v>Mid level</v>
      </c>
    </row>
    <row r="723" spans="1:14">
      <c r="A723" s="16" t="s">
        <v>1330</v>
      </c>
      <c r="B723" s="17" t="s">
        <v>1331</v>
      </c>
      <c r="C723" s="17" t="s">
        <v>12</v>
      </c>
      <c r="D723" s="17" t="s">
        <v>38</v>
      </c>
      <c r="E723" s="17" t="s">
        <v>77</v>
      </c>
      <c r="F723" s="17" t="s">
        <v>48</v>
      </c>
      <c r="G723" s="17" t="s">
        <v>94</v>
      </c>
      <c r="H723" s="17">
        <v>44725</v>
      </c>
      <c r="I723" s="17">
        <v>112504</v>
      </c>
      <c r="J723" s="17" t="s">
        <v>963</v>
      </c>
      <c r="K723" s="17" t="str">
        <f>A723&amp;B723&amp;C723&amp;D723&amp;E723&amp;F723&amp;G723&amp;H723&amp;I723&amp;J723&amp;[1]Sheet1!$G$5</f>
        <v>E0722Mahin HaiderFemaleEngineeringJunior Software EngineerContractRajshahi44725112504E0445Sylhet</v>
      </c>
      <c r="L723" s="17">
        <f t="shared" si="33"/>
        <v>134842</v>
      </c>
      <c r="M723" s="17">
        <f ca="1" t="shared" si="34"/>
        <v>3</v>
      </c>
      <c r="N723" s="18" t="str">
        <f ca="1" t="shared" si="35"/>
        <v>Mid level</v>
      </c>
    </row>
    <row r="724" spans="1:14">
      <c r="A724" s="13" t="s">
        <v>1332</v>
      </c>
      <c r="B724" s="14" t="s">
        <v>682</v>
      </c>
      <c r="C724" s="14" t="s">
        <v>12</v>
      </c>
      <c r="D724" s="14" t="s">
        <v>38</v>
      </c>
      <c r="E724" s="14" t="s">
        <v>66</v>
      </c>
      <c r="F724" s="14" t="s">
        <v>15</v>
      </c>
      <c r="G724" s="14" t="s">
        <v>28</v>
      </c>
      <c r="H724" s="14">
        <v>43360</v>
      </c>
      <c r="I724" s="14">
        <v>140797</v>
      </c>
      <c r="J724" s="14" t="s">
        <v>186</v>
      </c>
      <c r="K724" s="14" t="str">
        <f>A724&amp;B724&amp;C724&amp;D724&amp;E724&amp;F724&amp;G724&amp;H724&amp;I724&amp;J724&amp;[1]Sheet1!$G$5</f>
        <v>E0723Ayesha MiahFemaleEngineeringSoftware EngineerFull-timeRemote43360140797E0927Sylhet</v>
      </c>
      <c r="L724" s="14">
        <f t="shared" si="33"/>
        <v>134858.5</v>
      </c>
      <c r="M724" s="14">
        <f ca="1" t="shared" si="34"/>
        <v>7</v>
      </c>
      <c r="N724" s="15" t="str">
        <f ca="1" t="shared" si="35"/>
        <v>Experienced</v>
      </c>
    </row>
    <row r="725" spans="1:14">
      <c r="A725" s="16" t="s">
        <v>1333</v>
      </c>
      <c r="B725" s="17" t="s">
        <v>1334</v>
      </c>
      <c r="C725" s="17" t="s">
        <v>12</v>
      </c>
      <c r="D725" s="17" t="s">
        <v>26</v>
      </c>
      <c r="E725" s="17" t="s">
        <v>162</v>
      </c>
      <c r="F725" s="17" t="s">
        <v>15</v>
      </c>
      <c r="G725" s="17" t="s">
        <v>40</v>
      </c>
      <c r="H725" s="17">
        <v>45313</v>
      </c>
      <c r="I725" s="17">
        <v>131619</v>
      </c>
      <c r="J725" s="17" t="s">
        <v>341</v>
      </c>
      <c r="K725" s="17" t="str">
        <f>A725&amp;B725&amp;C725&amp;D725&amp;E725&amp;F725&amp;G725&amp;H725&amp;I725&amp;J725&amp;[1]Sheet1!$G$5</f>
        <v>E0724Farhan RasheedFemaleFinanceAccounts ExecutiveFull-timeDhaka45313131619E0828Sylhet</v>
      </c>
      <c r="L725" s="17">
        <f t="shared" si="33"/>
        <v>134842</v>
      </c>
      <c r="M725" s="17">
        <f ca="1" t="shared" si="34"/>
        <v>2</v>
      </c>
      <c r="N725" s="18" t="str">
        <f ca="1" t="shared" si="35"/>
        <v>New</v>
      </c>
    </row>
    <row r="726" spans="1:14">
      <c r="A726" s="13" t="s">
        <v>1335</v>
      </c>
      <c r="B726" s="14" t="s">
        <v>938</v>
      </c>
      <c r="C726" s="14" t="s">
        <v>12</v>
      </c>
      <c r="D726" s="14" t="s">
        <v>92</v>
      </c>
      <c r="E726" s="14" t="s">
        <v>126</v>
      </c>
      <c r="F726" s="14" t="s">
        <v>15</v>
      </c>
      <c r="G726" s="14" t="s">
        <v>28</v>
      </c>
      <c r="H726" s="14">
        <v>42958</v>
      </c>
      <c r="I726" s="14">
        <v>173103</v>
      </c>
      <c r="J726" s="14" t="s">
        <v>490</v>
      </c>
      <c r="K726" s="14" t="str">
        <f>A726&amp;B726&amp;C726&amp;D726&amp;E726&amp;F726&amp;G726&amp;H726&amp;I726&amp;J726&amp;[1]Sheet1!$G$5</f>
        <v>E0725Lamia ShahFemaleMarketingSEO SpecialistFull-timeRemote42958173103E0686Sylhet</v>
      </c>
      <c r="L726" s="14">
        <f t="shared" si="33"/>
        <v>134858.5</v>
      </c>
      <c r="M726" s="14">
        <f ca="1" t="shared" si="34"/>
        <v>8</v>
      </c>
      <c r="N726" s="15" t="str">
        <f ca="1" t="shared" si="35"/>
        <v>Experienced</v>
      </c>
    </row>
    <row r="727" spans="1:14">
      <c r="A727" s="16" t="s">
        <v>1336</v>
      </c>
      <c r="B727" s="17" t="s">
        <v>1337</v>
      </c>
      <c r="C727" s="17" t="s">
        <v>293</v>
      </c>
      <c r="D727" s="17" t="s">
        <v>52</v>
      </c>
      <c r="E727" s="17" t="s">
        <v>246</v>
      </c>
      <c r="F727" s="17" t="s">
        <v>15</v>
      </c>
      <c r="G727" s="17" t="s">
        <v>94</v>
      </c>
      <c r="H727" s="17">
        <v>43563</v>
      </c>
      <c r="I727" s="17">
        <v>92825</v>
      </c>
      <c r="J727" s="17" t="s">
        <v>29</v>
      </c>
      <c r="K727" s="17" t="str">
        <f>A727&amp;B727&amp;C727&amp;D727&amp;E727&amp;F727&amp;G727&amp;H727&amp;I727&amp;J727&amp;[1]Sheet1!$G$5</f>
        <v>E0726Shafiq BanuPrefer not to sayOperationsOperations AssociateFull-timeRajshahi4356392825E0990Sylhet</v>
      </c>
      <c r="L727" s="17">
        <f t="shared" si="33"/>
        <v>134842</v>
      </c>
      <c r="M727" s="17">
        <f ca="1" t="shared" si="34"/>
        <v>6</v>
      </c>
      <c r="N727" s="18" t="str">
        <f ca="1" t="shared" si="35"/>
        <v>Experienced</v>
      </c>
    </row>
    <row r="728" spans="1:14">
      <c r="A728" s="13" t="s">
        <v>1338</v>
      </c>
      <c r="B728" s="14" t="s">
        <v>1107</v>
      </c>
      <c r="C728" s="14" t="s">
        <v>12</v>
      </c>
      <c r="D728" s="14" t="s">
        <v>38</v>
      </c>
      <c r="E728" s="14" t="s">
        <v>140</v>
      </c>
      <c r="F728" s="14" t="s">
        <v>15</v>
      </c>
      <c r="G728" s="14" t="s">
        <v>28</v>
      </c>
      <c r="H728" s="14">
        <v>44128</v>
      </c>
      <c r="I728" s="14">
        <v>290782</v>
      </c>
      <c r="J728" s="14"/>
      <c r="K728" s="14" t="str">
        <f>A728&amp;B728&amp;C728&amp;D728&amp;E728&amp;F728&amp;G728&amp;H728&amp;I728&amp;J728&amp;[1]Sheet1!$G$5</f>
        <v>E0727Arif KabirFemaleEngineeringSenior Software EngineerFull-timeRemote44128290782Sylhet</v>
      </c>
      <c r="L728" s="14">
        <f t="shared" si="33"/>
        <v>134858.5</v>
      </c>
      <c r="M728" s="14">
        <f ca="1" t="shared" si="34"/>
        <v>5</v>
      </c>
      <c r="N728" s="15" t="str">
        <f ca="1" t="shared" si="35"/>
        <v>Mid level</v>
      </c>
    </row>
    <row r="729" spans="1:14">
      <c r="A729" s="16" t="s">
        <v>212</v>
      </c>
      <c r="B729" s="17" t="s">
        <v>736</v>
      </c>
      <c r="C729" s="17" t="s">
        <v>19</v>
      </c>
      <c r="D729" s="17" t="s">
        <v>52</v>
      </c>
      <c r="E729" s="17" t="s">
        <v>53</v>
      </c>
      <c r="F729" s="17" t="s">
        <v>15</v>
      </c>
      <c r="G729" s="17" t="s">
        <v>34</v>
      </c>
      <c r="H729" s="17">
        <v>42376</v>
      </c>
      <c r="I729" s="17">
        <v>120139</v>
      </c>
      <c r="J729" s="17" t="s">
        <v>721</v>
      </c>
      <c r="K729" s="17" t="str">
        <f>A729&amp;B729&amp;C729&amp;D729&amp;E729&amp;F729&amp;G729&amp;H729&amp;I729&amp;J729&amp;[1]Sheet1!$G$5</f>
        <v>E0728Rafi JahanMaleOperationsOperations ManagerFull-timeSylhet42376120139E0376Sylhet</v>
      </c>
      <c r="L729" s="17">
        <f t="shared" si="33"/>
        <v>134842</v>
      </c>
      <c r="M729" s="17">
        <f ca="1" t="shared" si="34"/>
        <v>10</v>
      </c>
      <c r="N729" s="18" t="str">
        <f ca="1" t="shared" si="35"/>
        <v>Experienced</v>
      </c>
    </row>
    <row r="730" spans="1:14">
      <c r="A730" s="13" t="s">
        <v>1339</v>
      </c>
      <c r="B730" s="14" t="s">
        <v>561</v>
      </c>
      <c r="C730" s="14" t="s">
        <v>19</v>
      </c>
      <c r="D730" s="14" t="s">
        <v>38</v>
      </c>
      <c r="E730" s="14" t="s">
        <v>39</v>
      </c>
      <c r="F730" s="14" t="s">
        <v>15</v>
      </c>
      <c r="G730" s="14" t="s">
        <v>62</v>
      </c>
      <c r="H730" s="14">
        <v>44888</v>
      </c>
      <c r="I730" s="14">
        <v>144862</v>
      </c>
      <c r="J730" s="14"/>
      <c r="K730" s="14" t="str">
        <f>A730&amp;B730&amp;C730&amp;D730&amp;E730&amp;F730&amp;G730&amp;H730&amp;I730&amp;J730&amp;[1]Sheet1!$G$5</f>
        <v>E0729Nafiz AhmedMaleEngineeringDevOps EngineerFull-timeChattogram44888144862Sylhet</v>
      </c>
      <c r="L730" s="14">
        <f t="shared" si="33"/>
        <v>134858.5</v>
      </c>
      <c r="M730" s="14">
        <f ca="1" t="shared" si="34"/>
        <v>3</v>
      </c>
      <c r="N730" s="15" t="str">
        <f ca="1" t="shared" si="35"/>
        <v>Mid level</v>
      </c>
    </row>
    <row r="731" spans="1:14">
      <c r="A731" s="16" t="s">
        <v>1340</v>
      </c>
      <c r="B731" s="17" t="s">
        <v>1135</v>
      </c>
      <c r="C731" s="17" t="s">
        <v>12</v>
      </c>
      <c r="D731" s="17" t="s">
        <v>38</v>
      </c>
      <c r="E731" s="17" t="s">
        <v>140</v>
      </c>
      <c r="F731" s="17" t="s">
        <v>15</v>
      </c>
      <c r="G731" s="17" t="s">
        <v>40</v>
      </c>
      <c r="H731" s="17">
        <v>43815</v>
      </c>
      <c r="I731" s="17">
        <v>201682</v>
      </c>
      <c r="J731" s="17" t="s">
        <v>285</v>
      </c>
      <c r="K731" s="17" t="str">
        <f>A731&amp;B731&amp;C731&amp;D731&amp;E731&amp;F731&amp;G731&amp;H731&amp;I731&amp;J731&amp;[1]Sheet1!$G$5</f>
        <v>E0730Tasnim HasanFemaleEngineeringSenior Software EngineerFull-timeDhaka43815201682E0310Sylhet</v>
      </c>
      <c r="L731" s="17">
        <f t="shared" si="33"/>
        <v>134842</v>
      </c>
      <c r="M731" s="17">
        <f ca="1" t="shared" si="34"/>
        <v>6</v>
      </c>
      <c r="N731" s="18" t="str">
        <f ca="1" t="shared" si="35"/>
        <v>Experienced</v>
      </c>
    </row>
    <row r="732" spans="1:14">
      <c r="A732" s="13" t="s">
        <v>1341</v>
      </c>
      <c r="B732" s="14" t="s">
        <v>812</v>
      </c>
      <c r="C732" s="14" t="s">
        <v>19</v>
      </c>
      <c r="D732" s="14" t="s">
        <v>38</v>
      </c>
      <c r="E732" s="14" t="s">
        <v>66</v>
      </c>
      <c r="F732" s="14" t="s">
        <v>15</v>
      </c>
      <c r="G732" s="14" t="s">
        <v>28</v>
      </c>
      <c r="H732" s="14">
        <v>43355</v>
      </c>
      <c r="I732" s="14">
        <v>197277</v>
      </c>
      <c r="J732" s="14" t="s">
        <v>416</v>
      </c>
      <c r="K732" s="14" t="str">
        <f>A732&amp;B732&amp;C732&amp;D732&amp;E732&amp;F732&amp;G732&amp;H732&amp;I732&amp;J732&amp;[1]Sheet1!$G$5</f>
        <v>E0731Karim AhmedMaleEngineeringSoftware EngineerFull-timeRemote43355197277E0142Sylhet</v>
      </c>
      <c r="L732" s="14">
        <f t="shared" si="33"/>
        <v>134588.5</v>
      </c>
      <c r="M732" s="14">
        <f ca="1" t="shared" si="34"/>
        <v>7</v>
      </c>
      <c r="N732" s="15" t="str">
        <f ca="1" t="shared" si="35"/>
        <v>Experienced</v>
      </c>
    </row>
    <row r="733" spans="1:14">
      <c r="A733" s="16" t="s">
        <v>1342</v>
      </c>
      <c r="B733" s="17" t="s">
        <v>1343</v>
      </c>
      <c r="C733" s="17" t="s">
        <v>12</v>
      </c>
      <c r="D733" s="17" t="s">
        <v>52</v>
      </c>
      <c r="E733" s="17" t="s">
        <v>120</v>
      </c>
      <c r="F733" s="17" t="s">
        <v>15</v>
      </c>
      <c r="G733" s="17" t="s">
        <v>40</v>
      </c>
      <c r="H733" s="17">
        <v>44707</v>
      </c>
      <c r="I733" s="17">
        <v>135986</v>
      </c>
      <c r="J733" s="17" t="s">
        <v>201</v>
      </c>
      <c r="K733" s="17" t="str">
        <f>A733&amp;B733&amp;C733&amp;D733&amp;E733&amp;F733&amp;G733&amp;H733&amp;I733&amp;J733&amp;[1]Sheet1!$G$5</f>
        <v>E0732Noman RanaFemaleOperationsSupply Chain AnalystFull-timeDhaka44707135986E0742Sylhet</v>
      </c>
      <c r="L733" s="17">
        <f t="shared" si="33"/>
        <v>134335</v>
      </c>
      <c r="M733" s="17">
        <f ca="1" t="shared" si="34"/>
        <v>3</v>
      </c>
      <c r="N733" s="18" t="str">
        <f ca="1" t="shared" si="35"/>
        <v>Mid level</v>
      </c>
    </row>
    <row r="734" spans="1:14">
      <c r="A734" s="13" t="s">
        <v>1344</v>
      </c>
      <c r="B734" s="14" t="s">
        <v>1345</v>
      </c>
      <c r="C734" s="14" t="s">
        <v>12</v>
      </c>
      <c r="D734" s="14" t="s">
        <v>32</v>
      </c>
      <c r="E734" s="14" t="s">
        <v>130</v>
      </c>
      <c r="F734" s="14" t="s">
        <v>15</v>
      </c>
      <c r="G734" s="14" t="s">
        <v>62</v>
      </c>
      <c r="H734" s="14">
        <v>44076</v>
      </c>
      <c r="I734" s="14">
        <v>56897</v>
      </c>
      <c r="J734" s="14" t="s">
        <v>197</v>
      </c>
      <c r="K734" s="14" t="str">
        <f>A734&amp;B734&amp;C734&amp;D734&amp;E734&amp;F734&amp;G734&amp;H734&amp;I734&amp;J734&amp;[1]Sheet1!$G$5</f>
        <v>E0733Nadia FerdousFemaleHRRecruiterFull-timeChattogram4407656897E0051Sylhet</v>
      </c>
      <c r="L734" s="14">
        <f t="shared" si="33"/>
        <v>133219.5</v>
      </c>
      <c r="M734" s="14">
        <f ca="1" t="shared" si="34"/>
        <v>5</v>
      </c>
      <c r="N734" s="15" t="str">
        <f ca="1" t="shared" si="35"/>
        <v>Mid level</v>
      </c>
    </row>
    <row r="735" spans="1:14">
      <c r="A735" s="16" t="s">
        <v>1346</v>
      </c>
      <c r="B735" s="17" t="s">
        <v>1331</v>
      </c>
      <c r="C735" s="17" t="s">
        <v>19</v>
      </c>
      <c r="D735" s="17" t="s">
        <v>92</v>
      </c>
      <c r="E735" s="17" t="s">
        <v>391</v>
      </c>
      <c r="F735" s="17" t="s">
        <v>15</v>
      </c>
      <c r="G735" s="17" t="s">
        <v>34</v>
      </c>
      <c r="H735" s="17">
        <v>43137</v>
      </c>
      <c r="I735" s="17">
        <v>155461</v>
      </c>
      <c r="J735" s="17" t="s">
        <v>863</v>
      </c>
      <c r="K735" s="17" t="str">
        <f>A735&amp;B735&amp;C735&amp;D735&amp;E735&amp;F735&amp;G735&amp;H735&amp;I735&amp;J735&amp;[1]Sheet1!$G$5</f>
        <v>E0734Mahin HaiderMaleMarketingContent SpecialistFull-timeSylhet43137155461E0387Sylhet</v>
      </c>
      <c r="L735" s="17">
        <f t="shared" si="33"/>
        <v>134335</v>
      </c>
      <c r="M735" s="17">
        <f ca="1" t="shared" si="34"/>
        <v>8</v>
      </c>
      <c r="N735" s="18" t="str">
        <f ca="1" t="shared" si="35"/>
        <v>Experienced</v>
      </c>
    </row>
    <row r="736" spans="1:14">
      <c r="A736" s="13" t="s">
        <v>1347</v>
      </c>
      <c r="B736" s="14" t="s">
        <v>1155</v>
      </c>
      <c r="C736" s="14" t="s">
        <v>12</v>
      </c>
      <c r="D736" s="14" t="s">
        <v>13</v>
      </c>
      <c r="E736" s="14" t="s">
        <v>14</v>
      </c>
      <c r="F736" s="14" t="s">
        <v>15</v>
      </c>
      <c r="G736" s="14" t="s">
        <v>94</v>
      </c>
      <c r="H736" s="14">
        <v>45091</v>
      </c>
      <c r="I736" s="14">
        <v>67760</v>
      </c>
      <c r="J736" s="14" t="s">
        <v>1348</v>
      </c>
      <c r="K736" s="14" t="str">
        <f>A736&amp;B736&amp;C736&amp;D736&amp;E736&amp;F736&amp;G736&amp;H736&amp;I736&amp;J736&amp;[1]Sheet1!$G$5</f>
        <v>E0735Shawon KabirFemaleSalesSales AssociateFull-timeRajshahi4509167760E0786Sylhet</v>
      </c>
      <c r="L736" s="14">
        <f t="shared" si="33"/>
        <v>133219.5</v>
      </c>
      <c r="M736" s="14">
        <f ca="1" t="shared" si="34"/>
        <v>2</v>
      </c>
      <c r="N736" s="15" t="str">
        <f ca="1" t="shared" si="35"/>
        <v>New</v>
      </c>
    </row>
    <row r="737" spans="1:14">
      <c r="A737" s="16" t="s">
        <v>175</v>
      </c>
      <c r="B737" s="17" t="s">
        <v>1349</v>
      </c>
      <c r="C737" s="17" t="s">
        <v>12</v>
      </c>
      <c r="D737" s="17" t="s">
        <v>52</v>
      </c>
      <c r="E737" s="17" t="s">
        <v>53</v>
      </c>
      <c r="F737" s="17" t="s">
        <v>15</v>
      </c>
      <c r="G737" s="17" t="s">
        <v>28</v>
      </c>
      <c r="H737" s="17">
        <v>45107</v>
      </c>
      <c r="I737" s="17">
        <v>180002</v>
      </c>
      <c r="J737" s="17" t="s">
        <v>1081</v>
      </c>
      <c r="K737" s="17" t="str">
        <f>A737&amp;B737&amp;C737&amp;D737&amp;E737&amp;F737&amp;G737&amp;H737&amp;I737&amp;J737&amp;[1]Sheet1!$G$5</f>
        <v>E0736Sajid BiswasFemaleOperationsOperations ManagerFull-timeRemote45107180002E0522Sylhet</v>
      </c>
      <c r="L737" s="17">
        <f t="shared" si="33"/>
        <v>134335</v>
      </c>
      <c r="M737" s="17">
        <f ca="1" t="shared" si="34"/>
        <v>2</v>
      </c>
      <c r="N737" s="18" t="str">
        <f ca="1" t="shared" si="35"/>
        <v>New</v>
      </c>
    </row>
    <row r="738" spans="1:14">
      <c r="A738" s="13" t="s">
        <v>1350</v>
      </c>
      <c r="B738" s="14" t="s">
        <v>904</v>
      </c>
      <c r="C738" s="14" t="s">
        <v>19</v>
      </c>
      <c r="D738" s="14" t="s">
        <v>13</v>
      </c>
      <c r="E738" s="14" t="s">
        <v>165</v>
      </c>
      <c r="F738" s="14" t="s">
        <v>15</v>
      </c>
      <c r="G738" s="14" t="s">
        <v>34</v>
      </c>
      <c r="H738" s="14">
        <v>42720</v>
      </c>
      <c r="I738" s="14">
        <v>134875</v>
      </c>
      <c r="J738" s="14"/>
      <c r="K738" s="14" t="str">
        <f>A738&amp;B738&amp;C738&amp;D738&amp;E738&amp;F738&amp;G738&amp;H738&amp;I738&amp;J738&amp;[1]Sheet1!$G$5</f>
        <v>E0737Nafiz HaiderMaleSalesAccount ExecutiveFull-timeSylhet42720134875Sylhet</v>
      </c>
      <c r="L738" s="14">
        <f t="shared" si="33"/>
        <v>133219.5</v>
      </c>
      <c r="M738" s="14">
        <f ca="1" t="shared" si="34"/>
        <v>9</v>
      </c>
      <c r="N738" s="15" t="str">
        <f ca="1" t="shared" si="35"/>
        <v>Experienced</v>
      </c>
    </row>
    <row r="739" spans="1:14">
      <c r="A739" s="16" t="s">
        <v>1351</v>
      </c>
      <c r="B739" s="17" t="s">
        <v>1352</v>
      </c>
      <c r="C739" s="17" t="s">
        <v>19</v>
      </c>
      <c r="D739" s="17" t="s">
        <v>52</v>
      </c>
      <c r="E739" s="17" t="s">
        <v>246</v>
      </c>
      <c r="F739" s="17" t="s">
        <v>22</v>
      </c>
      <c r="G739" s="17" t="s">
        <v>62</v>
      </c>
      <c r="H739" s="17">
        <v>44514</v>
      </c>
      <c r="I739" s="17">
        <v>68992</v>
      </c>
      <c r="J739" s="17" t="s">
        <v>166</v>
      </c>
      <c r="K739" s="17" t="str">
        <f>A739&amp;B739&amp;C739&amp;D739&amp;E739&amp;F739&amp;G739&amp;H739&amp;I739&amp;J739&amp;[1]Sheet1!$G$5</f>
        <v>E0738Rashed BiswasMaleOperationsOperations AssociateInternChattogram4451468992E0849Sylhet</v>
      </c>
      <c r="L739" s="17">
        <f t="shared" si="33"/>
        <v>132104</v>
      </c>
      <c r="M739" s="17">
        <f ca="1" t="shared" si="34"/>
        <v>4</v>
      </c>
      <c r="N739" s="18" t="str">
        <f ca="1" t="shared" si="35"/>
        <v>Mid level</v>
      </c>
    </row>
    <row r="740" spans="1:14">
      <c r="A740" s="13" t="s">
        <v>1353</v>
      </c>
      <c r="B740" s="14" t="s">
        <v>656</v>
      </c>
      <c r="C740" s="14" t="s">
        <v>19</v>
      </c>
      <c r="D740" s="14" t="s">
        <v>13</v>
      </c>
      <c r="E740" s="14" t="s">
        <v>165</v>
      </c>
      <c r="F740" s="14" t="s">
        <v>15</v>
      </c>
      <c r="G740" s="14" t="s">
        <v>16</v>
      </c>
      <c r="H740" s="14">
        <v>43847</v>
      </c>
      <c r="I740" s="14">
        <v>154293</v>
      </c>
      <c r="J740" s="14" t="s">
        <v>374</v>
      </c>
      <c r="K740" s="14" t="str">
        <f>A740&amp;B740&amp;C740&amp;D740&amp;E740&amp;F740&amp;G740&amp;H740&amp;I740&amp;J740&amp;[1]Sheet1!$G$5</f>
        <v>E0739Jannat ParvinMaleSalesAccount ExecutiveFull-timeKhulna43847154293E0122Sylhet</v>
      </c>
      <c r="L740" s="14">
        <f t="shared" si="33"/>
        <v>133219.5</v>
      </c>
      <c r="M740" s="14">
        <f ca="1" t="shared" si="34"/>
        <v>6</v>
      </c>
      <c r="N740" s="15" t="str">
        <f ca="1" t="shared" si="35"/>
        <v>Experienced</v>
      </c>
    </row>
    <row r="741" spans="1:14">
      <c r="A741" s="16" t="s">
        <v>1354</v>
      </c>
      <c r="B741" s="17" t="s">
        <v>759</v>
      </c>
      <c r="C741" s="17" t="s">
        <v>19</v>
      </c>
      <c r="D741" s="17" t="s">
        <v>13</v>
      </c>
      <c r="E741" s="17" t="s">
        <v>165</v>
      </c>
      <c r="F741" s="17" t="s">
        <v>15</v>
      </c>
      <c r="G741" s="17" t="s">
        <v>16</v>
      </c>
      <c r="H741" s="17">
        <v>42647</v>
      </c>
      <c r="I741" s="17">
        <v>91470</v>
      </c>
      <c r="J741" s="17" t="s">
        <v>889</v>
      </c>
      <c r="K741" s="17" t="str">
        <f>A741&amp;B741&amp;C741&amp;D741&amp;E741&amp;F741&amp;G741&amp;H741&amp;I741&amp;J741&amp;[1]Sheet1!$G$5</f>
        <v>E0740Ovi SharminMaleSalesAccount ExecutiveFull-timeKhulna4264791470E0479Sylhet</v>
      </c>
      <c r="L741" s="17">
        <f t="shared" si="33"/>
        <v>132104</v>
      </c>
      <c r="M741" s="17">
        <f ca="1" t="shared" si="34"/>
        <v>9</v>
      </c>
      <c r="N741" s="18" t="str">
        <f ca="1" t="shared" si="35"/>
        <v>Experienced</v>
      </c>
    </row>
    <row r="742" spans="1:14">
      <c r="A742" s="13" t="s">
        <v>41</v>
      </c>
      <c r="B742" s="14" t="s">
        <v>1355</v>
      </c>
      <c r="C742" s="14" t="s">
        <v>12</v>
      </c>
      <c r="D742" s="14" t="s">
        <v>13</v>
      </c>
      <c r="E742" s="14" t="s">
        <v>98</v>
      </c>
      <c r="F742" s="14" t="s">
        <v>15</v>
      </c>
      <c r="G742" s="14" t="s">
        <v>34</v>
      </c>
      <c r="H742" s="14">
        <v>44524</v>
      </c>
      <c r="I742" s="14">
        <v>179692</v>
      </c>
      <c r="J742" s="14" t="s">
        <v>197</v>
      </c>
      <c r="K742" s="14" t="str">
        <f>A742&amp;B742&amp;C742&amp;D742&amp;E742&amp;F742&amp;G742&amp;H742&amp;I742&amp;J742&amp;[1]Sheet1!$G$5</f>
        <v>E0741Mahin FerdousFemaleSalesSales ManagerFull-timeSylhet44524179692E0051Sylhet</v>
      </c>
      <c r="L742" s="14">
        <f t="shared" si="33"/>
        <v>133219.5</v>
      </c>
      <c r="M742" s="14">
        <f ca="1" t="shared" si="34"/>
        <v>4</v>
      </c>
      <c r="N742" s="15" t="str">
        <f ca="1" t="shared" si="35"/>
        <v>Mid level</v>
      </c>
    </row>
    <row r="743" spans="1:14">
      <c r="A743" s="16" t="s">
        <v>201</v>
      </c>
      <c r="B743" s="17" t="s">
        <v>276</v>
      </c>
      <c r="C743" s="17" t="s">
        <v>12</v>
      </c>
      <c r="D743" s="17" t="s">
        <v>87</v>
      </c>
      <c r="E743" s="17" t="s">
        <v>349</v>
      </c>
      <c r="F743" s="17" t="s">
        <v>48</v>
      </c>
      <c r="G743" s="17" t="s">
        <v>94</v>
      </c>
      <c r="H743" s="17">
        <v>44598</v>
      </c>
      <c r="I743" s="17">
        <v>182793</v>
      </c>
      <c r="J743" s="17" t="s">
        <v>259</v>
      </c>
      <c r="K743" s="17" t="str">
        <f>A743&amp;B743&amp;C743&amp;D743&amp;E743&amp;F743&amp;G743&amp;H743&amp;I743&amp;J743&amp;[1]Sheet1!$G$5</f>
        <v>E0742Lamia AkterFemaleProductProduct ManagerContractRajshahi44598182793E0239Sylhet</v>
      </c>
      <c r="L743" s="17">
        <f t="shared" si="33"/>
        <v>132104</v>
      </c>
      <c r="M743" s="17">
        <f ca="1" t="shared" si="34"/>
        <v>4</v>
      </c>
      <c r="N743" s="18" t="str">
        <f ca="1" t="shared" si="35"/>
        <v>Mid level</v>
      </c>
    </row>
    <row r="744" spans="1:14">
      <c r="A744" s="13" t="s">
        <v>1356</v>
      </c>
      <c r="B744" s="14" t="s">
        <v>340</v>
      </c>
      <c r="C744" s="14" t="s">
        <v>19</v>
      </c>
      <c r="D744" s="14" t="s">
        <v>26</v>
      </c>
      <c r="E744" s="14" t="s">
        <v>294</v>
      </c>
      <c r="F744" s="14" t="s">
        <v>15</v>
      </c>
      <c r="G744" s="14" t="s">
        <v>62</v>
      </c>
      <c r="H744" s="14">
        <v>44448</v>
      </c>
      <c r="I744" s="14">
        <v>125899</v>
      </c>
      <c r="J744" s="14"/>
      <c r="K744" s="14" t="str">
        <f>A744&amp;B744&amp;C744&amp;D744&amp;E744&amp;F744&amp;G744&amp;H744&amp;I744&amp;J744&amp;[1]Sheet1!$G$5</f>
        <v>E0743Rafi MiahMaleFinanceSenior Financial AnalystFull-timeChattogram44448125899Sylhet</v>
      </c>
      <c r="L744" s="14">
        <f t="shared" si="33"/>
        <v>132031</v>
      </c>
      <c r="M744" s="14">
        <f ca="1" t="shared" si="34"/>
        <v>4</v>
      </c>
      <c r="N744" s="15" t="str">
        <f ca="1" t="shared" si="35"/>
        <v>Mid level</v>
      </c>
    </row>
    <row r="745" spans="1:14">
      <c r="A745" s="16" t="s">
        <v>1357</v>
      </c>
      <c r="B745" s="17" t="s">
        <v>384</v>
      </c>
      <c r="C745" s="17" t="s">
        <v>12</v>
      </c>
      <c r="D745" s="17" t="s">
        <v>92</v>
      </c>
      <c r="E745" s="17" t="s">
        <v>189</v>
      </c>
      <c r="F745" s="17" t="s">
        <v>15</v>
      </c>
      <c r="G745" s="17" t="s">
        <v>94</v>
      </c>
      <c r="H745" s="17">
        <v>45591</v>
      </c>
      <c r="I745" s="17">
        <v>73942</v>
      </c>
      <c r="J745" s="17" t="s">
        <v>240</v>
      </c>
      <c r="K745" s="17" t="str">
        <f>A745&amp;B745&amp;C745&amp;D745&amp;E745&amp;F745&amp;G745&amp;H745&amp;I745&amp;J745&amp;[1]Sheet1!$G$5</f>
        <v>E0744Sajid IslamFemaleMarketingMarketing AssociateFull-timeRajshahi4559173942E0831Sylhet</v>
      </c>
      <c r="L745" s="17">
        <f t="shared" si="33"/>
        <v>132104</v>
      </c>
      <c r="M745" s="17">
        <f ca="1" t="shared" si="34"/>
        <v>1</v>
      </c>
      <c r="N745" s="18" t="str">
        <f ca="1" t="shared" si="35"/>
        <v>New</v>
      </c>
    </row>
    <row r="746" spans="1:14">
      <c r="A746" s="13" t="s">
        <v>879</v>
      </c>
      <c r="B746" s="14" t="s">
        <v>578</v>
      </c>
      <c r="C746" s="14" t="s">
        <v>19</v>
      </c>
      <c r="D746" s="14" t="s">
        <v>87</v>
      </c>
      <c r="E746" s="14" t="s">
        <v>156</v>
      </c>
      <c r="F746" s="14" t="s">
        <v>15</v>
      </c>
      <c r="G746" s="14" t="s">
        <v>40</v>
      </c>
      <c r="H746" s="14">
        <v>44449</v>
      </c>
      <c r="I746" s="14">
        <v>264211</v>
      </c>
      <c r="J746" s="14" t="s">
        <v>71</v>
      </c>
      <c r="K746" s="14" t="str">
        <f>A746&amp;B746&amp;C746&amp;D746&amp;E746&amp;F746&amp;G746&amp;H746&amp;I746&amp;J746&amp;[1]Sheet1!$G$5</f>
        <v>E0745Tamanna RanaMaleProductAssociate Product ManagerFull-timeDhaka44449264211E0816Sylhet</v>
      </c>
      <c r="L746" s="14">
        <f t="shared" si="33"/>
        <v>133219.5</v>
      </c>
      <c r="M746" s="14">
        <f ca="1" t="shared" si="34"/>
        <v>4</v>
      </c>
      <c r="N746" s="15" t="str">
        <f ca="1" t="shared" si="35"/>
        <v>Mid level</v>
      </c>
    </row>
    <row r="747" spans="1:14">
      <c r="A747" s="16" t="s">
        <v>1358</v>
      </c>
      <c r="B747" s="17" t="s">
        <v>119</v>
      </c>
      <c r="C747" s="17" t="s">
        <v>12</v>
      </c>
      <c r="D747" s="17" t="s">
        <v>52</v>
      </c>
      <c r="E747" s="17" t="s">
        <v>120</v>
      </c>
      <c r="F747" s="17" t="s">
        <v>15</v>
      </c>
      <c r="G747" s="17" t="s">
        <v>62</v>
      </c>
      <c r="H747" s="17">
        <v>44639</v>
      </c>
      <c r="I747" s="17">
        <v>98638</v>
      </c>
      <c r="J747" s="17" t="s">
        <v>190</v>
      </c>
      <c r="K747" s="17" t="str">
        <f>A747&amp;B747&amp;C747&amp;D747&amp;E747&amp;F747&amp;G747&amp;H747&amp;I747&amp;J747&amp;[1]Sheet1!$G$5</f>
        <v>E0746Tasnim ChowdhuryFemaleOperationsSupply Chain AnalystFull-timeChattogram4463998638E0592Sylhet</v>
      </c>
      <c r="L747" s="17">
        <f t="shared" si="33"/>
        <v>132104</v>
      </c>
      <c r="M747" s="17">
        <f ca="1" t="shared" si="34"/>
        <v>3</v>
      </c>
      <c r="N747" s="18" t="str">
        <f ca="1" t="shared" si="35"/>
        <v>Mid level</v>
      </c>
    </row>
    <row r="748" spans="1:14">
      <c r="A748" s="13" t="s">
        <v>1359</v>
      </c>
      <c r="B748" s="14" t="s">
        <v>691</v>
      </c>
      <c r="C748" s="14" t="s">
        <v>12</v>
      </c>
      <c r="D748" s="14" t="s">
        <v>13</v>
      </c>
      <c r="E748" s="14" t="s">
        <v>14</v>
      </c>
      <c r="F748" s="14" t="s">
        <v>48</v>
      </c>
      <c r="G748" s="14" t="s">
        <v>16</v>
      </c>
      <c r="H748" s="14">
        <v>42453</v>
      </c>
      <c r="I748" s="14">
        <v>154415</v>
      </c>
      <c r="J748" s="14" t="s">
        <v>549</v>
      </c>
      <c r="K748" s="14" t="str">
        <f>A748&amp;B748&amp;C748&amp;D748&amp;E748&amp;F748&amp;G748&amp;H748&amp;I748&amp;J748&amp;[1]Sheet1!$G$5</f>
        <v>E0747Rashed AlamFemaleSalesSales AssociateContractKhulna42453154415E0389Sylhet</v>
      </c>
      <c r="L748" s="14">
        <f t="shared" si="33"/>
        <v>133219.5</v>
      </c>
      <c r="M748" s="14">
        <f ca="1" t="shared" si="34"/>
        <v>9</v>
      </c>
      <c r="N748" s="15" t="str">
        <f ca="1" t="shared" si="35"/>
        <v>Experienced</v>
      </c>
    </row>
    <row r="749" spans="1:14">
      <c r="A749" s="16" t="s">
        <v>1360</v>
      </c>
      <c r="B749" s="17" t="s">
        <v>635</v>
      </c>
      <c r="C749" s="17" t="s">
        <v>12</v>
      </c>
      <c r="D749" s="17" t="s">
        <v>92</v>
      </c>
      <c r="E749" s="17" t="s">
        <v>391</v>
      </c>
      <c r="F749" s="17" t="s">
        <v>15</v>
      </c>
      <c r="G749" s="17" t="s">
        <v>62</v>
      </c>
      <c r="H749" s="17">
        <v>43969</v>
      </c>
      <c r="I749" s="17">
        <v>74270</v>
      </c>
      <c r="J749" s="17" t="s">
        <v>467</v>
      </c>
      <c r="K749" s="17" t="str">
        <f>A749&amp;B749&amp;C749&amp;D749&amp;E749&amp;F749&amp;G749&amp;H749&amp;I749&amp;J749&amp;[1]Sheet1!$G$5</f>
        <v>E0748Nadia BanuFemaleMarketingContent SpecialistFull-timeChattogram4396974270E0181Sylhet</v>
      </c>
      <c r="L749" s="17">
        <f t="shared" si="33"/>
        <v>132104</v>
      </c>
      <c r="M749" s="17">
        <f ca="1" t="shared" si="34"/>
        <v>5</v>
      </c>
      <c r="N749" s="18" t="str">
        <f ca="1" t="shared" si="35"/>
        <v>Mid level</v>
      </c>
    </row>
    <row r="750" spans="1:14">
      <c r="A750" s="13" t="s">
        <v>782</v>
      </c>
      <c r="B750" s="14" t="s">
        <v>313</v>
      </c>
      <c r="C750" s="14" t="s">
        <v>19</v>
      </c>
      <c r="D750" s="14" t="s">
        <v>20</v>
      </c>
      <c r="E750" s="14" t="s">
        <v>70</v>
      </c>
      <c r="F750" s="14" t="s">
        <v>15</v>
      </c>
      <c r="G750" s="14" t="s">
        <v>16</v>
      </c>
      <c r="H750" s="14">
        <v>44295</v>
      </c>
      <c r="I750" s="14">
        <v>64708</v>
      </c>
      <c r="J750" s="14" t="s">
        <v>372</v>
      </c>
      <c r="K750" s="14" t="str">
        <f>A750&amp;B750&amp;C750&amp;D750&amp;E750&amp;F750&amp;G750&amp;H750&amp;I750&amp;J750&amp;[1]Sheet1!$G$5</f>
        <v>E0749Arif MiahMaleCustomer SuccessCustomer Success ManagerFull-timeKhulna4429564708E0780Sylhet</v>
      </c>
      <c r="L750" s="14">
        <f t="shared" si="33"/>
        <v>133219.5</v>
      </c>
      <c r="M750" s="14">
        <f ca="1" t="shared" si="34"/>
        <v>4</v>
      </c>
      <c r="N750" s="15" t="str">
        <f ca="1" t="shared" si="35"/>
        <v>Mid level</v>
      </c>
    </row>
    <row r="751" spans="1:14">
      <c r="A751" s="16" t="s">
        <v>1361</v>
      </c>
      <c r="B751" s="17" t="s">
        <v>1362</v>
      </c>
      <c r="C751" s="17" t="s">
        <v>19</v>
      </c>
      <c r="D751" s="17" t="s">
        <v>32</v>
      </c>
      <c r="E751" s="17" t="s">
        <v>57</v>
      </c>
      <c r="F751" s="17" t="s">
        <v>15</v>
      </c>
      <c r="G751" s="17" t="s">
        <v>34</v>
      </c>
      <c r="H751" s="17">
        <v>42548</v>
      </c>
      <c r="I751" s="17">
        <v>50950</v>
      </c>
      <c r="J751" s="17" t="s">
        <v>581</v>
      </c>
      <c r="K751" s="17" t="str">
        <f>A751&amp;B751&amp;C751&amp;D751&amp;E751&amp;F751&amp;G751&amp;H751&amp;I751&amp;J751&amp;[1]Sheet1!$G$5</f>
        <v>E0750Sadia AnjumMaleHRHR AssociateFull-timeSylhet4254850950E0225Sylhet</v>
      </c>
      <c r="L751" s="17">
        <f t="shared" si="33"/>
        <v>134335</v>
      </c>
      <c r="M751" s="17">
        <f ca="1" t="shared" si="34"/>
        <v>9</v>
      </c>
      <c r="N751" s="18" t="str">
        <f ca="1" t="shared" si="35"/>
        <v>Experienced</v>
      </c>
    </row>
    <row r="752" spans="1:14">
      <c r="A752" s="13" t="s">
        <v>1363</v>
      </c>
      <c r="B752" s="14" t="s">
        <v>279</v>
      </c>
      <c r="C752" s="14" t="s">
        <v>19</v>
      </c>
      <c r="D752" s="14" t="s">
        <v>38</v>
      </c>
      <c r="E752" s="14" t="s">
        <v>140</v>
      </c>
      <c r="F752" s="14" t="s">
        <v>15</v>
      </c>
      <c r="G752" s="14" t="s">
        <v>16</v>
      </c>
      <c r="H752" s="14">
        <v>44973</v>
      </c>
      <c r="I752" s="14">
        <v>251186</v>
      </c>
      <c r="J752" s="14"/>
      <c r="K752" s="14" t="str">
        <f>A752&amp;B752&amp;C752&amp;D752&amp;E752&amp;F752&amp;G752&amp;H752&amp;I752&amp;J752&amp;[1]Sheet1!$G$5</f>
        <v>E0751Rahim IslamMaleEngineeringSenior Software EngineerFull-timeKhulna44973251186Sylhet</v>
      </c>
      <c r="L752" s="14">
        <f t="shared" si="33"/>
        <v>134588.5</v>
      </c>
      <c r="M752" s="14">
        <f ca="1" t="shared" si="34"/>
        <v>3</v>
      </c>
      <c r="N752" s="15" t="str">
        <f ca="1" t="shared" si="35"/>
        <v>Mid level</v>
      </c>
    </row>
    <row r="753" spans="1:14">
      <c r="A753" s="16" t="s">
        <v>1364</v>
      </c>
      <c r="B753" s="17" t="s">
        <v>313</v>
      </c>
      <c r="C753" s="17" t="s">
        <v>146</v>
      </c>
      <c r="D753" s="17" t="s">
        <v>20</v>
      </c>
      <c r="E753" s="17" t="s">
        <v>147</v>
      </c>
      <c r="F753" s="17" t="s">
        <v>15</v>
      </c>
      <c r="G753" s="17" t="s">
        <v>40</v>
      </c>
      <c r="H753" s="17">
        <v>43954</v>
      </c>
      <c r="I753" s="17">
        <v>50074</v>
      </c>
      <c r="J753" s="17" t="s">
        <v>58</v>
      </c>
      <c r="K753" s="17" t="str">
        <f>A753&amp;B753&amp;C753&amp;D753&amp;E753&amp;F753&amp;G753&amp;H753&amp;I753&amp;J753&amp;[1]Sheet1!$G$5</f>
        <v>E0752Arif MiahNon-binaryCustomer SuccessSupport AssociateFull-timeDhaka4395450074E0314Sylhet</v>
      </c>
      <c r="L753" s="17">
        <f t="shared" si="33"/>
        <v>134335</v>
      </c>
      <c r="M753" s="17">
        <f ca="1" t="shared" si="34"/>
        <v>5</v>
      </c>
      <c r="N753" s="18" t="str">
        <f ca="1" t="shared" si="35"/>
        <v>Mid level</v>
      </c>
    </row>
    <row r="754" spans="1:14">
      <c r="A754" s="13" t="s">
        <v>1365</v>
      </c>
      <c r="B754" s="14" t="s">
        <v>446</v>
      </c>
      <c r="C754" s="14" t="s">
        <v>19</v>
      </c>
      <c r="D754" s="14" t="s">
        <v>32</v>
      </c>
      <c r="E754" s="14" t="s">
        <v>57</v>
      </c>
      <c r="F754" s="14" t="s">
        <v>15</v>
      </c>
      <c r="G754" s="14" t="s">
        <v>94</v>
      </c>
      <c r="H754" s="14">
        <v>43899</v>
      </c>
      <c r="I754" s="14">
        <v>98914</v>
      </c>
      <c r="J754" s="14" t="s">
        <v>727</v>
      </c>
      <c r="K754" s="14" t="str">
        <f>A754&amp;B754&amp;C754&amp;D754&amp;E754&amp;F754&amp;G754&amp;H754&amp;I754&amp;J754&amp;[1]Sheet1!$G$5</f>
        <v>E0753Rafi ChowdhuryMaleHRHR AssociateFull-timeRajshahi4389998914E0618Sylhet</v>
      </c>
      <c r="L754" s="14">
        <f t="shared" si="33"/>
        <v>134588.5</v>
      </c>
      <c r="M754" s="14">
        <f ca="1" t="shared" si="34"/>
        <v>6</v>
      </c>
      <c r="N754" s="15" t="str">
        <f ca="1" t="shared" si="35"/>
        <v>Experienced</v>
      </c>
    </row>
    <row r="755" spans="1:14">
      <c r="A755" s="16" t="s">
        <v>1366</v>
      </c>
      <c r="B755" s="17" t="s">
        <v>724</v>
      </c>
      <c r="C755" s="17" t="s">
        <v>19</v>
      </c>
      <c r="D755" s="17" t="s">
        <v>13</v>
      </c>
      <c r="E755" s="17" t="s">
        <v>14</v>
      </c>
      <c r="F755" s="17" t="s">
        <v>15</v>
      </c>
      <c r="G755" s="17" t="s">
        <v>94</v>
      </c>
      <c r="H755" s="17">
        <v>43408</v>
      </c>
      <c r="I755" s="17">
        <v>151850</v>
      </c>
      <c r="J755" s="17"/>
      <c r="K755" s="17" t="str">
        <f>A755&amp;B755&amp;C755&amp;D755&amp;E755&amp;F755&amp;G755&amp;H755&amp;I755&amp;J755&amp;[1]Sheet1!$G$5</f>
        <v>E0754Priya ShahMaleSalesSales AssociateFull-timeRajshahi43408151850Sylhet</v>
      </c>
      <c r="L755" s="17">
        <f t="shared" si="33"/>
        <v>134842</v>
      </c>
      <c r="M755" s="17">
        <f ca="1" t="shared" si="34"/>
        <v>7</v>
      </c>
      <c r="N755" s="18" t="str">
        <f ca="1" t="shared" si="35"/>
        <v>Experienced</v>
      </c>
    </row>
    <row r="756" spans="1:14">
      <c r="A756" s="13" t="s">
        <v>127</v>
      </c>
      <c r="B756" s="14" t="s">
        <v>362</v>
      </c>
      <c r="C756" s="14" t="s">
        <v>146</v>
      </c>
      <c r="D756" s="14" t="s">
        <v>38</v>
      </c>
      <c r="E756" s="14" t="s">
        <v>84</v>
      </c>
      <c r="F756" s="14" t="s">
        <v>15</v>
      </c>
      <c r="G756" s="14" t="s">
        <v>34</v>
      </c>
      <c r="H756" s="14">
        <v>45431</v>
      </c>
      <c r="I756" s="14">
        <v>150316</v>
      </c>
      <c r="J756" s="14" t="s">
        <v>931</v>
      </c>
      <c r="K756" s="14" t="str">
        <f>A756&amp;B756&amp;C756&amp;D756&amp;E756&amp;F756&amp;G756&amp;H756&amp;I756&amp;J756&amp;[1]Sheet1!$G$5</f>
        <v>E0755Sumaiya SharminNon-binaryEngineeringEngineering ManagerFull-timeSylhet45431150316E0426Sylhet</v>
      </c>
      <c r="L756" s="14">
        <f t="shared" si="33"/>
        <v>134588.5</v>
      </c>
      <c r="M756" s="14">
        <f ca="1" t="shared" si="34"/>
        <v>1</v>
      </c>
      <c r="N756" s="15" t="str">
        <f ca="1" t="shared" si="35"/>
        <v>New</v>
      </c>
    </row>
    <row r="757" spans="1:14">
      <c r="A757" s="16" t="s">
        <v>117</v>
      </c>
      <c r="B757" s="17" t="s">
        <v>484</v>
      </c>
      <c r="C757" s="17" t="s">
        <v>12</v>
      </c>
      <c r="D757" s="17" t="s">
        <v>52</v>
      </c>
      <c r="E757" s="17" t="s">
        <v>53</v>
      </c>
      <c r="F757" s="17" t="s">
        <v>22</v>
      </c>
      <c r="G757" s="17" t="s">
        <v>28</v>
      </c>
      <c r="H757" s="17">
        <v>42436</v>
      </c>
      <c r="I757" s="17">
        <v>117567</v>
      </c>
      <c r="J757" s="17" t="s">
        <v>288</v>
      </c>
      <c r="K757" s="17" t="str">
        <f>A757&amp;B757&amp;C757&amp;D757&amp;E757&amp;F757&amp;G757&amp;H757&amp;I757&amp;J757&amp;[1]Sheet1!$G$5</f>
        <v>E0756Lamia MiahFemaleOperationsOperations ManagerInternRemote42436117567E0172Sylhet</v>
      </c>
      <c r="L757" s="17">
        <f t="shared" si="33"/>
        <v>134335</v>
      </c>
      <c r="M757" s="17">
        <f ca="1" t="shared" si="34"/>
        <v>10</v>
      </c>
      <c r="N757" s="18" t="str">
        <f ca="1" t="shared" si="35"/>
        <v>Experienced</v>
      </c>
    </row>
    <row r="758" spans="1:14">
      <c r="A758" s="13" t="s">
        <v>1367</v>
      </c>
      <c r="B758" s="14" t="s">
        <v>1131</v>
      </c>
      <c r="C758" s="14" t="s">
        <v>19</v>
      </c>
      <c r="D758" s="14" t="s">
        <v>32</v>
      </c>
      <c r="E758" s="14" t="s">
        <v>208</v>
      </c>
      <c r="F758" s="14" t="s">
        <v>15</v>
      </c>
      <c r="G758" s="14" t="s">
        <v>34</v>
      </c>
      <c r="H758" s="14">
        <v>43832</v>
      </c>
      <c r="I758" s="14">
        <v>101630</v>
      </c>
      <c r="J758" s="14" t="s">
        <v>1077</v>
      </c>
      <c r="K758" s="14" t="str">
        <f>A758&amp;B758&amp;C758&amp;D758&amp;E758&amp;F758&amp;G758&amp;H758&amp;I758&amp;J758&amp;[1]Sheet1!$G$5</f>
        <v>E0757Sumaiya ChowdhuryMaleHRHR ManagerFull-timeSylhet43832101630E0640Sylhet</v>
      </c>
      <c r="L758" s="14">
        <f t="shared" si="33"/>
        <v>134588.5</v>
      </c>
      <c r="M758" s="14">
        <f ca="1" t="shared" si="34"/>
        <v>6</v>
      </c>
      <c r="N758" s="15" t="str">
        <f ca="1" t="shared" si="35"/>
        <v>Experienced</v>
      </c>
    </row>
    <row r="759" spans="1:14">
      <c r="A759" s="16" t="s">
        <v>1368</v>
      </c>
      <c r="B759" s="17" t="s">
        <v>417</v>
      </c>
      <c r="C759" s="17" t="s">
        <v>19</v>
      </c>
      <c r="D759" s="17" t="s">
        <v>92</v>
      </c>
      <c r="E759" s="17" t="s">
        <v>391</v>
      </c>
      <c r="F759" s="17" t="s">
        <v>15</v>
      </c>
      <c r="G759" s="17" t="s">
        <v>40</v>
      </c>
      <c r="H759" s="17">
        <v>45599</v>
      </c>
      <c r="I759" s="17">
        <v>124782</v>
      </c>
      <c r="J759" s="17" t="s">
        <v>341</v>
      </c>
      <c r="K759" s="17" t="str">
        <f>A759&amp;B759&amp;C759&amp;D759&amp;E759&amp;F759&amp;G759&amp;H759&amp;I759&amp;J759&amp;[1]Sheet1!$G$5</f>
        <v>E0758Esha SharminMaleMarketingContent SpecialistFull-timeDhaka45599124782E0828Sylhet</v>
      </c>
      <c r="L759" s="17">
        <f t="shared" si="33"/>
        <v>134842</v>
      </c>
      <c r="M759" s="17">
        <f ca="1" t="shared" si="34"/>
        <v>1</v>
      </c>
      <c r="N759" s="18" t="str">
        <f ca="1" t="shared" si="35"/>
        <v>New</v>
      </c>
    </row>
    <row r="760" spans="1:14">
      <c r="A760" s="13" t="s">
        <v>1369</v>
      </c>
      <c r="B760" s="14" t="s">
        <v>1370</v>
      </c>
      <c r="C760" s="14" t="s">
        <v>19</v>
      </c>
      <c r="D760" s="14" t="s">
        <v>52</v>
      </c>
      <c r="E760" s="14" t="s">
        <v>246</v>
      </c>
      <c r="F760" s="14" t="s">
        <v>15</v>
      </c>
      <c r="G760" s="14" t="s">
        <v>62</v>
      </c>
      <c r="H760" s="14">
        <v>42646</v>
      </c>
      <c r="I760" s="14">
        <v>62160</v>
      </c>
      <c r="J760" s="14" t="s">
        <v>806</v>
      </c>
      <c r="K760" s="14" t="str">
        <f>A760&amp;B760&amp;C760&amp;D760&amp;E760&amp;F760&amp;G760&amp;H760&amp;I760&amp;J760&amp;[1]Sheet1!$G$5</f>
        <v>E0759Nabila MorshedMaleOperationsOperations AssociateFull-timeChattogram4264662160E0351Sylhet</v>
      </c>
      <c r="L760" s="14">
        <f t="shared" si="33"/>
        <v>135273.5</v>
      </c>
      <c r="M760" s="14">
        <f ca="1" t="shared" si="34"/>
        <v>9</v>
      </c>
      <c r="N760" s="15" t="str">
        <f ca="1" t="shared" si="35"/>
        <v>Experienced</v>
      </c>
    </row>
    <row r="761" spans="1:14">
      <c r="A761" s="16" t="s">
        <v>1371</v>
      </c>
      <c r="B761" s="17" t="s">
        <v>1372</v>
      </c>
      <c r="C761" s="17" t="s">
        <v>19</v>
      </c>
      <c r="D761" s="17" t="s">
        <v>52</v>
      </c>
      <c r="E761" s="17" t="s">
        <v>120</v>
      </c>
      <c r="F761" s="17" t="s">
        <v>22</v>
      </c>
      <c r="G761" s="17" t="s">
        <v>34</v>
      </c>
      <c r="H761" s="17">
        <v>43782</v>
      </c>
      <c r="I761" s="17">
        <v>128604</v>
      </c>
      <c r="J761" s="17" t="s">
        <v>344</v>
      </c>
      <c r="K761" s="17" t="str">
        <f>A761&amp;B761&amp;C761&amp;D761&amp;E761&amp;F761&amp;G761&amp;H761&amp;I761&amp;J761&amp;[1]Sheet1!$G$5</f>
        <v>E0760Ovi RanaMaleOperationsSupply Chain AnalystInternSylhet43782128604E0861Sylhet</v>
      </c>
      <c r="L761" s="17">
        <f t="shared" si="33"/>
        <v>135705</v>
      </c>
      <c r="M761" s="17">
        <f ca="1" t="shared" si="34"/>
        <v>6</v>
      </c>
      <c r="N761" s="18" t="str">
        <f ca="1" t="shared" si="35"/>
        <v>Experienced</v>
      </c>
    </row>
    <row r="762" spans="1:14">
      <c r="A762" s="13" t="s">
        <v>1373</v>
      </c>
      <c r="B762" s="14" t="s">
        <v>1374</v>
      </c>
      <c r="C762" s="14" t="s">
        <v>12</v>
      </c>
      <c r="D762" s="14" t="s">
        <v>38</v>
      </c>
      <c r="E762" s="14" t="s">
        <v>140</v>
      </c>
      <c r="F762" s="14" t="s">
        <v>15</v>
      </c>
      <c r="G762" s="14" t="s">
        <v>40</v>
      </c>
      <c r="H762" s="14">
        <v>43357</v>
      </c>
      <c r="I762" s="14">
        <v>138156</v>
      </c>
      <c r="J762" s="14" t="s">
        <v>172</v>
      </c>
      <c r="K762" s="14" t="str">
        <f>A762&amp;B762&amp;C762&amp;D762&amp;E762&amp;F762&amp;G762&amp;H762&amp;I762&amp;J762&amp;[1]Sheet1!$G$5</f>
        <v>E0761Shafiq ChowdhuryFemaleEngineeringSenior Software EngineerFull-timeDhaka43357138156E0141Sylhet</v>
      </c>
      <c r="L762" s="14">
        <f t="shared" si="33"/>
        <v>136076.5</v>
      </c>
      <c r="M762" s="14">
        <f ca="1" t="shared" si="34"/>
        <v>7</v>
      </c>
      <c r="N762" s="15" t="str">
        <f ca="1" t="shared" si="35"/>
        <v>Experienced</v>
      </c>
    </row>
    <row r="763" spans="1:14">
      <c r="A763" s="16" t="s">
        <v>640</v>
      </c>
      <c r="B763" s="17" t="s">
        <v>1375</v>
      </c>
      <c r="C763" s="17" t="s">
        <v>12</v>
      </c>
      <c r="D763" s="17" t="s">
        <v>87</v>
      </c>
      <c r="E763" s="17" t="s">
        <v>111</v>
      </c>
      <c r="F763" s="17" t="s">
        <v>15</v>
      </c>
      <c r="G763" s="17" t="s">
        <v>62</v>
      </c>
      <c r="H763" s="17">
        <v>45372</v>
      </c>
      <c r="I763" s="17">
        <v>131666</v>
      </c>
      <c r="J763" s="17" t="s">
        <v>29</v>
      </c>
      <c r="K763" s="17" t="str">
        <f>A763&amp;B763&amp;C763&amp;D763&amp;E763&amp;F763&amp;G763&amp;H763&amp;I763&amp;J763&amp;[1]Sheet1!$G$5</f>
        <v>E0762Nadia KhanFemaleProductSenior Product ManagerFull-timeChattogram45372131666E0990Sylhet</v>
      </c>
      <c r="L763" s="17">
        <f t="shared" si="33"/>
        <v>135705</v>
      </c>
      <c r="M763" s="17">
        <f ca="1" t="shared" si="34"/>
        <v>1</v>
      </c>
      <c r="N763" s="18" t="str">
        <f ca="1" t="shared" si="35"/>
        <v>New</v>
      </c>
    </row>
    <row r="764" spans="1:14">
      <c r="A764" s="13" t="s">
        <v>1376</v>
      </c>
      <c r="B764" s="14" t="s">
        <v>720</v>
      </c>
      <c r="C764" s="14" t="s">
        <v>12</v>
      </c>
      <c r="D764" s="14" t="s">
        <v>87</v>
      </c>
      <c r="E764" s="14" t="s">
        <v>88</v>
      </c>
      <c r="F764" s="14" t="s">
        <v>15</v>
      </c>
      <c r="G764" s="14" t="s">
        <v>16</v>
      </c>
      <c r="H764" s="14">
        <v>45061</v>
      </c>
      <c r="I764" s="14">
        <v>181764</v>
      </c>
      <c r="J764" s="14" t="s">
        <v>220</v>
      </c>
      <c r="K764" s="14" t="str">
        <f>A764&amp;B764&amp;C764&amp;D764&amp;E764&amp;F764&amp;G764&amp;H764&amp;I764&amp;J764&amp;[1]Sheet1!$G$5</f>
        <v>E0763Rahim BiswasFemaleProductProduct AnalystFull-timeKhulna45061181764E0184Sylhet</v>
      </c>
      <c r="L764" s="14">
        <f t="shared" si="33"/>
        <v>136076.5</v>
      </c>
      <c r="M764" s="14">
        <f ca="1" t="shared" si="34"/>
        <v>2</v>
      </c>
      <c r="N764" s="15" t="str">
        <f ca="1" t="shared" si="35"/>
        <v>New</v>
      </c>
    </row>
    <row r="765" spans="1:14">
      <c r="A765" s="16" t="s">
        <v>1377</v>
      </c>
      <c r="B765" s="17" t="s">
        <v>384</v>
      </c>
      <c r="C765" s="17" t="s">
        <v>19</v>
      </c>
      <c r="D765" s="17" t="s">
        <v>26</v>
      </c>
      <c r="E765" s="17" t="s">
        <v>61</v>
      </c>
      <c r="F765" s="17" t="s">
        <v>15</v>
      </c>
      <c r="G765" s="17" t="s">
        <v>62</v>
      </c>
      <c r="H765" s="17">
        <v>44943</v>
      </c>
      <c r="I765" s="17">
        <v>156370</v>
      </c>
      <c r="J765" s="17" t="s">
        <v>419</v>
      </c>
      <c r="K765" s="17" t="str">
        <f>A765&amp;B765&amp;C765&amp;D765&amp;E765&amp;F765&amp;G765&amp;H765&amp;I765&amp;J765&amp;[1]Sheet1!$G$5</f>
        <v>E0764Sajid IslamMaleFinanceFinancial AnalystFull-timeChattogram44943156370E0144Sylhet</v>
      </c>
      <c r="L765" s="17">
        <f t="shared" si="33"/>
        <v>135705</v>
      </c>
      <c r="M765" s="17">
        <f ca="1" t="shared" si="34"/>
        <v>3</v>
      </c>
      <c r="N765" s="18" t="str">
        <f ca="1" t="shared" si="35"/>
        <v>Mid level</v>
      </c>
    </row>
    <row r="766" spans="1:14">
      <c r="A766" s="13" t="s">
        <v>1378</v>
      </c>
      <c r="B766" s="14" t="s">
        <v>1379</v>
      </c>
      <c r="C766" s="14" t="s">
        <v>19</v>
      </c>
      <c r="D766" s="14" t="s">
        <v>38</v>
      </c>
      <c r="E766" s="14" t="s">
        <v>77</v>
      </c>
      <c r="F766" s="14" t="s">
        <v>15</v>
      </c>
      <c r="G766" s="14" t="s">
        <v>16</v>
      </c>
      <c r="H766" s="14">
        <v>42794</v>
      </c>
      <c r="I766" s="14">
        <v>154905</v>
      </c>
      <c r="J766" s="14" t="s">
        <v>471</v>
      </c>
      <c r="K766" s="14" t="str">
        <f>A766&amp;B766&amp;C766&amp;D766&amp;E766&amp;F766&amp;G766&amp;H766&amp;I766&amp;J766&amp;[1]Sheet1!$G$5</f>
        <v>E0765Rafi AlamMaleEngineeringJunior Software EngineerFull-timeKhulna42794154905E0909Sylhet</v>
      </c>
      <c r="L766" s="14">
        <f t="shared" si="33"/>
        <v>135273.5</v>
      </c>
      <c r="M766" s="14">
        <f ca="1" t="shared" si="34"/>
        <v>9</v>
      </c>
      <c r="N766" s="15" t="str">
        <f ca="1" t="shared" si="35"/>
        <v>Experienced</v>
      </c>
    </row>
    <row r="767" spans="1:14">
      <c r="A767" s="16" t="s">
        <v>1380</v>
      </c>
      <c r="B767" s="17" t="s">
        <v>1381</v>
      </c>
      <c r="C767" s="17" t="s">
        <v>12</v>
      </c>
      <c r="D767" s="17" t="s">
        <v>92</v>
      </c>
      <c r="E767" s="17" t="s">
        <v>391</v>
      </c>
      <c r="F767" s="17" t="s">
        <v>15</v>
      </c>
      <c r="G767" s="17" t="s">
        <v>94</v>
      </c>
      <c r="H767" s="17">
        <v>45530</v>
      </c>
      <c r="I767" s="17">
        <v>64730</v>
      </c>
      <c r="J767" s="17"/>
      <c r="K767" s="17" t="str">
        <f>A767&amp;B767&amp;C767&amp;D767&amp;E767&amp;F767&amp;G767&amp;H767&amp;I767&amp;J767&amp;[1]Sheet1!$G$5</f>
        <v>E0766Arif ChowdhuryFemaleMarketingContent SpecialistFull-timeRajshahi4553064730Sylhet</v>
      </c>
      <c r="L767" s="17">
        <f t="shared" si="33"/>
        <v>134842</v>
      </c>
      <c r="M767" s="17">
        <f ca="1" t="shared" si="34"/>
        <v>1</v>
      </c>
      <c r="N767" s="18" t="str">
        <f ca="1" t="shared" si="35"/>
        <v>New</v>
      </c>
    </row>
    <row r="768" spans="1:14">
      <c r="A768" s="13" t="s">
        <v>1382</v>
      </c>
      <c r="B768" s="14" t="s">
        <v>255</v>
      </c>
      <c r="C768" s="14" t="s">
        <v>19</v>
      </c>
      <c r="D768" s="14" t="s">
        <v>26</v>
      </c>
      <c r="E768" s="14" t="s">
        <v>294</v>
      </c>
      <c r="F768" s="14" t="s">
        <v>15</v>
      </c>
      <c r="G768" s="14" t="s">
        <v>62</v>
      </c>
      <c r="H768" s="14">
        <v>44753</v>
      </c>
      <c r="I768" s="14">
        <v>198501</v>
      </c>
      <c r="J768" s="14" t="s">
        <v>581</v>
      </c>
      <c r="K768" s="14" t="str">
        <f>A768&amp;B768&amp;C768&amp;D768&amp;E768&amp;F768&amp;G768&amp;H768&amp;I768&amp;J768&amp;[1]Sheet1!$G$5</f>
        <v>E0767Fahim TalukderMaleFinanceSenior Financial AnalystFull-timeChattogram44753198501E0225Sylhet</v>
      </c>
      <c r="L768" s="14">
        <f t="shared" si="33"/>
        <v>135273.5</v>
      </c>
      <c r="M768" s="14">
        <f ca="1" t="shared" si="34"/>
        <v>3</v>
      </c>
      <c r="N768" s="15" t="str">
        <f ca="1" t="shared" si="35"/>
        <v>Mid level</v>
      </c>
    </row>
    <row r="769" spans="1:14">
      <c r="A769" s="16" t="s">
        <v>1383</v>
      </c>
      <c r="B769" s="17" t="s">
        <v>97</v>
      </c>
      <c r="C769" s="17" t="s">
        <v>12</v>
      </c>
      <c r="D769" s="17" t="s">
        <v>52</v>
      </c>
      <c r="E769" s="17" t="s">
        <v>120</v>
      </c>
      <c r="F769" s="17" t="s">
        <v>15</v>
      </c>
      <c r="G769" s="17" t="s">
        <v>16</v>
      </c>
      <c r="H769" s="17">
        <v>45381</v>
      </c>
      <c r="I769" s="17">
        <v>82662</v>
      </c>
      <c r="J769" s="17" t="s">
        <v>29</v>
      </c>
      <c r="K769" s="17" t="str">
        <f>A769&amp;B769&amp;C769&amp;D769&amp;E769&amp;F769&amp;G769&amp;H769&amp;I769&amp;J769&amp;[1]Sheet1!$G$5</f>
        <v>E0768Nabila RahmanFemaleOperationsSupply Chain AnalystFull-timeKhulna4538182662E0990Sylhet</v>
      </c>
      <c r="L769" s="17">
        <f t="shared" si="33"/>
        <v>134842</v>
      </c>
      <c r="M769" s="17">
        <f ca="1" t="shared" si="34"/>
        <v>1</v>
      </c>
      <c r="N769" s="18" t="str">
        <f ca="1" t="shared" si="35"/>
        <v>New</v>
      </c>
    </row>
    <row r="770" spans="1:14">
      <c r="A770" s="13" t="s">
        <v>1384</v>
      </c>
      <c r="B770" s="14" t="s">
        <v>1385</v>
      </c>
      <c r="C770" s="14" t="s">
        <v>19</v>
      </c>
      <c r="D770" s="14" t="s">
        <v>13</v>
      </c>
      <c r="E770" s="14" t="s">
        <v>165</v>
      </c>
      <c r="F770" s="14" t="s">
        <v>15</v>
      </c>
      <c r="G770" s="14" t="s">
        <v>34</v>
      </c>
      <c r="H770" s="14">
        <v>45469</v>
      </c>
      <c r="I770" s="14">
        <v>148154</v>
      </c>
      <c r="J770" s="14" t="s">
        <v>613</v>
      </c>
      <c r="K770" s="14" t="str">
        <f>A770&amp;B770&amp;C770&amp;D770&amp;E770&amp;F770&amp;G770&amp;H770&amp;I770&amp;J770&amp;[1]Sheet1!$G$5</f>
        <v>E0769Ovi BiswasMaleSalesAccount ExecutiveFull-timeSylhet45469148154E0882Sylhet</v>
      </c>
      <c r="L770" s="14">
        <f t="shared" si="33"/>
        <v>135273.5</v>
      </c>
      <c r="M770" s="14">
        <f ca="1" t="shared" si="34"/>
        <v>1</v>
      </c>
      <c r="N770" s="15" t="str">
        <f ca="1" t="shared" si="35"/>
        <v>New</v>
      </c>
    </row>
    <row r="771" spans="1:14">
      <c r="A771" s="16" t="s">
        <v>1386</v>
      </c>
      <c r="B771" s="17" t="s">
        <v>1387</v>
      </c>
      <c r="C771" s="17" t="s">
        <v>146</v>
      </c>
      <c r="D771" s="17" t="s">
        <v>52</v>
      </c>
      <c r="E771" s="17" t="s">
        <v>120</v>
      </c>
      <c r="F771" s="17" t="s">
        <v>15</v>
      </c>
      <c r="G771" s="17" t="s">
        <v>40</v>
      </c>
      <c r="H771" s="17">
        <v>43731</v>
      </c>
      <c r="I771" s="17">
        <v>139764</v>
      </c>
      <c r="J771" s="17" t="s">
        <v>72</v>
      </c>
      <c r="K771" s="17" t="str">
        <f>A771&amp;B771&amp;C771&amp;D771&amp;E771&amp;F771&amp;G771&amp;H771&amp;I771&amp;J771&amp;[1]Sheet1!$G$5</f>
        <v>E0770Arif IslamNon-binaryOperationsSupply Chain AnalystFull-timeDhaka43731139764E0013Sylhet</v>
      </c>
      <c r="L771" s="17">
        <f t="shared" ref="L771:L834" si="36">MEDIAN(I771:I1770)</f>
        <v>134842</v>
      </c>
      <c r="M771" s="17">
        <f ca="1" t="shared" ref="M771:M834" si="37">DATEDIF(H771,TODAY(),"Y")</f>
        <v>6</v>
      </c>
      <c r="N771" s="18" t="str">
        <f ca="1" t="shared" ref="N771:N834" si="38">IF(M771&lt;=2,"New",IF(M771&lt;=5,"Mid level",IF(M771&lt;=10,"Experienced","Long term")))</f>
        <v>Experienced</v>
      </c>
    </row>
    <row r="772" spans="1:14">
      <c r="A772" s="13" t="s">
        <v>1388</v>
      </c>
      <c r="B772" s="14" t="s">
        <v>110</v>
      </c>
      <c r="C772" s="14" t="s">
        <v>12</v>
      </c>
      <c r="D772" s="14" t="s">
        <v>38</v>
      </c>
      <c r="E772" s="14" t="s">
        <v>140</v>
      </c>
      <c r="F772" s="14" t="s">
        <v>15</v>
      </c>
      <c r="G772" s="14" t="s">
        <v>34</v>
      </c>
      <c r="H772" s="14">
        <v>42916</v>
      </c>
      <c r="I772" s="14">
        <v>280370</v>
      </c>
      <c r="J772" s="14" t="s">
        <v>344</v>
      </c>
      <c r="K772" s="14" t="str">
        <f>A772&amp;B772&amp;C772&amp;D772&amp;E772&amp;F772&amp;G772&amp;H772&amp;I772&amp;J772&amp;[1]Sheet1!$G$5</f>
        <v>E0771Arif AkterFemaleEngineeringSenior Software EngineerFull-timeSylhet42916280370E0861Sylhet</v>
      </c>
      <c r="L772" s="14">
        <f t="shared" si="36"/>
        <v>134588.5</v>
      </c>
      <c r="M772" s="14">
        <f ca="1" t="shared" si="37"/>
        <v>8</v>
      </c>
      <c r="N772" s="15" t="str">
        <f ca="1" t="shared" si="38"/>
        <v>Experienced</v>
      </c>
    </row>
    <row r="773" spans="1:14">
      <c r="A773" s="16" t="s">
        <v>799</v>
      </c>
      <c r="B773" s="17" t="s">
        <v>1067</v>
      </c>
      <c r="C773" s="17" t="s">
        <v>19</v>
      </c>
      <c r="D773" s="17" t="s">
        <v>52</v>
      </c>
      <c r="E773" s="17" t="s">
        <v>53</v>
      </c>
      <c r="F773" s="17" t="s">
        <v>15</v>
      </c>
      <c r="G773" s="17" t="s">
        <v>94</v>
      </c>
      <c r="H773" s="17">
        <v>42551</v>
      </c>
      <c r="I773" s="17">
        <v>85715</v>
      </c>
      <c r="J773" s="17" t="s">
        <v>183</v>
      </c>
      <c r="K773" s="17" t="str">
        <f>A773&amp;B773&amp;C773&amp;D773&amp;E773&amp;F773&amp;G773&amp;H773&amp;I773&amp;J773&amp;[1]Sheet1!$G$5</f>
        <v>E0772Lamia ChowdhuryMaleOperationsOperations ManagerFull-timeRajshahi4255185715E0456Sylhet</v>
      </c>
      <c r="L773" s="17">
        <f t="shared" si="36"/>
        <v>134335</v>
      </c>
      <c r="M773" s="17">
        <f ca="1" t="shared" si="37"/>
        <v>9</v>
      </c>
      <c r="N773" s="18" t="str">
        <f ca="1" t="shared" si="38"/>
        <v>Experienced</v>
      </c>
    </row>
    <row r="774" spans="1:14">
      <c r="A774" s="13" t="s">
        <v>1389</v>
      </c>
      <c r="B774" s="14" t="s">
        <v>484</v>
      </c>
      <c r="C774" s="14" t="s">
        <v>19</v>
      </c>
      <c r="D774" s="14" t="s">
        <v>38</v>
      </c>
      <c r="E774" s="14" t="s">
        <v>39</v>
      </c>
      <c r="F774" s="14" t="s">
        <v>15</v>
      </c>
      <c r="G774" s="14" t="s">
        <v>62</v>
      </c>
      <c r="H774" s="14">
        <v>43813</v>
      </c>
      <c r="I774" s="14">
        <v>149792</v>
      </c>
      <c r="J774" s="14" t="s">
        <v>761</v>
      </c>
      <c r="K774" s="14" t="str">
        <f>A774&amp;B774&amp;C774&amp;D774&amp;E774&amp;F774&amp;G774&amp;H774&amp;I774&amp;J774&amp;[1]Sheet1!$G$5</f>
        <v>E0773Lamia MiahMaleEngineeringDevOps EngineerFull-timeChattogram43813149792E0325Sylhet</v>
      </c>
      <c r="L774" s="14">
        <f t="shared" si="36"/>
        <v>134588.5</v>
      </c>
      <c r="M774" s="14">
        <f ca="1" t="shared" si="37"/>
        <v>6</v>
      </c>
      <c r="N774" s="15" t="str">
        <f ca="1" t="shared" si="38"/>
        <v>Experienced</v>
      </c>
    </row>
    <row r="775" spans="1:14">
      <c r="A775" s="16" t="s">
        <v>336</v>
      </c>
      <c r="B775" s="17" t="s">
        <v>775</v>
      </c>
      <c r="C775" s="17" t="s">
        <v>12</v>
      </c>
      <c r="D775" s="17" t="s">
        <v>13</v>
      </c>
      <c r="E775" s="17" t="s">
        <v>98</v>
      </c>
      <c r="F775" s="17" t="s">
        <v>15</v>
      </c>
      <c r="G775" s="17" t="s">
        <v>16</v>
      </c>
      <c r="H775" s="17">
        <v>44606</v>
      </c>
      <c r="I775" s="17">
        <v>90066</v>
      </c>
      <c r="J775" s="17" t="s">
        <v>1083</v>
      </c>
      <c r="K775" s="17" t="str">
        <f>A775&amp;B775&amp;C775&amp;D775&amp;E775&amp;F775&amp;G775&amp;H775&amp;I775&amp;J775&amp;[1]Sheet1!$G$5</f>
        <v>E0774Tania ShahFemaleSalesSales ManagerFull-timeKhulna4460690066E0559Sylhet</v>
      </c>
      <c r="L775" s="17">
        <f t="shared" si="36"/>
        <v>134335</v>
      </c>
      <c r="M775" s="17">
        <f ca="1" t="shared" si="37"/>
        <v>4</v>
      </c>
      <c r="N775" s="18" t="str">
        <f ca="1" t="shared" si="38"/>
        <v>Mid level</v>
      </c>
    </row>
    <row r="776" spans="1:14">
      <c r="A776" s="13" t="s">
        <v>45</v>
      </c>
      <c r="B776" s="14" t="s">
        <v>932</v>
      </c>
      <c r="C776" s="14" t="s">
        <v>12</v>
      </c>
      <c r="D776" s="14" t="s">
        <v>52</v>
      </c>
      <c r="E776" s="14" t="s">
        <v>53</v>
      </c>
      <c r="F776" s="14" t="s">
        <v>15</v>
      </c>
      <c r="G776" s="14" t="s">
        <v>62</v>
      </c>
      <c r="H776" s="14">
        <v>43756</v>
      </c>
      <c r="I776" s="14">
        <v>209353</v>
      </c>
      <c r="J776" s="14" t="s">
        <v>543</v>
      </c>
      <c r="K776" s="14" t="str">
        <f>A776&amp;B776&amp;C776&amp;D776&amp;E776&amp;F776&amp;G776&amp;H776&amp;I776&amp;J776&amp;[1]Sheet1!$G$5</f>
        <v>E0775Ayesha MahmudFemaleOperationsOperations ManagerFull-timeChattogram43756209353E0565Sylhet</v>
      </c>
      <c r="L776" s="14">
        <f t="shared" si="36"/>
        <v>134588.5</v>
      </c>
      <c r="M776" s="14">
        <f ca="1" t="shared" si="37"/>
        <v>6</v>
      </c>
      <c r="N776" s="15" t="str">
        <f ca="1" t="shared" si="38"/>
        <v>Experienced</v>
      </c>
    </row>
    <row r="777" spans="1:14">
      <c r="A777" s="16" t="s">
        <v>1390</v>
      </c>
      <c r="B777" s="17" t="s">
        <v>153</v>
      </c>
      <c r="C777" s="17" t="s">
        <v>19</v>
      </c>
      <c r="D777" s="17" t="s">
        <v>38</v>
      </c>
      <c r="E777" s="17" t="s">
        <v>66</v>
      </c>
      <c r="F777" s="17" t="s">
        <v>15</v>
      </c>
      <c r="G777" s="17" t="s">
        <v>62</v>
      </c>
      <c r="H777" s="17">
        <v>45702</v>
      </c>
      <c r="I777" s="17">
        <v>93583</v>
      </c>
      <c r="J777" s="17" t="s">
        <v>607</v>
      </c>
      <c r="K777" s="17" t="str">
        <f>A777&amp;B777&amp;C777&amp;D777&amp;E777&amp;F777&amp;G777&amp;H777&amp;I777&amp;J777&amp;[1]Sheet1!$G$5</f>
        <v>E0776Zahid BanuMaleEngineeringSoftware EngineerFull-timeChattogram4570293583E0237Sylhet</v>
      </c>
      <c r="L777" s="17">
        <f t="shared" si="36"/>
        <v>134335</v>
      </c>
      <c r="M777" s="17">
        <f ca="1" t="shared" si="37"/>
        <v>1</v>
      </c>
      <c r="N777" s="18" t="str">
        <f ca="1" t="shared" si="38"/>
        <v>New</v>
      </c>
    </row>
    <row r="778" spans="1:14">
      <c r="A778" s="13" t="s">
        <v>102</v>
      </c>
      <c r="B778" s="14" t="s">
        <v>1246</v>
      </c>
      <c r="C778" s="14" t="s">
        <v>293</v>
      </c>
      <c r="D778" s="14" t="s">
        <v>87</v>
      </c>
      <c r="E778" s="14" t="s">
        <v>349</v>
      </c>
      <c r="F778" s="14" t="s">
        <v>22</v>
      </c>
      <c r="G778" s="14" t="s">
        <v>16</v>
      </c>
      <c r="H778" s="14">
        <v>45002</v>
      </c>
      <c r="I778" s="14">
        <v>273469</v>
      </c>
      <c r="J778" s="14" t="s">
        <v>325</v>
      </c>
      <c r="K778" s="14" t="str">
        <f>A778&amp;B778&amp;C778&amp;D778&amp;E778&amp;F778&amp;G778&amp;H778&amp;I778&amp;J778&amp;[1]Sheet1!$G$5</f>
        <v>E0777Sadia IslamPrefer not to sayProductProduct ManagerInternKhulna45002273469E0663Sylhet</v>
      </c>
      <c r="L778" s="14">
        <f t="shared" si="36"/>
        <v>134588.5</v>
      </c>
      <c r="M778" s="14">
        <f ca="1" t="shared" si="37"/>
        <v>3</v>
      </c>
      <c r="N778" s="15" t="str">
        <f ca="1" t="shared" si="38"/>
        <v>Mid level</v>
      </c>
    </row>
    <row r="779" spans="1:14">
      <c r="A779" s="16" t="s">
        <v>1391</v>
      </c>
      <c r="B779" s="17" t="s">
        <v>852</v>
      </c>
      <c r="C779" s="17" t="s">
        <v>12</v>
      </c>
      <c r="D779" s="17" t="s">
        <v>26</v>
      </c>
      <c r="E779" s="17" t="s">
        <v>61</v>
      </c>
      <c r="F779" s="17" t="s">
        <v>15</v>
      </c>
      <c r="G779" s="17" t="s">
        <v>94</v>
      </c>
      <c r="H779" s="17">
        <v>43087</v>
      </c>
      <c r="I779" s="17">
        <v>92989</v>
      </c>
      <c r="J779" s="17" t="s">
        <v>395</v>
      </c>
      <c r="K779" s="17" t="str">
        <f>A779&amp;B779&amp;C779&amp;D779&amp;E779&amp;F779&amp;G779&amp;H779&amp;I779&amp;J779&amp;[1]Sheet1!$G$5</f>
        <v>E0778Rafi ShahFemaleFinanceFinancial AnalystFull-timeRajshahi4308792989E0132Sylhet</v>
      </c>
      <c r="L779" s="17">
        <f t="shared" si="36"/>
        <v>134335</v>
      </c>
      <c r="M779" s="17">
        <f ca="1" t="shared" si="37"/>
        <v>8</v>
      </c>
      <c r="N779" s="18" t="str">
        <f ca="1" t="shared" si="38"/>
        <v>Experienced</v>
      </c>
    </row>
    <row r="780" spans="1:14">
      <c r="A780" s="13" t="s">
        <v>1392</v>
      </c>
      <c r="B780" s="14" t="s">
        <v>705</v>
      </c>
      <c r="C780" s="14" t="s">
        <v>19</v>
      </c>
      <c r="D780" s="14" t="s">
        <v>26</v>
      </c>
      <c r="E780" s="14" t="s">
        <v>162</v>
      </c>
      <c r="F780" s="14" t="s">
        <v>48</v>
      </c>
      <c r="G780" s="14" t="s">
        <v>34</v>
      </c>
      <c r="H780" s="14">
        <v>45771</v>
      </c>
      <c r="I780" s="14">
        <v>191081</v>
      </c>
      <c r="J780" s="14" t="s">
        <v>159</v>
      </c>
      <c r="K780" s="14" t="str">
        <f>A780&amp;B780&amp;C780&amp;D780&amp;E780&amp;F780&amp;G780&amp;H780&amp;I780&amp;J780&amp;[1]Sheet1!$G$5</f>
        <v>E0779Shawon IslamMaleFinanceAccounts ExecutiveContractSylhet45771191081E0701Sylhet</v>
      </c>
      <c r="L780" s="14">
        <f t="shared" si="36"/>
        <v>134588.5</v>
      </c>
      <c r="M780" s="14">
        <f ca="1" t="shared" si="37"/>
        <v>0</v>
      </c>
      <c r="N780" s="15" t="str">
        <f ca="1" t="shared" si="38"/>
        <v>New</v>
      </c>
    </row>
    <row r="781" spans="1:14">
      <c r="A781" s="16" t="s">
        <v>372</v>
      </c>
      <c r="B781" s="17" t="s">
        <v>1393</v>
      </c>
      <c r="C781" s="17" t="s">
        <v>19</v>
      </c>
      <c r="D781" s="17" t="s">
        <v>32</v>
      </c>
      <c r="E781" s="17" t="s">
        <v>208</v>
      </c>
      <c r="F781" s="17" t="s">
        <v>15</v>
      </c>
      <c r="G781" s="17" t="s">
        <v>28</v>
      </c>
      <c r="H781" s="17">
        <v>45561</v>
      </c>
      <c r="I781" s="17">
        <v>146560</v>
      </c>
      <c r="J781" s="17"/>
      <c r="K781" s="17" t="str">
        <f>A781&amp;B781&amp;C781&amp;D781&amp;E781&amp;F781&amp;G781&amp;H781&amp;I781&amp;J781&amp;[1]Sheet1!$G$5</f>
        <v>E0780Ayesha JahanMaleHRHR ManagerFull-timeRemote45561146560Sylhet</v>
      </c>
      <c r="L781" s="17">
        <f t="shared" si="36"/>
        <v>134335</v>
      </c>
      <c r="M781" s="17">
        <f ca="1" t="shared" si="37"/>
        <v>1</v>
      </c>
      <c r="N781" s="18" t="str">
        <f ca="1" t="shared" si="38"/>
        <v>New</v>
      </c>
    </row>
    <row r="782" spans="1:14">
      <c r="A782" s="13" t="s">
        <v>1394</v>
      </c>
      <c r="B782" s="14" t="s">
        <v>1395</v>
      </c>
      <c r="C782" s="14" t="s">
        <v>12</v>
      </c>
      <c r="D782" s="14" t="s">
        <v>26</v>
      </c>
      <c r="E782" s="14" t="s">
        <v>162</v>
      </c>
      <c r="F782" s="14" t="s">
        <v>15</v>
      </c>
      <c r="G782" s="14" t="s">
        <v>28</v>
      </c>
      <c r="H782" s="14">
        <v>45174</v>
      </c>
      <c r="I782" s="14">
        <v>151301</v>
      </c>
      <c r="J782" s="14" t="s">
        <v>663</v>
      </c>
      <c r="K782" s="14" t="str">
        <f>A782&amp;B782&amp;C782&amp;D782&amp;E782&amp;F782&amp;G782&amp;H782&amp;I782&amp;J782&amp;[1]Sheet1!$G$5</f>
        <v>E0781Lamia AminFemaleFinanceAccounts ExecutiveFull-timeRemote45174151301E0688Sylhet</v>
      </c>
      <c r="L782" s="14">
        <f t="shared" si="36"/>
        <v>133219.5</v>
      </c>
      <c r="M782" s="14">
        <f ca="1" t="shared" si="37"/>
        <v>2</v>
      </c>
      <c r="N782" s="15" t="str">
        <f ca="1" t="shared" si="38"/>
        <v>New</v>
      </c>
    </row>
    <row r="783" spans="1:14">
      <c r="A783" s="16" t="s">
        <v>237</v>
      </c>
      <c r="B783" s="17" t="s">
        <v>1396</v>
      </c>
      <c r="C783" s="17" t="s">
        <v>19</v>
      </c>
      <c r="D783" s="17" t="s">
        <v>92</v>
      </c>
      <c r="E783" s="17" t="s">
        <v>193</v>
      </c>
      <c r="F783" s="17" t="s">
        <v>15</v>
      </c>
      <c r="G783" s="17" t="s">
        <v>34</v>
      </c>
      <c r="H783" s="17">
        <v>44273</v>
      </c>
      <c r="I783" s="17">
        <v>217008</v>
      </c>
      <c r="J783" s="17" t="s">
        <v>594</v>
      </c>
      <c r="K783" s="17" t="str">
        <f>A783&amp;B783&amp;C783&amp;D783&amp;E783&amp;F783&amp;G783&amp;H783&amp;I783&amp;J783&amp;[1]Sheet1!$G$5</f>
        <v>E0782Shawon HaiderMaleMarketingMarketing ManagerFull-timeSylhet44273217008E0231Sylhet</v>
      </c>
      <c r="L783" s="17">
        <f t="shared" si="36"/>
        <v>132104</v>
      </c>
      <c r="M783" s="17">
        <f ca="1" t="shared" si="37"/>
        <v>4</v>
      </c>
      <c r="N783" s="18" t="str">
        <f ca="1" t="shared" si="38"/>
        <v>Mid level</v>
      </c>
    </row>
    <row r="784" spans="1:14">
      <c r="A784" s="13" t="s">
        <v>89</v>
      </c>
      <c r="B784" s="14" t="s">
        <v>1397</v>
      </c>
      <c r="C784" s="14" t="s">
        <v>12</v>
      </c>
      <c r="D784" s="14" t="s">
        <v>87</v>
      </c>
      <c r="E784" s="14" t="s">
        <v>156</v>
      </c>
      <c r="F784" s="14" t="s">
        <v>15</v>
      </c>
      <c r="G784" s="14" t="s">
        <v>28</v>
      </c>
      <c r="H784" s="14">
        <v>45218</v>
      </c>
      <c r="I784" s="14">
        <v>134842</v>
      </c>
      <c r="J784" s="14" t="s">
        <v>493</v>
      </c>
      <c r="K784" s="14" t="str">
        <f>A784&amp;B784&amp;C784&amp;D784&amp;E784&amp;F784&amp;G784&amp;H784&amp;I784&amp;J784&amp;[1]Sheet1!$G$5</f>
        <v>E0783Nabila MiahFemaleProductAssociate Product ManagerFull-timeRemote45218134842E0249Sylhet</v>
      </c>
      <c r="L784" s="14">
        <f t="shared" si="36"/>
        <v>132031</v>
      </c>
      <c r="M784" s="14">
        <f ca="1" t="shared" si="37"/>
        <v>2</v>
      </c>
      <c r="N784" s="15" t="str">
        <f ca="1" t="shared" si="38"/>
        <v>New</v>
      </c>
    </row>
    <row r="785" spans="1:14">
      <c r="A785" s="16" t="s">
        <v>1398</v>
      </c>
      <c r="B785" s="17" t="s">
        <v>143</v>
      </c>
      <c r="C785" s="17" t="s">
        <v>19</v>
      </c>
      <c r="D785" s="17" t="s">
        <v>13</v>
      </c>
      <c r="E785" s="17" t="s">
        <v>223</v>
      </c>
      <c r="F785" s="17" t="s">
        <v>15</v>
      </c>
      <c r="G785" s="17" t="s">
        <v>34</v>
      </c>
      <c r="H785" s="17">
        <v>44330</v>
      </c>
      <c r="I785" s="17">
        <v>173458</v>
      </c>
      <c r="J785" s="17" t="s">
        <v>201</v>
      </c>
      <c r="K785" s="17" t="str">
        <f>A785&amp;B785&amp;C785&amp;D785&amp;E785&amp;F785&amp;G785&amp;H785&amp;I785&amp;J785&amp;[1]Sheet1!$G$5</f>
        <v>E0784Jannat MorshedMaleSalesSenior Account ExecutiveFull-timeSylhet44330173458E0742Sylhet</v>
      </c>
      <c r="L785" s="17">
        <f t="shared" si="36"/>
        <v>131958</v>
      </c>
      <c r="M785" s="17">
        <f ca="1" t="shared" si="37"/>
        <v>4</v>
      </c>
      <c r="N785" s="18" t="str">
        <f ca="1" t="shared" si="38"/>
        <v>Mid level</v>
      </c>
    </row>
    <row r="786" spans="1:14">
      <c r="A786" s="13" t="s">
        <v>1399</v>
      </c>
      <c r="B786" s="14" t="s">
        <v>380</v>
      </c>
      <c r="C786" s="14" t="s">
        <v>19</v>
      </c>
      <c r="D786" s="14" t="s">
        <v>38</v>
      </c>
      <c r="E786" s="14" t="s">
        <v>44</v>
      </c>
      <c r="F786" s="14" t="s">
        <v>15</v>
      </c>
      <c r="G786" s="14" t="s">
        <v>62</v>
      </c>
      <c r="H786" s="14">
        <v>44957</v>
      </c>
      <c r="I786" s="14">
        <v>163741</v>
      </c>
      <c r="J786" s="14" t="s">
        <v>202</v>
      </c>
      <c r="K786" s="14" t="str">
        <f>A786&amp;B786&amp;C786&amp;D786&amp;E786&amp;F786&amp;G786&amp;H786&amp;I786&amp;J786&amp;[1]Sheet1!$G$5</f>
        <v>E0785Tasnim SadiqMaleEngineeringQA EngineerFull-timeChattogram44957163741E0053Sylhet</v>
      </c>
      <c r="L786" s="14">
        <f t="shared" si="36"/>
        <v>131817.5</v>
      </c>
      <c r="M786" s="14">
        <f ca="1" t="shared" si="37"/>
        <v>3</v>
      </c>
      <c r="N786" s="15" t="str">
        <f ca="1" t="shared" si="38"/>
        <v>Mid level</v>
      </c>
    </row>
    <row r="787" spans="1:14">
      <c r="A787" s="16" t="s">
        <v>1348</v>
      </c>
      <c r="B787" s="17" t="s">
        <v>25</v>
      </c>
      <c r="C787" s="17" t="s">
        <v>12</v>
      </c>
      <c r="D787" s="17" t="s">
        <v>20</v>
      </c>
      <c r="E787" s="17" t="s">
        <v>70</v>
      </c>
      <c r="F787" s="17" t="s">
        <v>15</v>
      </c>
      <c r="G787" s="17" t="s">
        <v>28</v>
      </c>
      <c r="H787" s="17">
        <v>43116</v>
      </c>
      <c r="I787" s="17">
        <v>93910</v>
      </c>
      <c r="J787" s="17" t="s">
        <v>68</v>
      </c>
      <c r="K787" s="17" t="str">
        <f>A787&amp;B787&amp;C787&amp;D787&amp;E787&amp;F787&amp;G787&amp;H787&amp;I787&amp;J787&amp;[1]Sheet1!$G$5</f>
        <v>E0786Sajid RasheedFemaleCustomer SuccessCustomer Success ManagerFull-timeRemote4311693910E0012Sylhet</v>
      </c>
      <c r="L787" s="17">
        <f t="shared" si="36"/>
        <v>131677</v>
      </c>
      <c r="M787" s="17">
        <f ca="1" t="shared" si="37"/>
        <v>8</v>
      </c>
      <c r="N787" s="18" t="str">
        <f ca="1" t="shared" si="38"/>
        <v>Experienced</v>
      </c>
    </row>
    <row r="788" spans="1:14">
      <c r="A788" s="13" t="s">
        <v>1400</v>
      </c>
      <c r="B788" s="14" t="s">
        <v>1401</v>
      </c>
      <c r="C788" s="14" t="s">
        <v>146</v>
      </c>
      <c r="D788" s="14" t="s">
        <v>92</v>
      </c>
      <c r="E788" s="14" t="s">
        <v>93</v>
      </c>
      <c r="F788" s="14" t="s">
        <v>15</v>
      </c>
      <c r="G788" s="14" t="s">
        <v>28</v>
      </c>
      <c r="H788" s="14">
        <v>45693</v>
      </c>
      <c r="I788" s="14">
        <v>129991</v>
      </c>
      <c r="J788" s="14"/>
      <c r="K788" s="14" t="str">
        <f>A788&amp;B788&amp;C788&amp;D788&amp;E788&amp;F788&amp;G788&amp;H788&amp;I788&amp;J788&amp;[1]Sheet1!$G$5</f>
        <v>E0787Shafiq RanaNon-binaryMarketingGrowth MarketerFull-timeRemote45693129991Sylhet</v>
      </c>
      <c r="L788" s="14">
        <f t="shared" si="36"/>
        <v>131817.5</v>
      </c>
      <c r="M788" s="14">
        <f ca="1" t="shared" si="37"/>
        <v>1</v>
      </c>
      <c r="N788" s="15" t="str">
        <f ca="1" t="shared" si="38"/>
        <v>New</v>
      </c>
    </row>
    <row r="789" spans="1:14">
      <c r="A789" s="16" t="s">
        <v>1402</v>
      </c>
      <c r="B789" s="17" t="s">
        <v>1242</v>
      </c>
      <c r="C789" s="17" t="s">
        <v>19</v>
      </c>
      <c r="D789" s="17" t="s">
        <v>13</v>
      </c>
      <c r="E789" s="17" t="s">
        <v>223</v>
      </c>
      <c r="F789" s="17" t="s">
        <v>15</v>
      </c>
      <c r="G789" s="17" t="s">
        <v>34</v>
      </c>
      <c r="H789" s="17">
        <v>42922</v>
      </c>
      <c r="I789" s="17">
        <v>144722</v>
      </c>
      <c r="J789" s="17" t="s">
        <v>663</v>
      </c>
      <c r="K789" s="17" t="str">
        <f>A789&amp;B789&amp;C789&amp;D789&amp;E789&amp;F789&amp;G789&amp;H789&amp;I789&amp;J789&amp;[1]Sheet1!$G$5</f>
        <v>E0788Sajid JahanMaleSalesSenior Account ExecutiveFull-timeSylhet42922144722E0688Sylhet</v>
      </c>
      <c r="L789" s="17">
        <f t="shared" si="36"/>
        <v>131958</v>
      </c>
      <c r="M789" s="17">
        <f ca="1" t="shared" si="37"/>
        <v>8</v>
      </c>
      <c r="N789" s="18" t="str">
        <f ca="1" t="shared" si="38"/>
        <v>Experienced</v>
      </c>
    </row>
    <row r="790" spans="1:14">
      <c r="A790" s="13" t="s">
        <v>1403</v>
      </c>
      <c r="B790" s="14" t="s">
        <v>1014</v>
      </c>
      <c r="C790" s="14" t="s">
        <v>12</v>
      </c>
      <c r="D790" s="14" t="s">
        <v>13</v>
      </c>
      <c r="E790" s="14" t="s">
        <v>14</v>
      </c>
      <c r="F790" s="14" t="s">
        <v>15</v>
      </c>
      <c r="G790" s="14" t="s">
        <v>62</v>
      </c>
      <c r="H790" s="14">
        <v>42628</v>
      </c>
      <c r="I790" s="14">
        <v>112327</v>
      </c>
      <c r="J790" s="14" t="s">
        <v>1281</v>
      </c>
      <c r="K790" s="14" t="str">
        <f>A790&amp;B790&amp;C790&amp;D790&amp;E790&amp;F790&amp;G790&amp;H790&amp;I790&amp;J790&amp;[1]Sheet1!$G$5</f>
        <v>E0789Zahid ShahFemaleSalesSales AssociateFull-timeChattogram42628112327E0687Sylhet</v>
      </c>
      <c r="L790" s="14">
        <f t="shared" si="36"/>
        <v>131817.5</v>
      </c>
      <c r="M790" s="14">
        <f ca="1" t="shared" si="37"/>
        <v>9</v>
      </c>
      <c r="N790" s="15" t="str">
        <f ca="1" t="shared" si="38"/>
        <v>Experienced</v>
      </c>
    </row>
    <row r="791" spans="1:14">
      <c r="A791" s="16" t="s">
        <v>1404</v>
      </c>
      <c r="B791" s="17" t="s">
        <v>1405</v>
      </c>
      <c r="C791" s="17" t="s">
        <v>19</v>
      </c>
      <c r="D791" s="17" t="s">
        <v>20</v>
      </c>
      <c r="E791" s="17" t="s">
        <v>21</v>
      </c>
      <c r="F791" s="17" t="s">
        <v>15</v>
      </c>
      <c r="G791" s="17" t="s">
        <v>16</v>
      </c>
      <c r="H791" s="17">
        <v>45302</v>
      </c>
      <c r="I791" s="17">
        <v>68406</v>
      </c>
      <c r="J791" s="17" t="s">
        <v>332</v>
      </c>
      <c r="K791" s="17" t="str">
        <f>A791&amp;B791&amp;C791&amp;D791&amp;E791&amp;F791&amp;G791&amp;H791&amp;I791&amp;J791&amp;[1]Sheet1!$G$5</f>
        <v>E0790Rafi BiswasMaleCustomer SuccessSupport SpecialistFull-timeKhulna4530268406E0103Sylhet</v>
      </c>
      <c r="L791" s="17">
        <f t="shared" si="36"/>
        <v>131958</v>
      </c>
      <c r="M791" s="17">
        <f ca="1" t="shared" si="37"/>
        <v>2</v>
      </c>
      <c r="N791" s="18" t="str">
        <f ca="1" t="shared" si="38"/>
        <v>New</v>
      </c>
    </row>
    <row r="792" spans="1:14">
      <c r="A792" s="13" t="s">
        <v>1406</v>
      </c>
      <c r="B792" s="14" t="s">
        <v>1407</v>
      </c>
      <c r="C792" s="14" t="s">
        <v>12</v>
      </c>
      <c r="D792" s="14" t="s">
        <v>38</v>
      </c>
      <c r="E792" s="14" t="s">
        <v>77</v>
      </c>
      <c r="F792" s="14" t="s">
        <v>15</v>
      </c>
      <c r="G792" s="14" t="s">
        <v>40</v>
      </c>
      <c r="H792" s="14">
        <v>45549</v>
      </c>
      <c r="I792" s="14">
        <v>187804</v>
      </c>
      <c r="J792" s="14"/>
      <c r="K792" s="14" t="str">
        <f>A792&amp;B792&amp;C792&amp;D792&amp;E792&amp;F792&amp;G792&amp;H792&amp;I792&amp;J792&amp;[1]Sheet1!$G$5</f>
        <v>E0791Nabila KhanFemaleEngineeringJunior Software EngineerFull-timeDhaka45549187804Sylhet</v>
      </c>
      <c r="L792" s="14">
        <f t="shared" si="36"/>
        <v>132031</v>
      </c>
      <c r="M792" s="14">
        <f ca="1" t="shared" si="37"/>
        <v>1</v>
      </c>
      <c r="N792" s="15" t="str">
        <f ca="1" t="shared" si="38"/>
        <v>New</v>
      </c>
    </row>
    <row r="793" spans="1:14">
      <c r="A793" s="16" t="s">
        <v>1408</v>
      </c>
      <c r="B793" s="17" t="s">
        <v>1409</v>
      </c>
      <c r="C793" s="17" t="s">
        <v>19</v>
      </c>
      <c r="D793" s="17" t="s">
        <v>92</v>
      </c>
      <c r="E793" s="17" t="s">
        <v>126</v>
      </c>
      <c r="F793" s="17" t="s">
        <v>48</v>
      </c>
      <c r="G793" s="17" t="s">
        <v>16</v>
      </c>
      <c r="H793" s="17">
        <v>44244</v>
      </c>
      <c r="I793" s="17">
        <v>175256</v>
      </c>
      <c r="J793" s="17" t="s">
        <v>316</v>
      </c>
      <c r="K793" s="17" t="str">
        <f>A793&amp;B793&amp;C793&amp;D793&amp;E793&amp;F793&amp;G793&amp;H793&amp;I793&amp;J793&amp;[1]Sheet1!$G$5</f>
        <v>E0792Shawon BanuMaleMarketingSEO SpecialistContractKhulna44244175256E0684Sylhet</v>
      </c>
      <c r="L793" s="17">
        <f t="shared" si="36"/>
        <v>131958</v>
      </c>
      <c r="M793" s="17">
        <f ca="1" t="shared" si="37"/>
        <v>5</v>
      </c>
      <c r="N793" s="18" t="str">
        <f ca="1" t="shared" si="38"/>
        <v>Mid level</v>
      </c>
    </row>
    <row r="794" spans="1:14">
      <c r="A794" s="13" t="s">
        <v>1410</v>
      </c>
      <c r="B794" s="14" t="s">
        <v>205</v>
      </c>
      <c r="C794" s="14" t="s">
        <v>12</v>
      </c>
      <c r="D794" s="14" t="s">
        <v>92</v>
      </c>
      <c r="E794" s="14" t="s">
        <v>93</v>
      </c>
      <c r="F794" s="14" t="s">
        <v>15</v>
      </c>
      <c r="G794" s="14" t="s">
        <v>94</v>
      </c>
      <c r="H794" s="14">
        <v>42521</v>
      </c>
      <c r="I794" s="14">
        <v>149101</v>
      </c>
      <c r="J794" s="14" t="s">
        <v>721</v>
      </c>
      <c r="K794" s="14" t="str">
        <f>A794&amp;B794&amp;C794&amp;D794&amp;E794&amp;F794&amp;G794&amp;H794&amp;I794&amp;J794&amp;[1]Sheet1!$G$5</f>
        <v>E0793Tamanna RahmanFemaleMarketingGrowth MarketerFull-timeRajshahi42521149101E0376Sylhet</v>
      </c>
      <c r="L794" s="14">
        <f t="shared" si="36"/>
        <v>131817.5</v>
      </c>
      <c r="M794" s="14">
        <f ca="1" t="shared" si="37"/>
        <v>9</v>
      </c>
      <c r="N794" s="15" t="str">
        <f ca="1" t="shared" si="38"/>
        <v>Experienced</v>
      </c>
    </row>
    <row r="795" spans="1:14">
      <c r="A795" s="16" t="s">
        <v>1411</v>
      </c>
      <c r="B795" s="17" t="s">
        <v>479</v>
      </c>
      <c r="C795" s="17" t="s">
        <v>12</v>
      </c>
      <c r="D795" s="17" t="s">
        <v>32</v>
      </c>
      <c r="E795" s="17" t="s">
        <v>33</v>
      </c>
      <c r="F795" s="17" t="s">
        <v>15</v>
      </c>
      <c r="G795" s="17" t="s">
        <v>62</v>
      </c>
      <c r="H795" s="17">
        <v>43571</v>
      </c>
      <c r="I795" s="17">
        <v>64223</v>
      </c>
      <c r="J795" s="17" t="s">
        <v>127</v>
      </c>
      <c r="K795" s="17" t="str">
        <f>A795&amp;B795&amp;C795&amp;D795&amp;E795&amp;F795&amp;G795&amp;H795&amp;I795&amp;J795&amp;[1]Sheet1!$G$5</f>
        <v>E0794Shafiq RasheedFemaleHRHR Business PartnerFull-timeChattogram4357164223E0755Sylhet</v>
      </c>
      <c r="L795" s="17">
        <f t="shared" si="36"/>
        <v>131677</v>
      </c>
      <c r="M795" s="17">
        <f ca="1" t="shared" si="37"/>
        <v>6</v>
      </c>
      <c r="N795" s="18" t="str">
        <f ca="1" t="shared" si="38"/>
        <v>Experienced</v>
      </c>
    </row>
    <row r="796" spans="1:14">
      <c r="A796" s="13" t="s">
        <v>1412</v>
      </c>
      <c r="B796" s="14" t="s">
        <v>1287</v>
      </c>
      <c r="C796" s="14" t="s">
        <v>19</v>
      </c>
      <c r="D796" s="14" t="s">
        <v>38</v>
      </c>
      <c r="E796" s="14" t="s">
        <v>77</v>
      </c>
      <c r="F796" s="14" t="s">
        <v>15</v>
      </c>
      <c r="G796" s="14" t="s">
        <v>34</v>
      </c>
      <c r="H796" s="14">
        <v>43195</v>
      </c>
      <c r="I796" s="14">
        <v>103668</v>
      </c>
      <c r="J796" s="14"/>
      <c r="K796" s="14" t="str">
        <f>A796&amp;B796&amp;C796&amp;D796&amp;E796&amp;F796&amp;G796&amp;H796&amp;I796&amp;J796&amp;[1]Sheet1!$G$5</f>
        <v>E0795Lamia KhanMaleEngineeringJunior Software EngineerFull-timeSylhet43195103668Sylhet</v>
      </c>
      <c r="L796" s="14">
        <f t="shared" si="36"/>
        <v>131817.5</v>
      </c>
      <c r="M796" s="14">
        <f ca="1" t="shared" si="37"/>
        <v>7</v>
      </c>
      <c r="N796" s="15" t="str">
        <f ca="1" t="shared" si="38"/>
        <v>Experienced</v>
      </c>
    </row>
    <row r="797" spans="1:14">
      <c r="A797" s="16" t="s">
        <v>1413</v>
      </c>
      <c r="B797" s="17" t="s">
        <v>1414</v>
      </c>
      <c r="C797" s="17" t="s">
        <v>12</v>
      </c>
      <c r="D797" s="17" t="s">
        <v>52</v>
      </c>
      <c r="E797" s="17" t="s">
        <v>246</v>
      </c>
      <c r="F797" s="17" t="s">
        <v>22</v>
      </c>
      <c r="G797" s="17" t="s">
        <v>94</v>
      </c>
      <c r="H797" s="17">
        <v>42549</v>
      </c>
      <c r="I797" s="17">
        <v>98984</v>
      </c>
      <c r="J797" s="17" t="s">
        <v>99</v>
      </c>
      <c r="K797" s="17" t="str">
        <f>A797&amp;B797&amp;C797&amp;D797&amp;E797&amp;F797&amp;G797&amp;H797&amp;I797&amp;J797&amp;[1]Sheet1!$G$5</f>
        <v>E0796Tasnim AhmedFemaleOperationsOperations AssociateInternRajshahi4254998984E0917Sylhet</v>
      </c>
      <c r="L797" s="17">
        <f t="shared" si="36"/>
        <v>131958</v>
      </c>
      <c r="M797" s="17">
        <f ca="1" t="shared" si="37"/>
        <v>9</v>
      </c>
      <c r="N797" s="18" t="str">
        <f ca="1" t="shared" si="38"/>
        <v>Experienced</v>
      </c>
    </row>
    <row r="798" spans="1:14">
      <c r="A798" s="13" t="s">
        <v>234</v>
      </c>
      <c r="B798" s="14" t="s">
        <v>486</v>
      </c>
      <c r="C798" s="14" t="s">
        <v>19</v>
      </c>
      <c r="D798" s="14" t="s">
        <v>20</v>
      </c>
      <c r="E798" s="14" t="s">
        <v>70</v>
      </c>
      <c r="F798" s="14" t="s">
        <v>15</v>
      </c>
      <c r="G798" s="14" t="s">
        <v>40</v>
      </c>
      <c r="H798" s="14">
        <v>45610</v>
      </c>
      <c r="I798" s="14">
        <v>96703</v>
      </c>
      <c r="J798" s="14" t="s">
        <v>275</v>
      </c>
      <c r="K798" s="14" t="str">
        <f>A798&amp;B798&amp;C798&amp;D798&amp;E798&amp;F798&amp;G798&amp;H798&amp;I798&amp;J798&amp;[1]Sheet1!$G$5</f>
        <v>E0797Mitu SultanaMaleCustomer SuccessCustomer Success ManagerFull-timeDhaka4561096703E0081Sylhet</v>
      </c>
      <c r="L798" s="14">
        <f t="shared" si="36"/>
        <v>132031</v>
      </c>
      <c r="M798" s="14">
        <f ca="1" t="shared" si="37"/>
        <v>1</v>
      </c>
      <c r="N798" s="15" t="str">
        <f ca="1" t="shared" si="38"/>
        <v>New</v>
      </c>
    </row>
    <row r="799" spans="1:14">
      <c r="A799" s="16" t="s">
        <v>1415</v>
      </c>
      <c r="B799" s="17" t="s">
        <v>1416</v>
      </c>
      <c r="C799" s="17" t="s">
        <v>12</v>
      </c>
      <c r="D799" s="17" t="s">
        <v>92</v>
      </c>
      <c r="E799" s="17" t="s">
        <v>189</v>
      </c>
      <c r="F799" s="17" t="s">
        <v>15</v>
      </c>
      <c r="G799" s="17" t="s">
        <v>28</v>
      </c>
      <c r="H799" s="17">
        <v>43187</v>
      </c>
      <c r="I799" s="17">
        <v>56576</v>
      </c>
      <c r="J799" s="17" t="s">
        <v>562</v>
      </c>
      <c r="K799" s="17" t="str">
        <f>A799&amp;B799&amp;C799&amp;D799&amp;E799&amp;F799&amp;G799&amp;H799&amp;I799&amp;J799&amp;[1]Sheet1!$G$5</f>
        <v>E0798Esha SarkerFemaleMarketingMarketing AssociateFull-timeRemote4318756576E0520Sylhet</v>
      </c>
      <c r="L799" s="17">
        <f t="shared" si="36"/>
        <v>132104</v>
      </c>
      <c r="M799" s="17">
        <f ca="1" t="shared" si="37"/>
        <v>7</v>
      </c>
      <c r="N799" s="18" t="str">
        <f ca="1" t="shared" si="38"/>
        <v>Experienced</v>
      </c>
    </row>
    <row r="800" spans="1:14">
      <c r="A800" s="13" t="s">
        <v>1417</v>
      </c>
      <c r="B800" s="14" t="s">
        <v>1418</v>
      </c>
      <c r="C800" s="14" t="s">
        <v>19</v>
      </c>
      <c r="D800" s="14" t="s">
        <v>26</v>
      </c>
      <c r="E800" s="14" t="s">
        <v>162</v>
      </c>
      <c r="F800" s="14" t="s">
        <v>15</v>
      </c>
      <c r="G800" s="14" t="s">
        <v>62</v>
      </c>
      <c r="H800" s="14">
        <v>42541</v>
      </c>
      <c r="I800" s="14">
        <v>160461</v>
      </c>
      <c r="J800" s="14" t="s">
        <v>190</v>
      </c>
      <c r="K800" s="14" t="str">
        <f>A800&amp;B800&amp;C800&amp;D800&amp;E800&amp;F800&amp;G800&amp;H800&amp;I800&amp;J800&amp;[1]Sheet1!$G$5</f>
        <v>E0799Rafi UddinMaleFinanceAccounts ExecutiveFull-timeChattogram42541160461E0592Sylhet</v>
      </c>
      <c r="L800" s="14">
        <f t="shared" si="36"/>
        <v>133219.5</v>
      </c>
      <c r="M800" s="14">
        <f ca="1" t="shared" si="37"/>
        <v>9</v>
      </c>
      <c r="N800" s="15" t="str">
        <f ca="1" t="shared" si="38"/>
        <v>Experienced</v>
      </c>
    </row>
    <row r="801" spans="1:14">
      <c r="A801" s="16" t="s">
        <v>1419</v>
      </c>
      <c r="B801" s="17" t="s">
        <v>1420</v>
      </c>
      <c r="C801" s="17" t="s">
        <v>12</v>
      </c>
      <c r="D801" s="17" t="s">
        <v>20</v>
      </c>
      <c r="E801" s="17" t="s">
        <v>147</v>
      </c>
      <c r="F801" s="17" t="s">
        <v>15</v>
      </c>
      <c r="G801" s="17" t="s">
        <v>94</v>
      </c>
      <c r="H801" s="17">
        <v>43662</v>
      </c>
      <c r="I801" s="17">
        <v>86429</v>
      </c>
      <c r="J801" s="17" t="s">
        <v>96</v>
      </c>
      <c r="K801" s="17" t="str">
        <f>A801&amp;B801&amp;C801&amp;D801&amp;E801&amp;F801&amp;G801&amp;H801&amp;I801&amp;J801&amp;[1]Sheet1!$G$5</f>
        <v>E0800Karim BiswasFemaleCustomer SuccessSupport AssociateFull-timeRajshahi4366286429E0019Sylhet</v>
      </c>
      <c r="L801" s="17">
        <f t="shared" si="36"/>
        <v>132104</v>
      </c>
      <c r="M801" s="17">
        <f ca="1" t="shared" si="37"/>
        <v>6</v>
      </c>
      <c r="N801" s="18" t="str">
        <f ca="1" t="shared" si="38"/>
        <v>Experienced</v>
      </c>
    </row>
    <row r="802" spans="1:14">
      <c r="A802" s="13" t="s">
        <v>725</v>
      </c>
      <c r="B802" s="14" t="s">
        <v>825</v>
      </c>
      <c r="C802" s="14" t="s">
        <v>19</v>
      </c>
      <c r="D802" s="14" t="s">
        <v>26</v>
      </c>
      <c r="E802" s="14" t="s">
        <v>27</v>
      </c>
      <c r="F802" s="14" t="s">
        <v>48</v>
      </c>
      <c r="G802" s="14" t="s">
        <v>40</v>
      </c>
      <c r="H802" s="14">
        <v>43640</v>
      </c>
      <c r="I802" s="14">
        <v>121309</v>
      </c>
      <c r="J802" s="14"/>
      <c r="K802" s="14" t="str">
        <f>A802&amp;B802&amp;C802&amp;D802&amp;E802&amp;F802&amp;G802&amp;H802&amp;I802&amp;J802&amp;[1]Sheet1!$G$5</f>
        <v>E0801Rahim SultanaMaleFinanceFinance ManagerContractDhaka43640121309Sylhet</v>
      </c>
      <c r="L802" s="14">
        <f t="shared" si="36"/>
        <v>133219.5</v>
      </c>
      <c r="M802" s="14">
        <f ca="1" t="shared" si="37"/>
        <v>6</v>
      </c>
      <c r="N802" s="15" t="str">
        <f ca="1" t="shared" si="38"/>
        <v>Experienced</v>
      </c>
    </row>
    <row r="803" spans="1:14">
      <c r="A803" s="16" t="s">
        <v>1421</v>
      </c>
      <c r="B803" s="17" t="s">
        <v>1422</v>
      </c>
      <c r="C803" s="17" t="s">
        <v>19</v>
      </c>
      <c r="D803" s="17" t="s">
        <v>38</v>
      </c>
      <c r="E803" s="17" t="s">
        <v>44</v>
      </c>
      <c r="F803" s="17" t="s">
        <v>15</v>
      </c>
      <c r="G803" s="17" t="s">
        <v>28</v>
      </c>
      <c r="H803" s="17">
        <v>44481</v>
      </c>
      <c r="I803" s="17">
        <v>128635</v>
      </c>
      <c r="J803" s="17" t="s">
        <v>277</v>
      </c>
      <c r="K803" s="17" t="str">
        <f>A803&amp;B803&amp;C803&amp;D803&amp;E803&amp;F803&amp;G803&amp;H803&amp;I803&amp;J803&amp;[1]Sheet1!$G$5</f>
        <v>E0802Nafiz HasanMaleEngineeringQA EngineerFull-timeRemote44481128635E0278Sylhet</v>
      </c>
      <c r="L803" s="17">
        <f t="shared" si="36"/>
        <v>134335</v>
      </c>
      <c r="M803" s="17">
        <f ca="1" t="shared" si="37"/>
        <v>4</v>
      </c>
      <c r="N803" s="18" t="str">
        <f ca="1" t="shared" si="38"/>
        <v>Mid level</v>
      </c>
    </row>
    <row r="804" spans="1:14">
      <c r="A804" s="13" t="s">
        <v>1423</v>
      </c>
      <c r="B804" s="14" t="s">
        <v>1424</v>
      </c>
      <c r="C804" s="14" t="s">
        <v>12</v>
      </c>
      <c r="D804" s="14" t="s">
        <v>92</v>
      </c>
      <c r="E804" s="14" t="s">
        <v>391</v>
      </c>
      <c r="F804" s="14" t="s">
        <v>15</v>
      </c>
      <c r="G804" s="14" t="s">
        <v>94</v>
      </c>
      <c r="H804" s="14">
        <v>44001</v>
      </c>
      <c r="I804" s="14">
        <v>135705</v>
      </c>
      <c r="J804" s="14" t="s">
        <v>863</v>
      </c>
      <c r="K804" s="14" t="str">
        <f>A804&amp;B804&amp;C804&amp;D804&amp;E804&amp;F804&amp;G804&amp;H804&amp;I804&amp;J804&amp;[1]Sheet1!$G$5</f>
        <v>E0803Sajid AminFemaleMarketingContent SpecialistFull-timeRajshahi44001135705E0387Sylhet</v>
      </c>
      <c r="L804" s="14">
        <f t="shared" si="36"/>
        <v>135020</v>
      </c>
      <c r="M804" s="14">
        <f ca="1" t="shared" si="37"/>
        <v>5</v>
      </c>
      <c r="N804" s="15" t="str">
        <f ca="1" t="shared" si="38"/>
        <v>Mid level</v>
      </c>
    </row>
    <row r="805" spans="1:14">
      <c r="A805" s="16" t="s">
        <v>1425</v>
      </c>
      <c r="B805" s="17" t="s">
        <v>1426</v>
      </c>
      <c r="C805" s="17" t="s">
        <v>293</v>
      </c>
      <c r="D805" s="17" t="s">
        <v>32</v>
      </c>
      <c r="E805" s="17" t="s">
        <v>130</v>
      </c>
      <c r="F805" s="17" t="s">
        <v>15</v>
      </c>
      <c r="G805" s="17" t="s">
        <v>94</v>
      </c>
      <c r="H805" s="17">
        <v>45709</v>
      </c>
      <c r="I805" s="17">
        <v>80489</v>
      </c>
      <c r="J805" s="17" t="s">
        <v>82</v>
      </c>
      <c r="K805" s="17" t="str">
        <f>A805&amp;B805&amp;C805&amp;D805&amp;E805&amp;F805&amp;G805&amp;H805&amp;I805&amp;J805&amp;[1]Sheet1!$G$5</f>
        <v>E0804Nadia RanaPrefer not to sayHRRecruiterFull-timeRajshahi4570980489E0016Sylhet</v>
      </c>
      <c r="L805" s="17">
        <f t="shared" si="36"/>
        <v>134335</v>
      </c>
      <c r="M805" s="17">
        <f ca="1" t="shared" si="37"/>
        <v>1</v>
      </c>
      <c r="N805" s="18" t="str">
        <f ca="1" t="shared" si="38"/>
        <v>New</v>
      </c>
    </row>
    <row r="806" spans="1:14">
      <c r="A806" s="13" t="s">
        <v>1427</v>
      </c>
      <c r="B806" s="14" t="s">
        <v>1428</v>
      </c>
      <c r="C806" s="14" t="s">
        <v>19</v>
      </c>
      <c r="D806" s="14" t="s">
        <v>13</v>
      </c>
      <c r="E806" s="14" t="s">
        <v>165</v>
      </c>
      <c r="F806" s="14" t="s">
        <v>15</v>
      </c>
      <c r="G806" s="14" t="s">
        <v>40</v>
      </c>
      <c r="H806" s="14">
        <v>44594</v>
      </c>
      <c r="I806" s="14">
        <v>101359</v>
      </c>
      <c r="J806" s="14" t="s">
        <v>131</v>
      </c>
      <c r="K806" s="14" t="str">
        <f>A806&amp;B806&amp;C806&amp;D806&amp;E806&amp;F806&amp;G806&amp;H806&amp;I806&amp;J806&amp;[1]Sheet1!$G$5</f>
        <v>E0805Zahid SadiqMaleSalesAccount ExecutiveFull-timeDhaka44594101359E0356Sylhet</v>
      </c>
      <c r="L806" s="14">
        <f t="shared" si="36"/>
        <v>135391.5</v>
      </c>
      <c r="M806" s="14">
        <f ca="1" t="shared" si="37"/>
        <v>4</v>
      </c>
      <c r="N806" s="15" t="str">
        <f ca="1" t="shared" si="38"/>
        <v>Mid level</v>
      </c>
    </row>
    <row r="807" spans="1:14">
      <c r="A807" s="16" t="s">
        <v>1429</v>
      </c>
      <c r="B807" s="17" t="s">
        <v>820</v>
      </c>
      <c r="C807" s="17" t="s">
        <v>19</v>
      </c>
      <c r="D807" s="17" t="s">
        <v>26</v>
      </c>
      <c r="E807" s="17" t="s">
        <v>294</v>
      </c>
      <c r="F807" s="17" t="s">
        <v>15</v>
      </c>
      <c r="G807" s="17" t="s">
        <v>16</v>
      </c>
      <c r="H807" s="17">
        <v>44309</v>
      </c>
      <c r="I807" s="17">
        <v>196965</v>
      </c>
      <c r="J807" s="17" t="s">
        <v>668</v>
      </c>
      <c r="K807" s="17" t="str">
        <f>A807&amp;B807&amp;C807&amp;D807&amp;E807&amp;F807&amp;G807&amp;H807&amp;I807&amp;J807&amp;[1]Sheet1!$G$5</f>
        <v>E0806Imran HasanMaleFinanceSenior Financial AnalystFull-timeKhulna44309196965E0273Sylhet</v>
      </c>
      <c r="L807" s="17">
        <f t="shared" si="36"/>
        <v>136448</v>
      </c>
      <c r="M807" s="17">
        <f ca="1" t="shared" si="37"/>
        <v>4</v>
      </c>
      <c r="N807" s="18" t="str">
        <f ca="1" t="shared" si="38"/>
        <v>Mid level</v>
      </c>
    </row>
    <row r="808" spans="1:14">
      <c r="A808" s="13" t="s">
        <v>1430</v>
      </c>
      <c r="B808" s="14" t="s">
        <v>559</v>
      </c>
      <c r="C808" s="14" t="s">
        <v>19</v>
      </c>
      <c r="D808" s="14" t="s">
        <v>20</v>
      </c>
      <c r="E808" s="14" t="s">
        <v>21</v>
      </c>
      <c r="F808" s="14" t="s">
        <v>15</v>
      </c>
      <c r="G808" s="14" t="s">
        <v>34</v>
      </c>
      <c r="H808" s="14">
        <v>43407</v>
      </c>
      <c r="I808" s="14">
        <v>87246</v>
      </c>
      <c r="J808" s="14" t="s">
        <v>562</v>
      </c>
      <c r="K808" s="14" t="str">
        <f>A808&amp;B808&amp;C808&amp;D808&amp;E808&amp;F808&amp;G808&amp;H808&amp;I808&amp;J808&amp;[1]Sheet1!$G$5</f>
        <v>E0807Ayesha HossainMaleCustomer SuccessSupport SpecialistFull-timeSylhet4340787246E0520Sylhet</v>
      </c>
      <c r="L808" s="14">
        <f t="shared" si="36"/>
        <v>135391.5</v>
      </c>
      <c r="M808" s="14">
        <f ca="1" t="shared" si="37"/>
        <v>7</v>
      </c>
      <c r="N808" s="15" t="str">
        <f ca="1" t="shared" si="38"/>
        <v>Experienced</v>
      </c>
    </row>
    <row r="809" spans="1:14">
      <c r="A809" s="16" t="s">
        <v>1431</v>
      </c>
      <c r="B809" s="17" t="s">
        <v>948</v>
      </c>
      <c r="C809" s="17" t="s">
        <v>19</v>
      </c>
      <c r="D809" s="17" t="s">
        <v>20</v>
      </c>
      <c r="E809" s="17" t="s">
        <v>147</v>
      </c>
      <c r="F809" s="17" t="s">
        <v>15</v>
      </c>
      <c r="G809" s="17" t="s">
        <v>34</v>
      </c>
      <c r="H809" s="17">
        <v>42519</v>
      </c>
      <c r="I809" s="17">
        <v>57975</v>
      </c>
      <c r="J809" s="17" t="s">
        <v>206</v>
      </c>
      <c r="K809" s="17" t="str">
        <f>A809&amp;B809&amp;C809&amp;D809&amp;E809&amp;F809&amp;G809&amp;H809&amp;I809&amp;J809&amp;[1]Sheet1!$G$5</f>
        <v>E0808Lamia AnjumMaleCustomer SuccessSupport AssociateFull-timeSylhet4251957975E0055Sylhet</v>
      </c>
      <c r="L809" s="17">
        <f t="shared" si="36"/>
        <v>136448</v>
      </c>
      <c r="M809" s="17">
        <f ca="1" t="shared" si="37"/>
        <v>9</v>
      </c>
      <c r="N809" s="18" t="str">
        <f ca="1" t="shared" si="38"/>
        <v>Experienced</v>
      </c>
    </row>
    <row r="810" spans="1:14">
      <c r="A810" s="13" t="s">
        <v>1432</v>
      </c>
      <c r="B810" s="14" t="s">
        <v>1000</v>
      </c>
      <c r="C810" s="14" t="s">
        <v>12</v>
      </c>
      <c r="D810" s="14" t="s">
        <v>13</v>
      </c>
      <c r="E810" s="14" t="s">
        <v>14</v>
      </c>
      <c r="F810" s="14" t="s">
        <v>15</v>
      </c>
      <c r="G810" s="14" t="s">
        <v>94</v>
      </c>
      <c r="H810" s="14">
        <v>45455</v>
      </c>
      <c r="I810" s="14">
        <v>148174</v>
      </c>
      <c r="J810" s="14" t="s">
        <v>148</v>
      </c>
      <c r="K810" s="14" t="str">
        <f>A810&amp;B810&amp;C810&amp;D810&amp;E810&amp;F810&amp;G810&amp;H810&amp;I810&amp;J810&amp;[1]Sheet1!$G$5</f>
        <v>E0809Rafi RasheedFemaleSalesSales AssociateFull-timeRajshahi45455148174E0938Sylhet</v>
      </c>
      <c r="L810" s="14">
        <f t="shared" si="36"/>
        <v>136611</v>
      </c>
      <c r="M810" s="14">
        <f ca="1" t="shared" si="37"/>
        <v>1</v>
      </c>
      <c r="N810" s="15" t="str">
        <f ca="1" t="shared" si="38"/>
        <v>New</v>
      </c>
    </row>
    <row r="811" spans="1:14">
      <c r="A811" s="16" t="s">
        <v>1433</v>
      </c>
      <c r="B811" s="17" t="s">
        <v>431</v>
      </c>
      <c r="C811" s="17" t="s">
        <v>19</v>
      </c>
      <c r="D811" s="17" t="s">
        <v>38</v>
      </c>
      <c r="E811" s="17" t="s">
        <v>77</v>
      </c>
      <c r="F811" s="17" t="s">
        <v>15</v>
      </c>
      <c r="G811" s="17" t="s">
        <v>34</v>
      </c>
      <c r="H811" s="17">
        <v>45019</v>
      </c>
      <c r="I811" s="17">
        <v>102328</v>
      </c>
      <c r="J811" s="17" t="s">
        <v>855</v>
      </c>
      <c r="K811" s="17" t="str">
        <f>A811&amp;B811&amp;C811&amp;D811&amp;E811&amp;F811&amp;G811&amp;H811&amp;I811&amp;J811&amp;[1]Sheet1!$G$5</f>
        <v>E0810Ovi HossainMaleEngineeringJunior Software EngineerFull-timeSylhet45019102328E0870Sylhet</v>
      </c>
      <c r="L811" s="17">
        <f t="shared" si="36"/>
        <v>136448</v>
      </c>
      <c r="M811" s="17">
        <f ca="1" t="shared" si="37"/>
        <v>2</v>
      </c>
      <c r="N811" s="18" t="str">
        <f ca="1" t="shared" si="38"/>
        <v>New</v>
      </c>
    </row>
    <row r="812" spans="1:14">
      <c r="A812" s="13" t="s">
        <v>1434</v>
      </c>
      <c r="B812" s="14" t="s">
        <v>1435</v>
      </c>
      <c r="C812" s="14" t="s">
        <v>19</v>
      </c>
      <c r="D812" s="14" t="s">
        <v>20</v>
      </c>
      <c r="E812" s="14" t="s">
        <v>21</v>
      </c>
      <c r="F812" s="14" t="s">
        <v>15</v>
      </c>
      <c r="G812" s="14" t="s">
        <v>40</v>
      </c>
      <c r="H812" s="14">
        <v>43152</v>
      </c>
      <c r="I812" s="14">
        <v>76816</v>
      </c>
      <c r="J812" s="14" t="s">
        <v>386</v>
      </c>
      <c r="K812" s="14" t="str">
        <f>A812&amp;B812&amp;C812&amp;D812&amp;E812&amp;F812&amp;G812&amp;H812&amp;I812&amp;J812&amp;[1]Sheet1!$G$5</f>
        <v>E0811Mahin MahmudMaleCustomer SuccessSupport SpecialistFull-timeDhaka4315276816E0585Sylhet</v>
      </c>
      <c r="L812" s="14">
        <f t="shared" si="36"/>
        <v>136611</v>
      </c>
      <c r="M812" s="14">
        <f ca="1" t="shared" si="37"/>
        <v>8</v>
      </c>
      <c r="N812" s="15" t="str">
        <f ca="1" t="shared" si="38"/>
        <v>Experienced</v>
      </c>
    </row>
    <row r="813" spans="1:14">
      <c r="A813" s="16" t="s">
        <v>911</v>
      </c>
      <c r="B813" s="17" t="s">
        <v>1436</v>
      </c>
      <c r="C813" s="17" t="s">
        <v>19</v>
      </c>
      <c r="D813" s="17" t="s">
        <v>52</v>
      </c>
      <c r="E813" s="17" t="s">
        <v>53</v>
      </c>
      <c r="F813" s="17" t="s">
        <v>15</v>
      </c>
      <c r="G813" s="17" t="s">
        <v>16</v>
      </c>
      <c r="H813" s="17">
        <v>43541</v>
      </c>
      <c r="I813" s="17">
        <v>153074</v>
      </c>
      <c r="J813" s="17" t="s">
        <v>525</v>
      </c>
      <c r="K813" s="17" t="str">
        <f>A813&amp;B813&amp;C813&amp;D813&amp;E813&amp;F813&amp;G813&amp;H813&amp;I813&amp;J813&amp;[1]Sheet1!$G$5</f>
        <v>E0812Fahim BanuMaleOperationsOperations ManagerFull-timeKhulna43541153074E0199Sylhet</v>
      </c>
      <c r="L813" s="17">
        <f t="shared" si="36"/>
        <v>136774</v>
      </c>
      <c r="M813" s="17">
        <f ca="1" t="shared" si="37"/>
        <v>7</v>
      </c>
      <c r="N813" s="18" t="str">
        <f ca="1" t="shared" si="38"/>
        <v>Experienced</v>
      </c>
    </row>
    <row r="814" spans="1:14">
      <c r="A814" s="13" t="s">
        <v>1437</v>
      </c>
      <c r="B814" s="14" t="s">
        <v>680</v>
      </c>
      <c r="C814" s="14" t="s">
        <v>19</v>
      </c>
      <c r="D814" s="14" t="s">
        <v>38</v>
      </c>
      <c r="E814" s="14" t="s">
        <v>66</v>
      </c>
      <c r="F814" s="14" t="s">
        <v>15</v>
      </c>
      <c r="G814" s="14" t="s">
        <v>94</v>
      </c>
      <c r="H814" s="14">
        <v>43832</v>
      </c>
      <c r="I814" s="14">
        <v>120062</v>
      </c>
      <c r="J814" s="14" t="s">
        <v>708</v>
      </c>
      <c r="K814" s="14" t="str">
        <f>A814&amp;B814&amp;C814&amp;D814&amp;E814&amp;F814&amp;G814&amp;H814&amp;I814&amp;J814&amp;[1]Sheet1!$G$5</f>
        <v>E0813Shawon SultanaMaleEngineeringSoftware EngineerFull-timeRajshahi43832120062E0965Sylhet</v>
      </c>
      <c r="L814" s="14">
        <f t="shared" si="36"/>
        <v>136611</v>
      </c>
      <c r="M814" s="14">
        <f ca="1" t="shared" si="37"/>
        <v>6</v>
      </c>
      <c r="N814" s="15" t="str">
        <f ca="1" t="shared" si="38"/>
        <v>Experienced</v>
      </c>
    </row>
    <row r="815" spans="1:14">
      <c r="A815" s="16" t="s">
        <v>1438</v>
      </c>
      <c r="B815" s="17" t="s">
        <v>506</v>
      </c>
      <c r="C815" s="17" t="s">
        <v>12</v>
      </c>
      <c r="D815" s="17" t="s">
        <v>20</v>
      </c>
      <c r="E815" s="17" t="s">
        <v>147</v>
      </c>
      <c r="F815" s="17" t="s">
        <v>15</v>
      </c>
      <c r="G815" s="17" t="s">
        <v>62</v>
      </c>
      <c r="H815" s="17">
        <v>45901</v>
      </c>
      <c r="I815" s="17">
        <v>98793</v>
      </c>
      <c r="J815" s="17" t="s">
        <v>379</v>
      </c>
      <c r="K815" s="17" t="str">
        <f>A815&amp;B815&amp;C815&amp;D815&amp;E815&amp;F815&amp;G815&amp;H815&amp;I815&amp;J815&amp;[1]Sheet1!$G$5</f>
        <v>E0814Priya AminFemaleCustomer SuccessSupport AssociateFull-timeChattogram4590198793E0125Sylhet</v>
      </c>
      <c r="L815" s="17">
        <f t="shared" si="36"/>
        <v>136774</v>
      </c>
      <c r="M815" s="17">
        <f ca="1" t="shared" si="37"/>
        <v>0</v>
      </c>
      <c r="N815" s="18" t="str">
        <f ca="1" t="shared" si="38"/>
        <v>New</v>
      </c>
    </row>
    <row r="816" spans="1:14">
      <c r="A816" s="13" t="s">
        <v>1439</v>
      </c>
      <c r="B816" s="14" t="s">
        <v>1440</v>
      </c>
      <c r="C816" s="14" t="s">
        <v>12</v>
      </c>
      <c r="D816" s="14" t="s">
        <v>52</v>
      </c>
      <c r="E816" s="14" t="s">
        <v>246</v>
      </c>
      <c r="F816" s="14" t="s">
        <v>15</v>
      </c>
      <c r="G816" s="14" t="s">
        <v>94</v>
      </c>
      <c r="H816" s="14">
        <v>45568</v>
      </c>
      <c r="I816" s="14">
        <v>62931</v>
      </c>
      <c r="J816" s="14"/>
      <c r="K816" s="14" t="str">
        <f>A816&amp;B816&amp;C816&amp;D816&amp;E816&amp;F816&amp;G816&amp;H816&amp;I816&amp;J816&amp;[1]Sheet1!$G$5</f>
        <v>E0815Rahim ShahFemaleOperationsOperations AssociateFull-timeRajshahi4556862931Sylhet</v>
      </c>
      <c r="L816" s="14">
        <f t="shared" si="36"/>
        <v>137427</v>
      </c>
      <c r="M816" s="14">
        <f ca="1" t="shared" si="37"/>
        <v>1</v>
      </c>
      <c r="N816" s="15" t="str">
        <f ca="1" t="shared" si="38"/>
        <v>New</v>
      </c>
    </row>
    <row r="817" spans="1:14">
      <c r="A817" s="16" t="s">
        <v>71</v>
      </c>
      <c r="B817" s="17" t="s">
        <v>1273</v>
      </c>
      <c r="C817" s="17" t="s">
        <v>19</v>
      </c>
      <c r="D817" s="17" t="s">
        <v>92</v>
      </c>
      <c r="E817" s="17" t="s">
        <v>193</v>
      </c>
      <c r="F817" s="17" t="s">
        <v>15</v>
      </c>
      <c r="G817" s="17" t="s">
        <v>94</v>
      </c>
      <c r="H817" s="17">
        <v>42565</v>
      </c>
      <c r="I817" s="17">
        <v>138080</v>
      </c>
      <c r="J817" s="17" t="s">
        <v>711</v>
      </c>
      <c r="K817" s="17" t="str">
        <f>A817&amp;B817&amp;C817&amp;D817&amp;E817&amp;F817&amp;G817&amp;H817&amp;I817&amp;J817&amp;[1]Sheet1!$G$5</f>
        <v>E0816Ovi UddinMaleMarketingMarketing ManagerFull-timeRajshahi42565138080E0716Sylhet</v>
      </c>
      <c r="L817" s="17">
        <f t="shared" si="36"/>
        <v>138080</v>
      </c>
      <c r="M817" s="17">
        <f ca="1" t="shared" si="37"/>
        <v>9</v>
      </c>
      <c r="N817" s="18" t="str">
        <f ca="1" t="shared" si="38"/>
        <v>Experienced</v>
      </c>
    </row>
    <row r="818" spans="1:14">
      <c r="A818" s="13" t="s">
        <v>1441</v>
      </c>
      <c r="B818" s="14" t="s">
        <v>1442</v>
      </c>
      <c r="C818" s="14" t="s">
        <v>12</v>
      </c>
      <c r="D818" s="14" t="s">
        <v>32</v>
      </c>
      <c r="E818" s="14" t="s">
        <v>130</v>
      </c>
      <c r="F818" s="14" t="s">
        <v>15</v>
      </c>
      <c r="G818" s="14" t="s">
        <v>62</v>
      </c>
      <c r="H818" s="14">
        <v>45055</v>
      </c>
      <c r="I818" s="14">
        <v>113462</v>
      </c>
      <c r="J818" s="14" t="s">
        <v>1259</v>
      </c>
      <c r="K818" s="14" t="str">
        <f>A818&amp;B818&amp;C818&amp;D818&amp;E818&amp;F818&amp;G818&amp;H818&amp;I818&amp;J818&amp;[1]Sheet1!$G$5</f>
        <v>E0817Mitu IslamFemaleHRRecruiterFull-timeChattogram45055113462E0664Sylhet</v>
      </c>
      <c r="L818" s="14">
        <f t="shared" si="36"/>
        <v>137438</v>
      </c>
      <c r="M818" s="14">
        <f ca="1" t="shared" si="37"/>
        <v>2</v>
      </c>
      <c r="N818" s="15" t="str">
        <f ca="1" t="shared" si="38"/>
        <v>New</v>
      </c>
    </row>
    <row r="819" spans="1:14">
      <c r="A819" s="16" t="s">
        <v>1443</v>
      </c>
      <c r="B819" s="17" t="s">
        <v>1444</v>
      </c>
      <c r="C819" s="17" t="s">
        <v>19</v>
      </c>
      <c r="D819" s="17" t="s">
        <v>13</v>
      </c>
      <c r="E819" s="17" t="s">
        <v>223</v>
      </c>
      <c r="F819" s="17" t="s">
        <v>48</v>
      </c>
      <c r="G819" s="17" t="s">
        <v>94</v>
      </c>
      <c r="H819" s="17">
        <v>43729</v>
      </c>
      <c r="I819" s="17">
        <v>197390</v>
      </c>
      <c r="J819" s="17" t="s">
        <v>295</v>
      </c>
      <c r="K819" s="17" t="str">
        <f>A819&amp;B819&amp;C819&amp;D819&amp;E819&amp;F819&amp;G819&amp;H819&amp;I819&amp;J819&amp;[1]Sheet1!$G$5</f>
        <v>E0818Nabila AnjumMaleSalesSenior Account ExecutiveContractRajshahi43729197390E0420Sylhet</v>
      </c>
      <c r="L819" s="17">
        <f t="shared" si="36"/>
        <v>138102</v>
      </c>
      <c r="M819" s="17">
        <f ca="1" t="shared" si="37"/>
        <v>6</v>
      </c>
      <c r="N819" s="18" t="str">
        <f ca="1" t="shared" si="38"/>
        <v>Experienced</v>
      </c>
    </row>
    <row r="820" spans="1:14">
      <c r="A820" s="13" t="s">
        <v>1445</v>
      </c>
      <c r="B820" s="14" t="s">
        <v>660</v>
      </c>
      <c r="C820" s="14" t="s">
        <v>12</v>
      </c>
      <c r="D820" s="14" t="s">
        <v>38</v>
      </c>
      <c r="E820" s="14" t="s">
        <v>44</v>
      </c>
      <c r="F820" s="14" t="s">
        <v>15</v>
      </c>
      <c r="G820" s="14" t="s">
        <v>40</v>
      </c>
      <c r="H820" s="14">
        <v>43489</v>
      </c>
      <c r="I820" s="14">
        <v>152107</v>
      </c>
      <c r="J820" s="14" t="s">
        <v>419</v>
      </c>
      <c r="K820" s="14" t="str">
        <f>A820&amp;B820&amp;C820&amp;D820&amp;E820&amp;F820&amp;G820&amp;H820&amp;I820&amp;J820&amp;[1]Sheet1!$G$5</f>
        <v>E0819Farhan UddinFemaleEngineeringQA EngineerFull-timeDhaka43489152107E0144Sylhet</v>
      </c>
      <c r="L820" s="14">
        <f t="shared" si="36"/>
        <v>137438</v>
      </c>
      <c r="M820" s="14">
        <f ca="1" t="shared" si="37"/>
        <v>7</v>
      </c>
      <c r="N820" s="15" t="str">
        <f ca="1" t="shared" si="38"/>
        <v>Experienced</v>
      </c>
    </row>
    <row r="821" spans="1:14">
      <c r="A821" s="16" t="s">
        <v>1446</v>
      </c>
      <c r="B821" s="17" t="s">
        <v>593</v>
      </c>
      <c r="C821" s="17" t="s">
        <v>12</v>
      </c>
      <c r="D821" s="17" t="s">
        <v>13</v>
      </c>
      <c r="E821" s="17" t="s">
        <v>165</v>
      </c>
      <c r="F821" s="17" t="s">
        <v>15</v>
      </c>
      <c r="G821" s="17" t="s">
        <v>16</v>
      </c>
      <c r="H821" s="17">
        <v>42879</v>
      </c>
      <c r="I821" s="17">
        <v>97743</v>
      </c>
      <c r="J821" s="17" t="s">
        <v>722</v>
      </c>
      <c r="K821" s="17" t="str">
        <f>A821&amp;B821&amp;C821&amp;D821&amp;E821&amp;F821&amp;G821&amp;H821&amp;I821&amp;J821&amp;[1]Sheet1!$G$5</f>
        <v>E0820Mitu UddinFemaleSalesAccount ExecutiveFull-timeKhulna4287997743E0302Sylhet</v>
      </c>
      <c r="L821" s="17">
        <f t="shared" si="36"/>
        <v>136774</v>
      </c>
      <c r="M821" s="17">
        <f ca="1" t="shared" si="37"/>
        <v>8</v>
      </c>
      <c r="N821" s="18" t="str">
        <f ca="1" t="shared" si="38"/>
        <v>Experienced</v>
      </c>
    </row>
    <row r="822" spans="1:14">
      <c r="A822" s="13" t="s">
        <v>1447</v>
      </c>
      <c r="B822" s="14" t="s">
        <v>682</v>
      </c>
      <c r="C822" s="14" t="s">
        <v>12</v>
      </c>
      <c r="D822" s="14" t="s">
        <v>52</v>
      </c>
      <c r="E822" s="14" t="s">
        <v>246</v>
      </c>
      <c r="F822" s="14" t="s">
        <v>15</v>
      </c>
      <c r="G822" s="14" t="s">
        <v>40</v>
      </c>
      <c r="H822" s="14">
        <v>45644</v>
      </c>
      <c r="I822" s="14">
        <v>134335</v>
      </c>
      <c r="J822" s="14" t="s">
        <v>761</v>
      </c>
      <c r="K822" s="14" t="str">
        <f>A822&amp;B822&amp;C822&amp;D822&amp;E822&amp;F822&amp;G822&amp;H822&amp;I822&amp;J822&amp;[1]Sheet1!$G$5</f>
        <v>E0821Ayesha MiahFemaleOperationsOperations AssociateFull-timeDhaka45644134335E0325Sylhet</v>
      </c>
      <c r="L822" s="14">
        <f t="shared" si="36"/>
        <v>137438</v>
      </c>
      <c r="M822" s="14">
        <f ca="1" t="shared" si="37"/>
        <v>1</v>
      </c>
      <c r="N822" s="15" t="str">
        <f ca="1" t="shared" si="38"/>
        <v>New</v>
      </c>
    </row>
    <row r="823" spans="1:14">
      <c r="A823" s="16" t="s">
        <v>1448</v>
      </c>
      <c r="B823" s="17" t="s">
        <v>1280</v>
      </c>
      <c r="C823" s="17" t="s">
        <v>19</v>
      </c>
      <c r="D823" s="17" t="s">
        <v>38</v>
      </c>
      <c r="E823" s="17" t="s">
        <v>77</v>
      </c>
      <c r="F823" s="17" t="s">
        <v>15</v>
      </c>
      <c r="G823" s="17" t="s">
        <v>16</v>
      </c>
      <c r="H823" s="17">
        <v>43877</v>
      </c>
      <c r="I823" s="17">
        <v>169541</v>
      </c>
      <c r="J823" s="17" t="s">
        <v>374</v>
      </c>
      <c r="K823" s="17" t="str">
        <f>A823&amp;B823&amp;C823&amp;D823&amp;E823&amp;F823&amp;G823&amp;H823&amp;I823&amp;J823&amp;[1]Sheet1!$G$5</f>
        <v>E0822Arif UddinMaleEngineeringJunior Software EngineerFull-timeKhulna43877169541E0122Sylhet</v>
      </c>
      <c r="L823" s="17">
        <f t="shared" si="36"/>
        <v>138102</v>
      </c>
      <c r="M823" s="17">
        <f ca="1" t="shared" si="37"/>
        <v>6</v>
      </c>
      <c r="N823" s="18" t="str">
        <f ca="1" t="shared" si="38"/>
        <v>Experienced</v>
      </c>
    </row>
    <row r="824" spans="1:14">
      <c r="A824" s="13" t="s">
        <v>1449</v>
      </c>
      <c r="B824" s="14" t="s">
        <v>847</v>
      </c>
      <c r="C824" s="14" t="s">
        <v>12</v>
      </c>
      <c r="D824" s="14" t="s">
        <v>13</v>
      </c>
      <c r="E824" s="14" t="s">
        <v>223</v>
      </c>
      <c r="F824" s="14" t="s">
        <v>48</v>
      </c>
      <c r="G824" s="14" t="s">
        <v>40</v>
      </c>
      <c r="H824" s="14">
        <v>44159</v>
      </c>
      <c r="I824" s="14">
        <v>138411</v>
      </c>
      <c r="J824" s="14" t="s">
        <v>379</v>
      </c>
      <c r="K824" s="14" t="str">
        <f>A824&amp;B824&amp;C824&amp;D824&amp;E824&amp;F824&amp;G824&amp;H824&amp;I824&amp;J824&amp;[1]Sheet1!$G$5</f>
        <v>E0823Tasnim AkterFemaleSalesSenior Account ExecutiveContractDhaka44159138411E0125Sylhet</v>
      </c>
      <c r="L824" s="14">
        <f t="shared" si="36"/>
        <v>137438</v>
      </c>
      <c r="M824" s="14">
        <f ca="1" t="shared" si="37"/>
        <v>5</v>
      </c>
      <c r="N824" s="15" t="str">
        <f ca="1" t="shared" si="38"/>
        <v>Mid level</v>
      </c>
    </row>
    <row r="825" spans="1:14">
      <c r="A825" s="16" t="s">
        <v>1450</v>
      </c>
      <c r="B825" s="17" t="s">
        <v>1451</v>
      </c>
      <c r="C825" s="17" t="s">
        <v>12</v>
      </c>
      <c r="D825" s="17" t="s">
        <v>13</v>
      </c>
      <c r="E825" s="17" t="s">
        <v>223</v>
      </c>
      <c r="F825" s="17" t="s">
        <v>15</v>
      </c>
      <c r="G825" s="17" t="s">
        <v>40</v>
      </c>
      <c r="H825" s="17">
        <v>44008</v>
      </c>
      <c r="I825" s="17">
        <v>233575</v>
      </c>
      <c r="J825" s="17" t="s">
        <v>212</v>
      </c>
      <c r="K825" s="17" t="str">
        <f>A825&amp;B825&amp;C825&amp;D825&amp;E825&amp;F825&amp;G825&amp;H825&amp;I825&amp;J825&amp;[1]Sheet1!$G$5</f>
        <v>E0824Noman TalukderFemaleSalesSenior Account ExecutiveFull-timeDhaka44008233575E0728Sylhet</v>
      </c>
      <c r="L825" s="17">
        <f t="shared" si="36"/>
        <v>136774</v>
      </c>
      <c r="M825" s="17">
        <f ca="1" t="shared" si="37"/>
        <v>5</v>
      </c>
      <c r="N825" s="18" t="str">
        <f ca="1" t="shared" si="38"/>
        <v>Mid level</v>
      </c>
    </row>
    <row r="826" spans="1:14">
      <c r="A826" s="13" t="s">
        <v>1452</v>
      </c>
      <c r="B826" s="14" t="s">
        <v>466</v>
      </c>
      <c r="C826" s="14" t="s">
        <v>146</v>
      </c>
      <c r="D826" s="14" t="s">
        <v>92</v>
      </c>
      <c r="E826" s="14" t="s">
        <v>93</v>
      </c>
      <c r="F826" s="14" t="s">
        <v>15</v>
      </c>
      <c r="G826" s="14" t="s">
        <v>40</v>
      </c>
      <c r="H826" s="14">
        <v>45414</v>
      </c>
      <c r="I826" s="14">
        <v>77744</v>
      </c>
      <c r="J826" s="14" t="s">
        <v>970</v>
      </c>
      <c r="K826" s="14" t="str">
        <f>A826&amp;B826&amp;C826&amp;D826&amp;E826&amp;F826&amp;G826&amp;H826&amp;I826&amp;J826&amp;[1]Sheet1!$G$5</f>
        <v>E0825Karim HasanNon-binaryMarketingGrowth MarketerFull-timeDhaka4541477744E0913Sylhet</v>
      </c>
      <c r="L826" s="14">
        <f t="shared" si="36"/>
        <v>136611</v>
      </c>
      <c r="M826" s="14">
        <f ca="1" t="shared" si="37"/>
        <v>1</v>
      </c>
      <c r="N826" s="15" t="str">
        <f ca="1" t="shared" si="38"/>
        <v>New</v>
      </c>
    </row>
    <row r="827" spans="1:14">
      <c r="A827" s="16" t="s">
        <v>1453</v>
      </c>
      <c r="B827" s="17" t="s">
        <v>913</v>
      </c>
      <c r="C827" s="17" t="s">
        <v>19</v>
      </c>
      <c r="D827" s="17" t="s">
        <v>20</v>
      </c>
      <c r="E827" s="17" t="s">
        <v>21</v>
      </c>
      <c r="F827" s="17" t="s">
        <v>15</v>
      </c>
      <c r="G827" s="17" t="s">
        <v>62</v>
      </c>
      <c r="H827" s="17">
        <v>44171</v>
      </c>
      <c r="I827" s="17">
        <v>66009</v>
      </c>
      <c r="J827" s="17" t="s">
        <v>175</v>
      </c>
      <c r="K827" s="17" t="str">
        <f>A827&amp;B827&amp;C827&amp;D827&amp;E827&amp;F827&amp;G827&amp;H827&amp;I827&amp;J827&amp;[1]Sheet1!$G$5</f>
        <v>E0826Shawon MorshedMaleCustomer SuccessSupport SpecialistFull-timeChattogram4417166009E0736Sylhet</v>
      </c>
      <c r="L827" s="17">
        <f t="shared" si="36"/>
        <v>136774</v>
      </c>
      <c r="M827" s="17">
        <f ca="1" t="shared" si="37"/>
        <v>5</v>
      </c>
      <c r="N827" s="18" t="str">
        <f ca="1" t="shared" si="38"/>
        <v>Mid level</v>
      </c>
    </row>
    <row r="828" spans="1:14">
      <c r="A828" s="13" t="s">
        <v>1454</v>
      </c>
      <c r="B828" s="14" t="s">
        <v>736</v>
      </c>
      <c r="C828" s="14" t="s">
        <v>19</v>
      </c>
      <c r="D828" s="14" t="s">
        <v>13</v>
      </c>
      <c r="E828" s="14" t="s">
        <v>14</v>
      </c>
      <c r="F828" s="14" t="s">
        <v>15</v>
      </c>
      <c r="G828" s="14" t="s">
        <v>62</v>
      </c>
      <c r="H828" s="14">
        <v>43953</v>
      </c>
      <c r="I828" s="14">
        <v>163219</v>
      </c>
      <c r="J828" s="14" t="s">
        <v>929</v>
      </c>
      <c r="K828" s="14" t="str">
        <f>A828&amp;B828&amp;C828&amp;D828&amp;E828&amp;F828&amp;G828&amp;H828&amp;I828&amp;J828&amp;[1]Sheet1!$G$5</f>
        <v>E0827Rafi JahanMaleSalesSales AssociateFull-timeChattogram43953163219E0545Sylhet</v>
      </c>
      <c r="L828" s="14">
        <f t="shared" si="36"/>
        <v>137438</v>
      </c>
      <c r="M828" s="14">
        <f ca="1" t="shared" si="37"/>
        <v>5</v>
      </c>
      <c r="N828" s="15" t="str">
        <f ca="1" t="shared" si="38"/>
        <v>Mid level</v>
      </c>
    </row>
    <row r="829" spans="1:14">
      <c r="A829" s="16" t="s">
        <v>341</v>
      </c>
      <c r="B829" s="17" t="s">
        <v>1455</v>
      </c>
      <c r="C829" s="17" t="s">
        <v>19</v>
      </c>
      <c r="D829" s="17" t="s">
        <v>13</v>
      </c>
      <c r="E829" s="17" t="s">
        <v>98</v>
      </c>
      <c r="F829" s="17" t="s">
        <v>15</v>
      </c>
      <c r="G829" s="17" t="s">
        <v>62</v>
      </c>
      <c r="H829" s="17">
        <v>43758</v>
      </c>
      <c r="I829" s="17">
        <v>222625</v>
      </c>
      <c r="J829" s="17" t="s">
        <v>957</v>
      </c>
      <c r="K829" s="17" t="str">
        <f>A829&amp;B829&amp;C829&amp;D829&amp;E829&amp;F829&amp;G829&amp;H829&amp;I829&amp;J829&amp;[1]Sheet1!$G$5</f>
        <v>E0828Farhan RanaMaleSalesSales ManagerFull-timeChattogram43758222625E0441Sylhet</v>
      </c>
      <c r="L829" s="17">
        <f t="shared" si="36"/>
        <v>136774</v>
      </c>
      <c r="M829" s="17">
        <f ca="1" t="shared" si="37"/>
        <v>6</v>
      </c>
      <c r="N829" s="18" t="str">
        <f ca="1" t="shared" si="38"/>
        <v>Experienced</v>
      </c>
    </row>
    <row r="830" spans="1:14">
      <c r="A830" s="13" t="s">
        <v>1456</v>
      </c>
      <c r="B830" s="14" t="s">
        <v>340</v>
      </c>
      <c r="C830" s="14" t="s">
        <v>12</v>
      </c>
      <c r="D830" s="14" t="s">
        <v>26</v>
      </c>
      <c r="E830" s="14" t="s">
        <v>294</v>
      </c>
      <c r="F830" s="14" t="s">
        <v>15</v>
      </c>
      <c r="G830" s="14" t="s">
        <v>94</v>
      </c>
      <c r="H830" s="14">
        <v>43135</v>
      </c>
      <c r="I830" s="14">
        <v>286329</v>
      </c>
      <c r="J830" s="14" t="s">
        <v>341</v>
      </c>
      <c r="K830" s="14" t="str">
        <f>A830&amp;B830&amp;C830&amp;D830&amp;E830&amp;F830&amp;G830&amp;H830&amp;I830&amp;J830&amp;[1]Sheet1!$G$5</f>
        <v>E0829Rafi MiahFemaleFinanceSenior Financial AnalystFull-timeRajshahi43135286329E0828Sylhet</v>
      </c>
      <c r="L830" s="14">
        <f t="shared" si="36"/>
        <v>136611</v>
      </c>
      <c r="M830" s="14">
        <f ca="1" t="shared" si="37"/>
        <v>8</v>
      </c>
      <c r="N830" s="15" t="str">
        <f ca="1" t="shared" si="38"/>
        <v>Experienced</v>
      </c>
    </row>
    <row r="831" spans="1:14">
      <c r="A831" s="16" t="s">
        <v>1457</v>
      </c>
      <c r="B831" s="17" t="s">
        <v>717</v>
      </c>
      <c r="C831" s="17" t="s">
        <v>12</v>
      </c>
      <c r="D831" s="17" t="s">
        <v>13</v>
      </c>
      <c r="E831" s="17" t="s">
        <v>165</v>
      </c>
      <c r="F831" s="17" t="s">
        <v>48</v>
      </c>
      <c r="G831" s="17" t="s">
        <v>62</v>
      </c>
      <c r="H831" s="17">
        <v>44402</v>
      </c>
      <c r="I831" s="17">
        <v>73250</v>
      </c>
      <c r="J831" s="17" t="s">
        <v>813</v>
      </c>
      <c r="K831" s="17" t="str">
        <f>A831&amp;B831&amp;C831&amp;D831&amp;E831&amp;F831&amp;G831&amp;H831&amp;I831&amp;J831&amp;[1]Sheet1!$G$5</f>
        <v>E0830Sumaiya RanaFemaleSalesAccount ExecutiveContractChattogram4440273250E0991Sylhet</v>
      </c>
      <c r="L831" s="17">
        <f t="shared" si="36"/>
        <v>136448</v>
      </c>
      <c r="M831" s="17">
        <f ca="1" t="shared" si="37"/>
        <v>4</v>
      </c>
      <c r="N831" s="18" t="str">
        <f ca="1" t="shared" si="38"/>
        <v>Mid level</v>
      </c>
    </row>
    <row r="832" spans="1:14">
      <c r="A832" s="13" t="s">
        <v>240</v>
      </c>
      <c r="B832" s="14" t="s">
        <v>913</v>
      </c>
      <c r="C832" s="14" t="s">
        <v>12</v>
      </c>
      <c r="D832" s="14" t="s">
        <v>87</v>
      </c>
      <c r="E832" s="14" t="s">
        <v>111</v>
      </c>
      <c r="F832" s="14" t="s">
        <v>15</v>
      </c>
      <c r="G832" s="14" t="s">
        <v>16</v>
      </c>
      <c r="H832" s="14">
        <v>45204</v>
      </c>
      <c r="I832" s="14">
        <v>261849</v>
      </c>
      <c r="J832" s="14" t="s">
        <v>376</v>
      </c>
      <c r="K832" s="14" t="str">
        <f>A832&amp;B832&amp;C832&amp;D832&amp;E832&amp;F832&amp;G832&amp;H832&amp;I832&amp;J832&amp;[1]Sheet1!$G$5</f>
        <v>E0831Shawon MorshedFemaleProductSenior Product ManagerFull-timeKhulna45204261849E0150Sylhet</v>
      </c>
      <c r="L832" s="14">
        <f t="shared" si="36"/>
        <v>136611</v>
      </c>
      <c r="M832" s="14">
        <f ca="1" t="shared" si="37"/>
        <v>2</v>
      </c>
      <c r="N832" s="15" t="str">
        <f ca="1" t="shared" si="38"/>
        <v>New</v>
      </c>
    </row>
    <row r="833" spans="1:14">
      <c r="A833" s="16" t="s">
        <v>1458</v>
      </c>
      <c r="B833" s="17" t="s">
        <v>1459</v>
      </c>
      <c r="C833" s="17" t="s">
        <v>19</v>
      </c>
      <c r="D833" s="17" t="s">
        <v>13</v>
      </c>
      <c r="E833" s="17" t="s">
        <v>223</v>
      </c>
      <c r="F833" s="17" t="s">
        <v>15</v>
      </c>
      <c r="G833" s="17" t="s">
        <v>62</v>
      </c>
      <c r="H833" s="17">
        <v>44407</v>
      </c>
      <c r="I833" s="17">
        <v>199928</v>
      </c>
      <c r="J833" s="17" t="s">
        <v>386</v>
      </c>
      <c r="K833" s="17" t="str">
        <f>A833&amp;B833&amp;C833&amp;D833&amp;E833&amp;F833&amp;G833&amp;H833&amp;I833&amp;J833&amp;[1]Sheet1!$G$5</f>
        <v>E0832Farhan JahanMaleSalesSenior Account ExecutiveFull-timeChattogram44407199928E0585Sylhet</v>
      </c>
      <c r="L833" s="17">
        <f t="shared" si="36"/>
        <v>136448</v>
      </c>
      <c r="M833" s="17">
        <f ca="1" t="shared" si="37"/>
        <v>4</v>
      </c>
      <c r="N833" s="18" t="str">
        <f ca="1" t="shared" si="38"/>
        <v>Mid level</v>
      </c>
    </row>
    <row r="834" spans="1:14">
      <c r="A834" s="13" t="s">
        <v>1460</v>
      </c>
      <c r="B834" s="14" t="s">
        <v>1173</v>
      </c>
      <c r="C834" s="14" t="s">
        <v>19</v>
      </c>
      <c r="D834" s="14" t="s">
        <v>38</v>
      </c>
      <c r="E834" s="14" t="s">
        <v>140</v>
      </c>
      <c r="F834" s="14" t="s">
        <v>15</v>
      </c>
      <c r="G834" s="14" t="s">
        <v>40</v>
      </c>
      <c r="H834" s="14">
        <v>43874</v>
      </c>
      <c r="I834" s="14">
        <v>292571</v>
      </c>
      <c r="J834" s="14" t="s">
        <v>640</v>
      </c>
      <c r="K834" s="14" t="str">
        <f>A834&amp;B834&amp;C834&amp;D834&amp;E834&amp;F834&amp;G834&amp;H834&amp;I834&amp;J834&amp;[1]Sheet1!$G$5</f>
        <v>E0833Tamanna KabirMaleEngineeringSenior Software EngineerFull-timeDhaka43874292571E0762Sylhet</v>
      </c>
      <c r="L834" s="14">
        <f t="shared" si="36"/>
        <v>134276</v>
      </c>
      <c r="M834" s="14">
        <f ca="1" t="shared" si="37"/>
        <v>6</v>
      </c>
      <c r="N834" s="15" t="str">
        <f ca="1" t="shared" si="38"/>
        <v>Experienced</v>
      </c>
    </row>
    <row r="835" spans="1:14">
      <c r="A835" s="16" t="s">
        <v>1461</v>
      </c>
      <c r="B835" s="17" t="s">
        <v>1462</v>
      </c>
      <c r="C835" s="17" t="s">
        <v>19</v>
      </c>
      <c r="D835" s="17" t="s">
        <v>38</v>
      </c>
      <c r="E835" s="17" t="s">
        <v>44</v>
      </c>
      <c r="F835" s="17" t="s">
        <v>15</v>
      </c>
      <c r="G835" s="17" t="s">
        <v>34</v>
      </c>
      <c r="H835" s="17">
        <v>45635</v>
      </c>
      <c r="I835" s="17">
        <v>118097</v>
      </c>
      <c r="J835" s="17" t="s">
        <v>285</v>
      </c>
      <c r="K835" s="17" t="str">
        <f>A835&amp;B835&amp;C835&amp;D835&amp;E835&amp;F835&amp;G835&amp;H835&amp;I835&amp;J835&amp;[1]Sheet1!$G$5</f>
        <v>E0834Shafiq FerdousMaleEngineeringQA EngineerFull-timeSylhet45635118097E0310Sylhet</v>
      </c>
      <c r="L835" s="17">
        <f t="shared" ref="L835:L898" si="39">MEDIAN(I835:I1834)</f>
        <v>132104</v>
      </c>
      <c r="M835" s="17">
        <f ca="1" t="shared" ref="M835:M898" si="40">DATEDIF(H835,TODAY(),"Y")</f>
        <v>1</v>
      </c>
      <c r="N835" s="18" t="str">
        <f ca="1" t="shared" ref="N835:N898" si="41">IF(M835&lt;=2,"New",IF(M835&lt;=5,"Mid level",IF(M835&lt;=10,"Experienced","Long term")))</f>
        <v>New</v>
      </c>
    </row>
    <row r="836" spans="1:14">
      <c r="A836" s="13" t="s">
        <v>1463</v>
      </c>
      <c r="B836" s="14" t="s">
        <v>1464</v>
      </c>
      <c r="C836" s="14" t="s">
        <v>12</v>
      </c>
      <c r="D836" s="14" t="s">
        <v>92</v>
      </c>
      <c r="E836" s="14" t="s">
        <v>126</v>
      </c>
      <c r="F836" s="14" t="s">
        <v>15</v>
      </c>
      <c r="G836" s="14" t="s">
        <v>62</v>
      </c>
      <c r="H836" s="14">
        <v>44496</v>
      </c>
      <c r="I836" s="14">
        <v>162297</v>
      </c>
      <c r="J836" s="14" t="s">
        <v>172</v>
      </c>
      <c r="K836" s="14" t="str">
        <f>A836&amp;B836&amp;C836&amp;D836&amp;E836&amp;F836&amp;G836&amp;H836&amp;I836&amp;J836&amp;[1]Sheet1!$G$5</f>
        <v>E0835Sajid SultanaFemaleMarketingSEO SpecialistFull-timeChattogram44496162297E0141Sylhet</v>
      </c>
      <c r="L836" s="14">
        <f t="shared" si="39"/>
        <v>134276</v>
      </c>
      <c r="M836" s="14">
        <f ca="1" t="shared" si="40"/>
        <v>4</v>
      </c>
      <c r="N836" s="15" t="str">
        <f ca="1" t="shared" si="41"/>
        <v>Mid level</v>
      </c>
    </row>
    <row r="837" spans="1:14">
      <c r="A837" s="16" t="s">
        <v>1465</v>
      </c>
      <c r="B837" s="17" t="s">
        <v>47</v>
      </c>
      <c r="C837" s="17" t="s">
        <v>19</v>
      </c>
      <c r="D837" s="17" t="s">
        <v>13</v>
      </c>
      <c r="E837" s="17" t="s">
        <v>223</v>
      </c>
      <c r="F837" s="17" t="s">
        <v>15</v>
      </c>
      <c r="G837" s="17" t="s">
        <v>28</v>
      </c>
      <c r="H837" s="17">
        <v>43462</v>
      </c>
      <c r="I837" s="17">
        <v>139606</v>
      </c>
      <c r="J837" s="17" t="s">
        <v>911</v>
      </c>
      <c r="K837" s="17" t="str">
        <f>A837&amp;B837&amp;C837&amp;D837&amp;E837&amp;F837&amp;G837&amp;H837&amp;I837&amp;J837&amp;[1]Sheet1!$G$5</f>
        <v>E0836Karim IslamMaleSalesSenior Account ExecutiveFull-timeRemote43462139606E0812Sylhet</v>
      </c>
      <c r="L837" s="17">
        <f t="shared" si="39"/>
        <v>132104</v>
      </c>
      <c r="M837" s="17">
        <f ca="1" t="shared" si="40"/>
        <v>7</v>
      </c>
      <c r="N837" s="18" t="str">
        <f ca="1" t="shared" si="41"/>
        <v>Experienced</v>
      </c>
    </row>
    <row r="838" spans="1:14">
      <c r="A838" s="13" t="s">
        <v>1466</v>
      </c>
      <c r="B838" s="14" t="s">
        <v>962</v>
      </c>
      <c r="C838" s="14" t="s">
        <v>12</v>
      </c>
      <c r="D838" s="14" t="s">
        <v>20</v>
      </c>
      <c r="E838" s="14" t="s">
        <v>147</v>
      </c>
      <c r="F838" s="14" t="s">
        <v>15</v>
      </c>
      <c r="G838" s="14" t="s">
        <v>62</v>
      </c>
      <c r="H838" s="14">
        <v>45651</v>
      </c>
      <c r="I838" s="14">
        <v>112331</v>
      </c>
      <c r="J838" s="14" t="s">
        <v>456</v>
      </c>
      <c r="K838" s="14" t="str">
        <f>A838&amp;B838&amp;C838&amp;D838&amp;E838&amp;F838&amp;G838&amp;H838&amp;I838&amp;J838&amp;[1]Sheet1!$G$5</f>
        <v>E0837Fahim MiahFemaleCustomer SuccessSupport AssociateFull-timeChattogram45651112331E0416Sylhet</v>
      </c>
      <c r="L838" s="14">
        <f t="shared" si="39"/>
        <v>132031</v>
      </c>
      <c r="M838" s="14">
        <f ca="1" t="shared" si="40"/>
        <v>1</v>
      </c>
      <c r="N838" s="15" t="str">
        <f ca="1" t="shared" si="41"/>
        <v>New</v>
      </c>
    </row>
    <row r="839" spans="1:14">
      <c r="A839" s="16" t="s">
        <v>1467</v>
      </c>
      <c r="B839" s="17" t="s">
        <v>600</v>
      </c>
      <c r="C839" s="17" t="s">
        <v>19</v>
      </c>
      <c r="D839" s="17" t="s">
        <v>13</v>
      </c>
      <c r="E839" s="17" t="s">
        <v>165</v>
      </c>
      <c r="F839" s="17" t="s">
        <v>15</v>
      </c>
      <c r="G839" s="17" t="s">
        <v>40</v>
      </c>
      <c r="H839" s="17">
        <v>42708</v>
      </c>
      <c r="I839" s="17">
        <v>124819</v>
      </c>
      <c r="J839" s="17" t="s">
        <v>668</v>
      </c>
      <c r="K839" s="17" t="str">
        <f>A839&amp;B839&amp;C839&amp;D839&amp;E839&amp;F839&amp;G839&amp;H839&amp;I839&amp;J839&amp;[1]Sheet1!$G$5</f>
        <v>E0838Jannat AnjumMaleSalesAccount ExecutiveFull-timeDhaka42708124819E0273Sylhet</v>
      </c>
      <c r="L839" s="17">
        <f t="shared" si="39"/>
        <v>132104</v>
      </c>
      <c r="M839" s="17">
        <f ca="1" t="shared" si="40"/>
        <v>9</v>
      </c>
      <c r="N839" s="18" t="str">
        <f ca="1" t="shared" si="41"/>
        <v>Experienced</v>
      </c>
    </row>
    <row r="840" spans="1:14">
      <c r="A840" s="13" t="s">
        <v>224</v>
      </c>
      <c r="B840" s="14" t="s">
        <v>1468</v>
      </c>
      <c r="C840" s="14" t="s">
        <v>19</v>
      </c>
      <c r="D840" s="14" t="s">
        <v>92</v>
      </c>
      <c r="E840" s="14" t="s">
        <v>193</v>
      </c>
      <c r="F840" s="14" t="s">
        <v>15</v>
      </c>
      <c r="G840" s="14" t="s">
        <v>16</v>
      </c>
      <c r="H840" s="14">
        <v>45348</v>
      </c>
      <c r="I840" s="14">
        <v>164021</v>
      </c>
      <c r="J840" s="14" t="s">
        <v>1036</v>
      </c>
      <c r="K840" s="14" t="str">
        <f>A840&amp;B840&amp;C840&amp;D840&amp;E840&amp;F840&amp;G840&amp;H840&amp;I840&amp;J840&amp;[1]Sheet1!$G$5</f>
        <v>E0839Mahin BiswasMaleMarketingMarketing ManagerFull-timeKhulna45348164021E0997Sylhet</v>
      </c>
      <c r="L840" s="14">
        <f t="shared" si="39"/>
        <v>134276</v>
      </c>
      <c r="M840" s="14">
        <f ca="1" t="shared" si="40"/>
        <v>2</v>
      </c>
      <c r="N840" s="15" t="str">
        <f ca="1" t="shared" si="41"/>
        <v>New</v>
      </c>
    </row>
    <row r="841" spans="1:14">
      <c r="A841" s="16" t="s">
        <v>1469</v>
      </c>
      <c r="B841" s="17" t="s">
        <v>324</v>
      </c>
      <c r="C841" s="17" t="s">
        <v>12</v>
      </c>
      <c r="D841" s="17" t="s">
        <v>32</v>
      </c>
      <c r="E841" s="17" t="s">
        <v>57</v>
      </c>
      <c r="F841" s="17" t="s">
        <v>15</v>
      </c>
      <c r="G841" s="17" t="s">
        <v>28</v>
      </c>
      <c r="H841" s="17">
        <v>44108</v>
      </c>
      <c r="I841" s="17">
        <v>87187</v>
      </c>
      <c r="J841" s="17" t="s">
        <v>1018</v>
      </c>
      <c r="K841" s="17" t="str">
        <f>A841&amp;B841&amp;C841&amp;D841&amp;E841&amp;F841&amp;G841&amp;H841&amp;I841&amp;J841&amp;[1]Sheet1!$G$5</f>
        <v>E0840Karim ShahFemaleHRHR AssociateFull-timeRemote4410887187E0670Sylhet</v>
      </c>
      <c r="L841" s="17">
        <f t="shared" si="39"/>
        <v>132104</v>
      </c>
      <c r="M841" s="17">
        <f ca="1" t="shared" si="40"/>
        <v>5</v>
      </c>
      <c r="N841" s="18" t="str">
        <f ca="1" t="shared" si="41"/>
        <v>Mid level</v>
      </c>
    </row>
    <row r="842" spans="1:14">
      <c r="A842" s="13" t="s">
        <v>1470</v>
      </c>
      <c r="B842" s="14" t="s">
        <v>801</v>
      </c>
      <c r="C842" s="14" t="s">
        <v>19</v>
      </c>
      <c r="D842" s="14" t="s">
        <v>38</v>
      </c>
      <c r="E842" s="14" t="s">
        <v>66</v>
      </c>
      <c r="F842" s="14" t="s">
        <v>15</v>
      </c>
      <c r="G842" s="14" t="s">
        <v>28</v>
      </c>
      <c r="H842" s="14">
        <v>42693</v>
      </c>
      <c r="I842" s="14">
        <v>176530</v>
      </c>
      <c r="J842" s="14" t="s">
        <v>604</v>
      </c>
      <c r="K842" s="14" t="str">
        <f>A842&amp;B842&amp;C842&amp;D842&amp;E842&amp;F842&amp;G842&amp;H842&amp;I842&amp;J842&amp;[1]Sheet1!$G$5</f>
        <v>E0841Sajid SadiqMaleEngineeringSoftware EngineerFull-timeRemote42693176530E0243Sylhet</v>
      </c>
      <c r="L842" s="14">
        <f t="shared" si="39"/>
        <v>134276</v>
      </c>
      <c r="M842" s="14">
        <f ca="1" t="shared" si="40"/>
        <v>9</v>
      </c>
      <c r="N842" s="15" t="str">
        <f ca="1" t="shared" si="41"/>
        <v>Experienced</v>
      </c>
    </row>
    <row r="843" spans="1:14">
      <c r="A843" s="16" t="s">
        <v>1471</v>
      </c>
      <c r="B843" s="17" t="s">
        <v>414</v>
      </c>
      <c r="C843" s="17" t="s">
        <v>12</v>
      </c>
      <c r="D843" s="17" t="s">
        <v>32</v>
      </c>
      <c r="E843" s="17" t="s">
        <v>130</v>
      </c>
      <c r="F843" s="17" t="s">
        <v>15</v>
      </c>
      <c r="G843" s="17" t="s">
        <v>16</v>
      </c>
      <c r="H843" s="17">
        <v>44133</v>
      </c>
      <c r="I843" s="17">
        <v>68510</v>
      </c>
      <c r="J843" s="17" t="s">
        <v>288</v>
      </c>
      <c r="K843" s="17" t="str">
        <f>A843&amp;B843&amp;C843&amp;D843&amp;E843&amp;F843&amp;G843&amp;H843&amp;I843&amp;J843&amp;[1]Sheet1!$G$5</f>
        <v>E0842Mitu HossainFemaleHRRecruiterFull-timeKhulna4413368510E0172Sylhet</v>
      </c>
      <c r="L843" s="17">
        <f t="shared" si="39"/>
        <v>132104</v>
      </c>
      <c r="M843" s="17">
        <f ca="1" t="shared" si="40"/>
        <v>5</v>
      </c>
      <c r="N843" s="18" t="str">
        <f ca="1" t="shared" si="41"/>
        <v>Mid level</v>
      </c>
    </row>
    <row r="844" spans="1:14">
      <c r="A844" s="13" t="s">
        <v>1472</v>
      </c>
      <c r="B844" s="14" t="s">
        <v>1473</v>
      </c>
      <c r="C844" s="14" t="s">
        <v>12</v>
      </c>
      <c r="D844" s="14" t="s">
        <v>38</v>
      </c>
      <c r="E844" s="14" t="s">
        <v>66</v>
      </c>
      <c r="F844" s="14" t="s">
        <v>15</v>
      </c>
      <c r="G844" s="14" t="s">
        <v>40</v>
      </c>
      <c r="H844" s="14">
        <v>44837</v>
      </c>
      <c r="I844" s="14">
        <v>221794</v>
      </c>
      <c r="J844" s="14" t="s">
        <v>468</v>
      </c>
      <c r="K844" s="14" t="str">
        <f>A844&amp;B844&amp;C844&amp;D844&amp;E844&amp;F844&amp;G844&amp;H844&amp;I844&amp;J844&amp;[1]Sheet1!$G$5</f>
        <v>E0843Ayesha KabirFemaleEngineeringSoftware EngineerFull-timeDhaka44837221794E0167Sylhet</v>
      </c>
      <c r="L844" s="14">
        <f t="shared" si="39"/>
        <v>134276</v>
      </c>
      <c r="M844" s="14">
        <f ca="1" t="shared" si="40"/>
        <v>3</v>
      </c>
      <c r="N844" s="15" t="str">
        <f ca="1" t="shared" si="41"/>
        <v>Mid level</v>
      </c>
    </row>
    <row r="845" spans="1:14">
      <c r="A845" s="16" t="s">
        <v>1474</v>
      </c>
      <c r="B845" s="17" t="s">
        <v>1475</v>
      </c>
      <c r="C845" s="17" t="s">
        <v>12</v>
      </c>
      <c r="D845" s="17" t="s">
        <v>20</v>
      </c>
      <c r="E845" s="17" t="s">
        <v>21</v>
      </c>
      <c r="F845" s="17" t="s">
        <v>15</v>
      </c>
      <c r="G845" s="17" t="s">
        <v>40</v>
      </c>
      <c r="H845" s="17">
        <v>45738</v>
      </c>
      <c r="I845" s="17">
        <v>50021</v>
      </c>
      <c r="J845" s="17"/>
      <c r="K845" s="17" t="str">
        <f>A845&amp;B845&amp;C845&amp;D845&amp;E845&amp;F845&amp;G845&amp;H845&amp;I845&amp;J845&amp;[1]Sheet1!$G$5</f>
        <v>E0844Nafiz ShahFemaleCustomer SuccessSupport SpecialistFull-timeDhaka4573850021Sylhet</v>
      </c>
      <c r="L845" s="17">
        <f t="shared" si="39"/>
        <v>132104</v>
      </c>
      <c r="M845" s="17">
        <f ca="1" t="shared" si="40"/>
        <v>0</v>
      </c>
      <c r="N845" s="18" t="str">
        <f ca="1" t="shared" si="41"/>
        <v>New</v>
      </c>
    </row>
    <row r="846" spans="1:14">
      <c r="A846" s="13" t="s">
        <v>773</v>
      </c>
      <c r="B846" s="14" t="s">
        <v>101</v>
      </c>
      <c r="C846" s="14" t="s">
        <v>12</v>
      </c>
      <c r="D846" s="14" t="s">
        <v>38</v>
      </c>
      <c r="E846" s="14" t="s">
        <v>84</v>
      </c>
      <c r="F846" s="14" t="s">
        <v>15</v>
      </c>
      <c r="G846" s="14" t="s">
        <v>94</v>
      </c>
      <c r="H846" s="14">
        <v>43109</v>
      </c>
      <c r="I846" s="14">
        <v>192891</v>
      </c>
      <c r="J846" s="14" t="s">
        <v>464</v>
      </c>
      <c r="K846" s="14" t="str">
        <f>A846&amp;B846&amp;C846&amp;D846&amp;E846&amp;F846&amp;G846&amp;H846&amp;I846&amp;J846&amp;[1]Sheet1!$G$5</f>
        <v>E0845Imran KabirFemaleEngineeringEngineering ManagerFull-timeRajshahi43109192891E0656Sylhet</v>
      </c>
      <c r="L846" s="14">
        <f t="shared" si="39"/>
        <v>134276</v>
      </c>
      <c r="M846" s="14">
        <f ca="1" t="shared" si="40"/>
        <v>8</v>
      </c>
      <c r="N846" s="15" t="str">
        <f ca="1" t="shared" si="41"/>
        <v>Experienced</v>
      </c>
    </row>
    <row r="847" spans="1:14">
      <c r="A847" s="16" t="s">
        <v>1476</v>
      </c>
      <c r="B847" s="17" t="s">
        <v>1477</v>
      </c>
      <c r="C847" s="17" t="s">
        <v>12</v>
      </c>
      <c r="D847" s="17" t="s">
        <v>13</v>
      </c>
      <c r="E847" s="17" t="s">
        <v>14</v>
      </c>
      <c r="F847" s="17" t="s">
        <v>15</v>
      </c>
      <c r="G847" s="17" t="s">
        <v>16</v>
      </c>
      <c r="H847" s="17">
        <v>44604</v>
      </c>
      <c r="I847" s="17">
        <v>91390</v>
      </c>
      <c r="J847" s="17" t="s">
        <v>574</v>
      </c>
      <c r="K847" s="17" t="str">
        <f>A847&amp;B847&amp;C847&amp;D847&amp;E847&amp;F847&amp;G847&amp;H847&amp;I847&amp;J847&amp;[1]Sheet1!$G$5</f>
        <v>E0846Sumaiya TalukderFemaleSalesSales AssociateFull-timeKhulna4460491390E0602Sylhet</v>
      </c>
      <c r="L847" s="17">
        <f t="shared" si="39"/>
        <v>132104</v>
      </c>
      <c r="M847" s="17">
        <f ca="1" t="shared" si="40"/>
        <v>4</v>
      </c>
      <c r="N847" s="18" t="str">
        <f ca="1" t="shared" si="41"/>
        <v>Mid level</v>
      </c>
    </row>
    <row r="848" spans="1:14">
      <c r="A848" s="13" t="s">
        <v>1478</v>
      </c>
      <c r="B848" s="14" t="s">
        <v>893</v>
      </c>
      <c r="C848" s="14" t="s">
        <v>19</v>
      </c>
      <c r="D848" s="14" t="s">
        <v>38</v>
      </c>
      <c r="E848" s="14" t="s">
        <v>77</v>
      </c>
      <c r="F848" s="14" t="s">
        <v>15</v>
      </c>
      <c r="G848" s="14" t="s">
        <v>40</v>
      </c>
      <c r="H848" s="14">
        <v>43573</v>
      </c>
      <c r="I848" s="14">
        <v>171843</v>
      </c>
      <c r="J848" s="14" t="s">
        <v>1077</v>
      </c>
      <c r="K848" s="14" t="str">
        <f>A848&amp;B848&amp;C848&amp;D848&amp;E848&amp;F848&amp;G848&amp;H848&amp;I848&amp;J848&amp;[1]Sheet1!$G$5</f>
        <v>E0847Rafi SharminMaleEngineeringJunior Software EngineerFull-timeDhaka43573171843E0640Sylhet</v>
      </c>
      <c r="L848" s="14">
        <f t="shared" si="39"/>
        <v>134276</v>
      </c>
      <c r="M848" s="14">
        <f ca="1" t="shared" si="40"/>
        <v>6</v>
      </c>
      <c r="N848" s="15" t="str">
        <f ca="1" t="shared" si="41"/>
        <v>Experienced</v>
      </c>
    </row>
    <row r="849" spans="1:14">
      <c r="A849" s="16" t="s">
        <v>1479</v>
      </c>
      <c r="B849" s="17" t="s">
        <v>801</v>
      </c>
      <c r="C849" s="17" t="s">
        <v>19</v>
      </c>
      <c r="D849" s="17" t="s">
        <v>20</v>
      </c>
      <c r="E849" s="17" t="s">
        <v>147</v>
      </c>
      <c r="F849" s="17" t="s">
        <v>15</v>
      </c>
      <c r="G849" s="17" t="s">
        <v>62</v>
      </c>
      <c r="H849" s="17">
        <v>43685</v>
      </c>
      <c r="I849" s="17">
        <v>109974</v>
      </c>
      <c r="J849" s="17" t="s">
        <v>212</v>
      </c>
      <c r="K849" s="17" t="str">
        <f>A849&amp;B849&amp;C849&amp;D849&amp;E849&amp;F849&amp;G849&amp;H849&amp;I849&amp;J849&amp;[1]Sheet1!$G$5</f>
        <v>E0848Sajid SadiqMaleCustomer SuccessSupport AssociateFull-timeChattogram43685109974E0728Sylhet</v>
      </c>
      <c r="L849" s="17">
        <f t="shared" si="39"/>
        <v>132104</v>
      </c>
      <c r="M849" s="17">
        <f ca="1" t="shared" si="40"/>
        <v>6</v>
      </c>
      <c r="N849" s="18" t="str">
        <f ca="1" t="shared" si="41"/>
        <v>Experienced</v>
      </c>
    </row>
    <row r="850" spans="1:14">
      <c r="A850" s="13" t="s">
        <v>166</v>
      </c>
      <c r="B850" s="14" t="s">
        <v>1480</v>
      </c>
      <c r="C850" s="14" t="s">
        <v>12</v>
      </c>
      <c r="D850" s="14" t="s">
        <v>92</v>
      </c>
      <c r="E850" s="14" t="s">
        <v>193</v>
      </c>
      <c r="F850" s="14" t="s">
        <v>15</v>
      </c>
      <c r="G850" s="14" t="s">
        <v>62</v>
      </c>
      <c r="H850" s="14">
        <v>42790</v>
      </c>
      <c r="I850" s="14">
        <v>115083</v>
      </c>
      <c r="J850" s="14"/>
      <c r="K850" s="14" t="str">
        <f>A850&amp;B850&amp;C850&amp;D850&amp;E850&amp;F850&amp;G850&amp;H850&amp;I850&amp;J850&amp;[1]Sheet1!$G$5</f>
        <v>E0849Zahid IslamFemaleMarketingMarketing ManagerFull-timeChattogram42790115083Sylhet</v>
      </c>
      <c r="L850" s="14">
        <f t="shared" si="39"/>
        <v>134276</v>
      </c>
      <c r="M850" s="14">
        <f ca="1" t="shared" si="40"/>
        <v>9</v>
      </c>
      <c r="N850" s="15" t="str">
        <f ca="1" t="shared" si="41"/>
        <v>Experienced</v>
      </c>
    </row>
    <row r="851" spans="1:14">
      <c r="A851" s="16" t="s">
        <v>1481</v>
      </c>
      <c r="B851" s="17" t="s">
        <v>958</v>
      </c>
      <c r="C851" s="17" t="s">
        <v>12</v>
      </c>
      <c r="D851" s="17" t="s">
        <v>32</v>
      </c>
      <c r="E851" s="17" t="s">
        <v>33</v>
      </c>
      <c r="F851" s="17" t="s">
        <v>22</v>
      </c>
      <c r="G851" s="17" t="s">
        <v>28</v>
      </c>
      <c r="H851" s="17">
        <v>42697</v>
      </c>
      <c r="I851" s="17">
        <v>57385</v>
      </c>
      <c r="J851" s="17"/>
      <c r="K851" s="17" t="str">
        <f>A851&amp;B851&amp;C851&amp;D851&amp;E851&amp;F851&amp;G851&amp;H851&amp;I851&amp;J851&amp;[1]Sheet1!$G$5</f>
        <v>E0850Fahim ChowdhuryFemaleHRHR Business PartnerInternRemote4269757385Sylhet</v>
      </c>
      <c r="L851" s="17">
        <f t="shared" si="39"/>
        <v>136448</v>
      </c>
      <c r="M851" s="17">
        <f ca="1" t="shared" si="40"/>
        <v>9</v>
      </c>
      <c r="N851" s="18" t="str">
        <f ca="1" t="shared" si="41"/>
        <v>Experienced</v>
      </c>
    </row>
    <row r="852" spans="1:14">
      <c r="A852" s="13" t="s">
        <v>1482</v>
      </c>
      <c r="B852" s="14" t="s">
        <v>1483</v>
      </c>
      <c r="C852" s="14" t="s">
        <v>12</v>
      </c>
      <c r="D852" s="14" t="s">
        <v>38</v>
      </c>
      <c r="E852" s="14" t="s">
        <v>66</v>
      </c>
      <c r="F852" s="14" t="s">
        <v>15</v>
      </c>
      <c r="G852" s="14" t="s">
        <v>62</v>
      </c>
      <c r="H852" s="14">
        <v>43713</v>
      </c>
      <c r="I852" s="14">
        <v>206117</v>
      </c>
      <c r="J852" s="14" t="s">
        <v>81</v>
      </c>
      <c r="K852" s="14" t="str">
        <f>A852&amp;B852&amp;C852&amp;D852&amp;E852&amp;F852&amp;G852&amp;H852&amp;I852&amp;J852&amp;[1]Sheet1!$G$5</f>
        <v>E0851Esha MahmudFemaleEngineeringSoftware EngineerFull-timeChattogram43713206117E0123Sylhet</v>
      </c>
      <c r="L852" s="14">
        <f t="shared" si="39"/>
        <v>136611</v>
      </c>
      <c r="M852" s="14">
        <f ca="1" t="shared" si="40"/>
        <v>6</v>
      </c>
      <c r="N852" s="15" t="str">
        <f ca="1" t="shared" si="41"/>
        <v>Experienced</v>
      </c>
    </row>
    <row r="853" spans="1:14">
      <c r="A853" s="16" t="s">
        <v>621</v>
      </c>
      <c r="B853" s="17" t="s">
        <v>401</v>
      </c>
      <c r="C853" s="17" t="s">
        <v>19</v>
      </c>
      <c r="D853" s="17" t="s">
        <v>26</v>
      </c>
      <c r="E853" s="17" t="s">
        <v>27</v>
      </c>
      <c r="F853" s="17" t="s">
        <v>15</v>
      </c>
      <c r="G853" s="17" t="s">
        <v>34</v>
      </c>
      <c r="H853" s="17">
        <v>45077</v>
      </c>
      <c r="I853" s="17">
        <v>237253</v>
      </c>
      <c r="J853" s="17" t="s">
        <v>54</v>
      </c>
      <c r="K853" s="17" t="str">
        <f>A853&amp;B853&amp;C853&amp;D853&amp;E853&amp;F853&amp;G853&amp;H853&amp;I853&amp;J853&amp;[1]Sheet1!$G$5</f>
        <v>E0852Tasnim TalukderMaleFinanceFinance ManagerFull-timeSylhet45077237253E0646Sylhet</v>
      </c>
      <c r="L853" s="17">
        <f t="shared" si="39"/>
        <v>136448</v>
      </c>
      <c r="M853" s="17">
        <f ca="1" t="shared" si="40"/>
        <v>2</v>
      </c>
      <c r="N853" s="18" t="str">
        <f ca="1" t="shared" si="41"/>
        <v>New</v>
      </c>
    </row>
    <row r="854" spans="1:14">
      <c r="A854" s="13" t="s">
        <v>1484</v>
      </c>
      <c r="B854" s="14" t="s">
        <v>1171</v>
      </c>
      <c r="C854" s="14" t="s">
        <v>19</v>
      </c>
      <c r="D854" s="14" t="s">
        <v>38</v>
      </c>
      <c r="E854" s="14" t="s">
        <v>39</v>
      </c>
      <c r="F854" s="14" t="s">
        <v>15</v>
      </c>
      <c r="G854" s="14" t="s">
        <v>40</v>
      </c>
      <c r="H854" s="14">
        <v>43580</v>
      </c>
      <c r="I854" s="14">
        <v>154315</v>
      </c>
      <c r="J854" s="14" t="s">
        <v>316</v>
      </c>
      <c r="K854" s="14" t="str">
        <f>A854&amp;B854&amp;C854&amp;D854&amp;E854&amp;F854&amp;G854&amp;H854&amp;I854&amp;J854&amp;[1]Sheet1!$G$5</f>
        <v>E0853Jannat RahmanMaleEngineeringDevOps EngineerFull-timeDhaka43580154315E0684Sylhet</v>
      </c>
      <c r="L854" s="14">
        <f t="shared" si="39"/>
        <v>134276</v>
      </c>
      <c r="M854" s="14">
        <f ca="1" t="shared" si="40"/>
        <v>6</v>
      </c>
      <c r="N854" s="15" t="str">
        <f ca="1" t="shared" si="41"/>
        <v>Experienced</v>
      </c>
    </row>
    <row r="855" spans="1:14">
      <c r="A855" s="16" t="s">
        <v>1485</v>
      </c>
      <c r="B855" s="17" t="s">
        <v>1486</v>
      </c>
      <c r="C855" s="17" t="s">
        <v>12</v>
      </c>
      <c r="D855" s="17" t="s">
        <v>52</v>
      </c>
      <c r="E855" s="17" t="s">
        <v>53</v>
      </c>
      <c r="F855" s="17" t="s">
        <v>15</v>
      </c>
      <c r="G855" s="17" t="s">
        <v>62</v>
      </c>
      <c r="H855" s="17">
        <v>43625</v>
      </c>
      <c r="I855" s="17">
        <v>198624</v>
      </c>
      <c r="J855" s="17" t="s">
        <v>554</v>
      </c>
      <c r="K855" s="17" t="str">
        <f>A855&amp;B855&amp;C855&amp;D855&amp;E855&amp;F855&amp;G855&amp;H855&amp;I855&amp;J855&amp;[1]Sheet1!$G$5</f>
        <v>E0854Esha FerdousFemaleOperationsOperations ManagerFull-timeChattogram43625198624E0912Sylhet</v>
      </c>
      <c r="L855" s="17">
        <f t="shared" si="39"/>
        <v>132104</v>
      </c>
      <c r="M855" s="17">
        <f ca="1" t="shared" si="40"/>
        <v>6</v>
      </c>
      <c r="N855" s="18" t="str">
        <f ca="1" t="shared" si="41"/>
        <v>Experienced</v>
      </c>
    </row>
    <row r="856" spans="1:14">
      <c r="A856" s="13" t="s">
        <v>331</v>
      </c>
      <c r="B856" s="14" t="s">
        <v>1487</v>
      </c>
      <c r="C856" s="14" t="s">
        <v>12</v>
      </c>
      <c r="D856" s="14" t="s">
        <v>38</v>
      </c>
      <c r="E856" s="14" t="s">
        <v>84</v>
      </c>
      <c r="F856" s="14" t="s">
        <v>15</v>
      </c>
      <c r="G856" s="14" t="s">
        <v>40</v>
      </c>
      <c r="H856" s="14">
        <v>44196</v>
      </c>
      <c r="I856" s="14">
        <v>183621</v>
      </c>
      <c r="J856" s="14" t="s">
        <v>889</v>
      </c>
      <c r="K856" s="14" t="str">
        <f>A856&amp;B856&amp;C856&amp;D856&amp;E856&amp;F856&amp;G856&amp;H856&amp;I856&amp;J856&amp;[1]Sheet1!$G$5</f>
        <v>E0855Tasnim FerdousFemaleEngineeringEngineering ManagerFull-timeDhaka44196183621E0479Sylhet</v>
      </c>
      <c r="L856" s="14">
        <f t="shared" si="39"/>
        <v>132031</v>
      </c>
      <c r="M856" s="14">
        <f ca="1" t="shared" si="40"/>
        <v>5</v>
      </c>
      <c r="N856" s="15" t="str">
        <f ca="1" t="shared" si="41"/>
        <v>Mid level</v>
      </c>
    </row>
    <row r="857" spans="1:14">
      <c r="A857" s="16" t="s">
        <v>1488</v>
      </c>
      <c r="B857" s="17" t="s">
        <v>1489</v>
      </c>
      <c r="C857" s="17" t="s">
        <v>293</v>
      </c>
      <c r="D857" s="17" t="s">
        <v>38</v>
      </c>
      <c r="E857" s="17" t="s">
        <v>66</v>
      </c>
      <c r="F857" s="17" t="s">
        <v>15</v>
      </c>
      <c r="G857" s="17" t="s">
        <v>62</v>
      </c>
      <c r="H857" s="17">
        <v>44838</v>
      </c>
      <c r="I857" s="17">
        <v>119454</v>
      </c>
      <c r="J857" s="17" t="s">
        <v>243</v>
      </c>
      <c r="K857" s="17" t="str">
        <f>A857&amp;B857&amp;C857&amp;D857&amp;E857&amp;F857&amp;G857&amp;H857&amp;I857&amp;J857&amp;[1]Sheet1!$G$5</f>
        <v>E0856Sajid MiahPrefer not to sayEngineeringSoftware EngineerFull-timeChattogram44838119454E0179Sylhet</v>
      </c>
      <c r="L857" s="17">
        <f t="shared" si="39"/>
        <v>131958</v>
      </c>
      <c r="M857" s="17">
        <f ca="1" t="shared" si="40"/>
        <v>3</v>
      </c>
      <c r="N857" s="18" t="str">
        <f ca="1" t="shared" si="41"/>
        <v>Mid level</v>
      </c>
    </row>
    <row r="858" spans="1:14">
      <c r="A858" s="13" t="s">
        <v>1490</v>
      </c>
      <c r="B858" s="14" t="s">
        <v>986</v>
      </c>
      <c r="C858" s="14" t="s">
        <v>12</v>
      </c>
      <c r="D858" s="14" t="s">
        <v>38</v>
      </c>
      <c r="E858" s="14" t="s">
        <v>44</v>
      </c>
      <c r="F858" s="14" t="s">
        <v>15</v>
      </c>
      <c r="G858" s="14" t="s">
        <v>16</v>
      </c>
      <c r="H858" s="14">
        <v>45309</v>
      </c>
      <c r="I858" s="14">
        <v>220349</v>
      </c>
      <c r="J858" s="14" t="s">
        <v>397</v>
      </c>
      <c r="K858" s="14" t="str">
        <f>A858&amp;B858&amp;C858&amp;D858&amp;E858&amp;F858&amp;G858&amp;H858&amp;I858&amp;J858&amp;[1]Sheet1!$G$5</f>
        <v>E0857Jannat TalukderFemaleEngineeringQA EngineerFull-timeKhulna45309220349E0407Sylhet</v>
      </c>
      <c r="L858" s="14">
        <f t="shared" si="39"/>
        <v>132031</v>
      </c>
      <c r="M858" s="14">
        <f ca="1" t="shared" si="40"/>
        <v>2</v>
      </c>
      <c r="N858" s="15" t="str">
        <f ca="1" t="shared" si="41"/>
        <v>New</v>
      </c>
    </row>
    <row r="859" spans="1:14">
      <c r="A859" s="16" t="s">
        <v>1491</v>
      </c>
      <c r="B859" s="17" t="s">
        <v>203</v>
      </c>
      <c r="C859" s="17" t="s">
        <v>19</v>
      </c>
      <c r="D859" s="17" t="s">
        <v>92</v>
      </c>
      <c r="E859" s="17" t="s">
        <v>391</v>
      </c>
      <c r="F859" s="17" t="s">
        <v>15</v>
      </c>
      <c r="G859" s="17" t="s">
        <v>62</v>
      </c>
      <c r="H859" s="17">
        <v>44115</v>
      </c>
      <c r="I859" s="17">
        <v>106040</v>
      </c>
      <c r="J859" s="17" t="s">
        <v>72</v>
      </c>
      <c r="K859" s="17" t="str">
        <f>A859&amp;B859&amp;C859&amp;D859&amp;E859&amp;F859&amp;G859&amp;H859&amp;I859&amp;J859&amp;[1]Sheet1!$G$5</f>
        <v>E0858Shawon AkterMaleMarketingContent SpecialistFull-timeChattogram44115106040E0013Sylhet</v>
      </c>
      <c r="L859" s="17">
        <f t="shared" si="39"/>
        <v>131958</v>
      </c>
      <c r="M859" s="17">
        <f ca="1" t="shared" si="40"/>
        <v>5</v>
      </c>
      <c r="N859" s="18" t="str">
        <f ca="1" t="shared" si="41"/>
        <v>Mid level</v>
      </c>
    </row>
    <row r="860" spans="1:14">
      <c r="A860" s="13" t="s">
        <v>1492</v>
      </c>
      <c r="B860" s="14" t="s">
        <v>1493</v>
      </c>
      <c r="C860" s="14" t="s">
        <v>19</v>
      </c>
      <c r="D860" s="14" t="s">
        <v>92</v>
      </c>
      <c r="E860" s="14" t="s">
        <v>126</v>
      </c>
      <c r="F860" s="14" t="s">
        <v>15</v>
      </c>
      <c r="G860" s="14" t="s">
        <v>16</v>
      </c>
      <c r="H860" s="14">
        <v>43052</v>
      </c>
      <c r="I860" s="14">
        <v>131677</v>
      </c>
      <c r="J860" s="14" t="s">
        <v>456</v>
      </c>
      <c r="K860" s="14" t="str">
        <f>A860&amp;B860&amp;C860&amp;D860&amp;E860&amp;F860&amp;G860&amp;H860&amp;I860&amp;J860&amp;[1]Sheet1!$G$5</f>
        <v>E0859Nadia AhmedMaleMarketingSEO SpecialistFull-timeKhulna43052131677E0416Sylhet</v>
      </c>
      <c r="L860" s="14">
        <f t="shared" si="39"/>
        <v>132031</v>
      </c>
      <c r="M860" s="14">
        <f ca="1" t="shared" si="40"/>
        <v>8</v>
      </c>
      <c r="N860" s="15" t="str">
        <f ca="1" t="shared" si="41"/>
        <v>Experienced</v>
      </c>
    </row>
    <row r="861" spans="1:14">
      <c r="A861" s="16" t="s">
        <v>1494</v>
      </c>
      <c r="B861" s="17" t="s">
        <v>1146</v>
      </c>
      <c r="C861" s="17" t="s">
        <v>12</v>
      </c>
      <c r="D861" s="17" t="s">
        <v>38</v>
      </c>
      <c r="E861" s="17" t="s">
        <v>44</v>
      </c>
      <c r="F861" s="17" t="s">
        <v>15</v>
      </c>
      <c r="G861" s="17" t="s">
        <v>40</v>
      </c>
      <c r="H861" s="17">
        <v>45195</v>
      </c>
      <c r="I861" s="17">
        <v>190765</v>
      </c>
      <c r="J861" s="17" t="s">
        <v>159</v>
      </c>
      <c r="K861" s="17" t="str">
        <f>A861&amp;B861&amp;C861&amp;D861&amp;E861&amp;F861&amp;G861&amp;H861&amp;I861&amp;J861&amp;[1]Sheet1!$G$5</f>
        <v>E0860Rashed AhmedFemaleEngineeringQA EngineerFull-timeDhaka45195190765E0701Sylhet</v>
      </c>
      <c r="L861" s="17">
        <f t="shared" si="39"/>
        <v>132104</v>
      </c>
      <c r="M861" s="17">
        <f ca="1" t="shared" si="40"/>
        <v>2</v>
      </c>
      <c r="N861" s="18" t="str">
        <f ca="1" t="shared" si="41"/>
        <v>New</v>
      </c>
    </row>
    <row r="862" spans="1:14">
      <c r="A862" s="13" t="s">
        <v>344</v>
      </c>
      <c r="B862" s="14" t="s">
        <v>1495</v>
      </c>
      <c r="C862" s="14" t="s">
        <v>12</v>
      </c>
      <c r="D862" s="14" t="s">
        <v>52</v>
      </c>
      <c r="E862" s="14" t="s">
        <v>53</v>
      </c>
      <c r="F862" s="14" t="s">
        <v>22</v>
      </c>
      <c r="G862" s="14" t="s">
        <v>16</v>
      </c>
      <c r="H862" s="14">
        <v>44188</v>
      </c>
      <c r="I862" s="14">
        <v>104645</v>
      </c>
      <c r="J862" s="14" t="s">
        <v>234</v>
      </c>
      <c r="K862" s="14" t="str">
        <f>A862&amp;B862&amp;C862&amp;D862&amp;E862&amp;F862&amp;G862&amp;H862&amp;I862&amp;J862&amp;[1]Sheet1!$G$5</f>
        <v>E0861Shafiq AlamFemaleOperationsOperations ManagerInternKhulna44188104645E0797Sylhet</v>
      </c>
      <c r="L862" s="14">
        <f t="shared" si="39"/>
        <v>132031</v>
      </c>
      <c r="M862" s="14">
        <f ca="1" t="shared" si="40"/>
        <v>5</v>
      </c>
      <c r="N862" s="15" t="str">
        <f ca="1" t="shared" si="41"/>
        <v>Mid level</v>
      </c>
    </row>
    <row r="863" spans="1:14">
      <c r="A863" s="16" t="s">
        <v>1496</v>
      </c>
      <c r="B863" s="17" t="s">
        <v>956</v>
      </c>
      <c r="C863" s="17" t="s">
        <v>19</v>
      </c>
      <c r="D863" s="17" t="s">
        <v>13</v>
      </c>
      <c r="E863" s="17" t="s">
        <v>223</v>
      </c>
      <c r="F863" s="17" t="s">
        <v>15</v>
      </c>
      <c r="G863" s="17" t="s">
        <v>40</v>
      </c>
      <c r="H863" s="17">
        <v>43809</v>
      </c>
      <c r="I863" s="17">
        <v>224247</v>
      </c>
      <c r="J863" s="17" t="s">
        <v>121</v>
      </c>
      <c r="K863" s="17" t="str">
        <f>A863&amp;B863&amp;C863&amp;D863&amp;E863&amp;F863&amp;G863&amp;H863&amp;I863&amp;J863&amp;[1]Sheet1!$G$5</f>
        <v>E0862Tasnim HaiderMaleSalesSenior Account ExecutiveFull-timeDhaka43809224247E0161Sylhet</v>
      </c>
      <c r="L863" s="17">
        <f t="shared" si="39"/>
        <v>132104</v>
      </c>
      <c r="M863" s="17">
        <f ca="1" t="shared" si="40"/>
        <v>6</v>
      </c>
      <c r="N863" s="18" t="str">
        <f ca="1" t="shared" si="41"/>
        <v>Experienced</v>
      </c>
    </row>
    <row r="864" spans="1:14">
      <c r="A864" s="13" t="s">
        <v>1497</v>
      </c>
      <c r="B864" s="14" t="s">
        <v>1498</v>
      </c>
      <c r="C864" s="14" t="s">
        <v>12</v>
      </c>
      <c r="D864" s="14" t="s">
        <v>92</v>
      </c>
      <c r="E864" s="14" t="s">
        <v>189</v>
      </c>
      <c r="F864" s="14" t="s">
        <v>15</v>
      </c>
      <c r="G864" s="14" t="s">
        <v>28</v>
      </c>
      <c r="H864" s="14">
        <v>44201</v>
      </c>
      <c r="I864" s="14">
        <v>107673</v>
      </c>
      <c r="J864" s="14" t="s">
        <v>627</v>
      </c>
      <c r="K864" s="14" t="str">
        <f>A864&amp;B864&amp;C864&amp;D864&amp;E864&amp;F864&amp;G864&amp;H864&amp;I864&amp;J864&amp;[1]Sheet1!$G$5</f>
        <v>E0863Esha HaiderFemaleMarketingMarketing AssociateFull-timeRemote44201107673E0448Sylhet</v>
      </c>
      <c r="L864" s="14">
        <f t="shared" si="39"/>
        <v>132031</v>
      </c>
      <c r="M864" s="14">
        <f ca="1" t="shared" si="40"/>
        <v>5</v>
      </c>
      <c r="N864" s="15" t="str">
        <f ca="1" t="shared" si="41"/>
        <v>Mid level</v>
      </c>
    </row>
    <row r="865" spans="1:14">
      <c r="A865" s="16" t="s">
        <v>1499</v>
      </c>
      <c r="B865" s="17" t="s">
        <v>1500</v>
      </c>
      <c r="C865" s="17" t="s">
        <v>12</v>
      </c>
      <c r="D865" s="17" t="s">
        <v>13</v>
      </c>
      <c r="E865" s="17" t="s">
        <v>165</v>
      </c>
      <c r="F865" s="17" t="s">
        <v>15</v>
      </c>
      <c r="G865" s="17" t="s">
        <v>94</v>
      </c>
      <c r="H865" s="17">
        <v>42543</v>
      </c>
      <c r="I865" s="17">
        <v>164002</v>
      </c>
      <c r="J865" s="17" t="s">
        <v>582</v>
      </c>
      <c r="K865" s="17" t="str">
        <f>A865&amp;B865&amp;C865&amp;D865&amp;E865&amp;F865&amp;G865&amp;H865&amp;I865&amp;J865&amp;[1]Sheet1!$G$5</f>
        <v>E0864Jannat KhanFemaleSalesAccount ExecutiveFull-timeRajshahi42543164002E0511Sylhet</v>
      </c>
      <c r="L865" s="17">
        <f t="shared" si="39"/>
        <v>132104</v>
      </c>
      <c r="M865" s="17">
        <f ca="1" t="shared" si="40"/>
        <v>9</v>
      </c>
      <c r="N865" s="18" t="str">
        <f ca="1" t="shared" si="41"/>
        <v>Experienced</v>
      </c>
    </row>
    <row r="866" spans="1:14">
      <c r="A866" s="13" t="s">
        <v>151</v>
      </c>
      <c r="B866" s="14" t="s">
        <v>1121</v>
      </c>
      <c r="C866" s="14" t="s">
        <v>19</v>
      </c>
      <c r="D866" s="14" t="s">
        <v>13</v>
      </c>
      <c r="E866" s="14" t="s">
        <v>98</v>
      </c>
      <c r="F866" s="14" t="s">
        <v>15</v>
      </c>
      <c r="G866" s="14" t="s">
        <v>62</v>
      </c>
      <c r="H866" s="14">
        <v>45347</v>
      </c>
      <c r="I866" s="14">
        <v>89730</v>
      </c>
      <c r="J866" s="14" t="s">
        <v>186</v>
      </c>
      <c r="K866" s="14" t="str">
        <f>A866&amp;B866&amp;C866&amp;D866&amp;E866&amp;F866&amp;G866&amp;H866&amp;I866&amp;J866&amp;[1]Sheet1!$G$5</f>
        <v>E0865Nafiz RasheedMaleSalesSales ManagerFull-timeChattogram4534789730E0927Sylhet</v>
      </c>
      <c r="L866" s="14">
        <f t="shared" si="39"/>
        <v>132031</v>
      </c>
      <c r="M866" s="14">
        <f ca="1" t="shared" si="40"/>
        <v>2</v>
      </c>
      <c r="N866" s="15" t="str">
        <f ca="1" t="shared" si="41"/>
        <v>New</v>
      </c>
    </row>
    <row r="867" spans="1:14">
      <c r="A867" s="16" t="s">
        <v>501</v>
      </c>
      <c r="B867" s="17" t="s">
        <v>1026</v>
      </c>
      <c r="C867" s="17" t="s">
        <v>12</v>
      </c>
      <c r="D867" s="17" t="s">
        <v>92</v>
      </c>
      <c r="E867" s="17" t="s">
        <v>193</v>
      </c>
      <c r="F867" s="17" t="s">
        <v>48</v>
      </c>
      <c r="G867" s="17" t="s">
        <v>34</v>
      </c>
      <c r="H867" s="17">
        <v>43814</v>
      </c>
      <c r="I867" s="17">
        <v>196595</v>
      </c>
      <c r="J867" s="17" t="s">
        <v>583</v>
      </c>
      <c r="K867" s="17" t="str">
        <f>A867&amp;B867&amp;C867&amp;D867&amp;E867&amp;F867&amp;G867&amp;H867&amp;I867&amp;J867&amp;[1]Sheet1!$G$5</f>
        <v>E0866Tamanna MiahFemaleMarketingMarketing ManagerContractSylhet43814196595E0226Sylhet</v>
      </c>
      <c r="L867" s="17">
        <f t="shared" si="39"/>
        <v>132104</v>
      </c>
      <c r="M867" s="17">
        <f ca="1" t="shared" si="40"/>
        <v>6</v>
      </c>
      <c r="N867" s="18" t="str">
        <f ca="1" t="shared" si="41"/>
        <v>Experienced</v>
      </c>
    </row>
    <row r="868" spans="1:14">
      <c r="A868" s="13" t="s">
        <v>1501</v>
      </c>
      <c r="B868" s="14" t="s">
        <v>1065</v>
      </c>
      <c r="C868" s="14" t="s">
        <v>19</v>
      </c>
      <c r="D868" s="14" t="s">
        <v>38</v>
      </c>
      <c r="E868" s="14" t="s">
        <v>77</v>
      </c>
      <c r="F868" s="14" t="s">
        <v>15</v>
      </c>
      <c r="G868" s="14" t="s">
        <v>34</v>
      </c>
      <c r="H868" s="14">
        <v>44888</v>
      </c>
      <c r="I868" s="14">
        <v>157668</v>
      </c>
      <c r="J868" s="14" t="s">
        <v>240</v>
      </c>
      <c r="K868" s="14" t="str">
        <f>A868&amp;B868&amp;C868&amp;D868&amp;E868&amp;F868&amp;G868&amp;H868&amp;I868&amp;J868&amp;[1]Sheet1!$G$5</f>
        <v>E0867Farhan ChowdhuryMaleEngineeringJunior Software EngineerFull-timeSylhet44888157668E0831Sylhet</v>
      </c>
      <c r="L868" s="14">
        <f t="shared" si="39"/>
        <v>132031</v>
      </c>
      <c r="M868" s="14">
        <f ca="1" t="shared" si="40"/>
        <v>3</v>
      </c>
      <c r="N868" s="15" t="str">
        <f ca="1" t="shared" si="41"/>
        <v>Mid level</v>
      </c>
    </row>
    <row r="869" spans="1:14">
      <c r="A869" s="16" t="s">
        <v>1502</v>
      </c>
      <c r="B869" s="17" t="s">
        <v>876</v>
      </c>
      <c r="C869" s="17" t="s">
        <v>19</v>
      </c>
      <c r="D869" s="17" t="s">
        <v>38</v>
      </c>
      <c r="E869" s="17" t="s">
        <v>77</v>
      </c>
      <c r="F869" s="17" t="s">
        <v>15</v>
      </c>
      <c r="G869" s="17" t="s">
        <v>94</v>
      </c>
      <c r="H869" s="17">
        <v>44151</v>
      </c>
      <c r="I869" s="17">
        <v>92728</v>
      </c>
      <c r="J869" s="17"/>
      <c r="K869" s="17" t="str">
        <f>A869&amp;B869&amp;C869&amp;D869&amp;E869&amp;F869&amp;G869&amp;H869&amp;I869&amp;J869&amp;[1]Sheet1!$G$5</f>
        <v>E0868Jannat ShahMaleEngineeringJunior Software EngineerFull-timeRajshahi4415192728Sylhet</v>
      </c>
      <c r="L869" s="17">
        <f t="shared" si="39"/>
        <v>131958</v>
      </c>
      <c r="M869" s="17">
        <f ca="1" t="shared" si="40"/>
        <v>5</v>
      </c>
      <c r="N869" s="18" t="str">
        <f ca="1" t="shared" si="41"/>
        <v>Mid level</v>
      </c>
    </row>
    <row r="870" spans="1:14">
      <c r="A870" s="13" t="s">
        <v>1503</v>
      </c>
      <c r="B870" s="14" t="s">
        <v>1504</v>
      </c>
      <c r="C870" s="14" t="s">
        <v>19</v>
      </c>
      <c r="D870" s="14" t="s">
        <v>52</v>
      </c>
      <c r="E870" s="14" t="s">
        <v>246</v>
      </c>
      <c r="F870" s="14" t="s">
        <v>15</v>
      </c>
      <c r="G870" s="14" t="s">
        <v>28</v>
      </c>
      <c r="H870" s="14">
        <v>43494</v>
      </c>
      <c r="I870" s="14">
        <v>99636</v>
      </c>
      <c r="J870" s="14" t="s">
        <v>721</v>
      </c>
      <c r="K870" s="14" t="str">
        <f>A870&amp;B870&amp;C870&amp;D870&amp;E870&amp;F870&amp;G870&amp;H870&amp;I870&amp;J870&amp;[1]Sheet1!$G$5</f>
        <v>E0869Nabila HaiderMaleOperationsOperations AssociateFull-timeRemote4349499636E0376Sylhet</v>
      </c>
      <c r="L870" s="14">
        <f t="shared" si="39"/>
        <v>132031</v>
      </c>
      <c r="M870" s="14">
        <f ca="1" t="shared" si="40"/>
        <v>7</v>
      </c>
      <c r="N870" s="15" t="str">
        <f ca="1" t="shared" si="41"/>
        <v>Experienced</v>
      </c>
    </row>
    <row r="871" spans="1:14">
      <c r="A871" s="16" t="s">
        <v>855</v>
      </c>
      <c r="B871" s="17" t="s">
        <v>1493</v>
      </c>
      <c r="C871" s="17" t="s">
        <v>19</v>
      </c>
      <c r="D871" s="17" t="s">
        <v>20</v>
      </c>
      <c r="E871" s="17" t="s">
        <v>70</v>
      </c>
      <c r="F871" s="17" t="s">
        <v>15</v>
      </c>
      <c r="G871" s="17" t="s">
        <v>40</v>
      </c>
      <c r="H871" s="17">
        <v>44989</v>
      </c>
      <c r="I871" s="17">
        <v>162213</v>
      </c>
      <c r="J871" s="17" t="s">
        <v>863</v>
      </c>
      <c r="K871" s="17" t="str">
        <f>A871&amp;B871&amp;C871&amp;D871&amp;E871&amp;F871&amp;G871&amp;H871&amp;I871&amp;J871&amp;[1]Sheet1!$G$5</f>
        <v>E0870Nadia AhmedMaleCustomer SuccessCustomer Success ManagerFull-timeDhaka44989162213E0387Sylhet</v>
      </c>
      <c r="L871" s="17">
        <f t="shared" si="39"/>
        <v>132104</v>
      </c>
      <c r="M871" s="17">
        <f ca="1" t="shared" si="40"/>
        <v>3</v>
      </c>
      <c r="N871" s="18" t="str">
        <f ca="1" t="shared" si="41"/>
        <v>Mid level</v>
      </c>
    </row>
    <row r="872" spans="1:14">
      <c r="A872" s="13" t="s">
        <v>838</v>
      </c>
      <c r="B872" s="14" t="s">
        <v>1505</v>
      </c>
      <c r="C872" s="14" t="s">
        <v>12</v>
      </c>
      <c r="D872" s="14" t="s">
        <v>13</v>
      </c>
      <c r="E872" s="14" t="s">
        <v>98</v>
      </c>
      <c r="F872" s="14" t="s">
        <v>15</v>
      </c>
      <c r="G872" s="14" t="s">
        <v>16</v>
      </c>
      <c r="H872" s="14">
        <v>45611</v>
      </c>
      <c r="I872" s="14">
        <v>119877</v>
      </c>
      <c r="J872" s="14" t="s">
        <v>237</v>
      </c>
      <c r="K872" s="14" t="str">
        <f>A872&amp;B872&amp;C872&amp;D872&amp;E872&amp;F872&amp;G872&amp;H872&amp;I872&amp;J872&amp;[1]Sheet1!$G$5</f>
        <v>E0871Tania SadiqFemaleSalesSales ManagerFull-timeKhulna45611119877E0782Sylhet</v>
      </c>
      <c r="L872" s="14">
        <f t="shared" si="39"/>
        <v>132031</v>
      </c>
      <c r="M872" s="14">
        <f ca="1" t="shared" si="40"/>
        <v>1</v>
      </c>
      <c r="N872" s="15" t="str">
        <f ca="1" t="shared" si="41"/>
        <v>New</v>
      </c>
    </row>
    <row r="873" spans="1:14">
      <c r="A873" s="16" t="s">
        <v>1506</v>
      </c>
      <c r="B873" s="17" t="s">
        <v>1507</v>
      </c>
      <c r="C873" s="17" t="s">
        <v>12</v>
      </c>
      <c r="D873" s="17" t="s">
        <v>87</v>
      </c>
      <c r="E873" s="17" t="s">
        <v>88</v>
      </c>
      <c r="F873" s="17" t="s">
        <v>15</v>
      </c>
      <c r="G873" s="17" t="s">
        <v>62</v>
      </c>
      <c r="H873" s="17">
        <v>42604</v>
      </c>
      <c r="I873" s="17">
        <v>182719</v>
      </c>
      <c r="J873" s="17" t="s">
        <v>1083</v>
      </c>
      <c r="K873" s="17" t="str">
        <f>A873&amp;B873&amp;C873&amp;D873&amp;E873&amp;F873&amp;G873&amp;H873&amp;I873&amp;J873&amp;[1]Sheet1!$G$5</f>
        <v>E0872Imran BanuFemaleProductProduct AnalystFull-timeChattogram42604182719E0559Sylhet</v>
      </c>
      <c r="L873" s="17">
        <f t="shared" si="39"/>
        <v>132104</v>
      </c>
      <c r="M873" s="17">
        <f ca="1" t="shared" si="40"/>
        <v>9</v>
      </c>
      <c r="N873" s="18" t="str">
        <f ca="1" t="shared" si="41"/>
        <v>Experienced</v>
      </c>
    </row>
    <row r="874" spans="1:14">
      <c r="A874" s="13" t="s">
        <v>1508</v>
      </c>
      <c r="B874" s="14" t="s">
        <v>450</v>
      </c>
      <c r="C874" s="14" t="s">
        <v>19</v>
      </c>
      <c r="D874" s="14" t="s">
        <v>32</v>
      </c>
      <c r="E874" s="14" t="s">
        <v>130</v>
      </c>
      <c r="F874" s="14" t="s">
        <v>15</v>
      </c>
      <c r="G874" s="14" t="s">
        <v>34</v>
      </c>
      <c r="H874" s="14">
        <v>42677</v>
      </c>
      <c r="I874" s="14">
        <v>88094</v>
      </c>
      <c r="J874" s="14" t="s">
        <v>148</v>
      </c>
      <c r="K874" s="14" t="str">
        <f>A874&amp;B874&amp;C874&amp;D874&amp;E874&amp;F874&amp;G874&amp;H874&amp;I874&amp;J874&amp;[1]Sheet1!$G$5</f>
        <v>E0873Karim SultanaMaleHRRecruiterFull-timeSylhet4267788094E0938Sylhet</v>
      </c>
      <c r="L874" s="14">
        <f t="shared" si="39"/>
        <v>132031</v>
      </c>
      <c r="M874" s="14">
        <f ca="1" t="shared" si="40"/>
        <v>9</v>
      </c>
      <c r="N874" s="15" t="str">
        <f ca="1" t="shared" si="41"/>
        <v>Experienced</v>
      </c>
    </row>
    <row r="875" spans="1:14">
      <c r="A875" s="16" t="s">
        <v>884</v>
      </c>
      <c r="B875" s="17" t="s">
        <v>1298</v>
      </c>
      <c r="C875" s="17" t="s">
        <v>19</v>
      </c>
      <c r="D875" s="17" t="s">
        <v>13</v>
      </c>
      <c r="E875" s="17" t="s">
        <v>98</v>
      </c>
      <c r="F875" s="17" t="s">
        <v>15</v>
      </c>
      <c r="G875" s="17" t="s">
        <v>28</v>
      </c>
      <c r="H875" s="17">
        <v>45119</v>
      </c>
      <c r="I875" s="17">
        <v>290910</v>
      </c>
      <c r="J875" s="17" t="s">
        <v>154</v>
      </c>
      <c r="K875" s="17" t="str">
        <f>A875&amp;B875&amp;C875&amp;D875&amp;E875&amp;F875&amp;G875&amp;H875&amp;I875&amp;J875&amp;[1]Sheet1!$G$5</f>
        <v>E0874Shawon UddinMaleSalesSales ManagerFull-timeRemote45119290910E0037Sylhet</v>
      </c>
      <c r="L875" s="17">
        <f t="shared" si="39"/>
        <v>132104</v>
      </c>
      <c r="M875" s="17">
        <f ca="1" t="shared" si="40"/>
        <v>2</v>
      </c>
      <c r="N875" s="18" t="str">
        <f ca="1" t="shared" si="41"/>
        <v>New</v>
      </c>
    </row>
    <row r="876" spans="1:14">
      <c r="A876" s="13" t="s">
        <v>1509</v>
      </c>
      <c r="B876" s="14" t="s">
        <v>614</v>
      </c>
      <c r="C876" s="14" t="s">
        <v>12</v>
      </c>
      <c r="D876" s="14" t="s">
        <v>38</v>
      </c>
      <c r="E876" s="14" t="s">
        <v>44</v>
      </c>
      <c r="F876" s="14" t="s">
        <v>15</v>
      </c>
      <c r="G876" s="14" t="s">
        <v>62</v>
      </c>
      <c r="H876" s="14">
        <v>44981</v>
      </c>
      <c r="I876" s="14">
        <v>120440</v>
      </c>
      <c r="J876" s="14" t="s">
        <v>183</v>
      </c>
      <c r="K876" s="14" t="str">
        <f>A876&amp;B876&amp;C876&amp;D876&amp;E876&amp;F876&amp;G876&amp;H876&amp;I876&amp;J876&amp;[1]Sheet1!$G$5</f>
        <v>E0875Sajid BanuFemaleEngineeringQA EngineerFull-timeChattogram44981120440E0456Sylhet</v>
      </c>
      <c r="L876" s="14">
        <f t="shared" si="39"/>
        <v>132031</v>
      </c>
      <c r="M876" s="14">
        <f ca="1" t="shared" si="40"/>
        <v>3</v>
      </c>
      <c r="N876" s="15" t="str">
        <f ca="1" t="shared" si="41"/>
        <v>Mid level</v>
      </c>
    </row>
    <row r="877" spans="1:14">
      <c r="A877" s="16" t="s">
        <v>1510</v>
      </c>
      <c r="B877" s="17" t="s">
        <v>405</v>
      </c>
      <c r="C877" s="17" t="s">
        <v>12</v>
      </c>
      <c r="D877" s="17" t="s">
        <v>38</v>
      </c>
      <c r="E877" s="17" t="s">
        <v>140</v>
      </c>
      <c r="F877" s="17" t="s">
        <v>15</v>
      </c>
      <c r="G877" s="17" t="s">
        <v>34</v>
      </c>
      <c r="H877" s="17">
        <v>44033</v>
      </c>
      <c r="I877" s="17">
        <v>282635</v>
      </c>
      <c r="J877" s="17" t="s">
        <v>148</v>
      </c>
      <c r="K877" s="17" t="str">
        <f>A877&amp;B877&amp;C877&amp;D877&amp;E877&amp;F877&amp;G877&amp;H877&amp;I877&amp;J877&amp;[1]Sheet1!$G$5</f>
        <v>E0876Sajid KabirFemaleEngineeringSenior Software EngineerFull-timeSylhet44033282635E0938Sylhet</v>
      </c>
      <c r="L877" s="17">
        <f t="shared" si="39"/>
        <v>132104</v>
      </c>
      <c r="M877" s="17">
        <f ca="1" t="shared" si="40"/>
        <v>5</v>
      </c>
      <c r="N877" s="18" t="str">
        <f ca="1" t="shared" si="41"/>
        <v>Mid level</v>
      </c>
    </row>
    <row r="878" spans="1:14">
      <c r="A878" s="13" t="s">
        <v>1511</v>
      </c>
      <c r="B878" s="14" t="s">
        <v>784</v>
      </c>
      <c r="C878" s="14" t="s">
        <v>19</v>
      </c>
      <c r="D878" s="14" t="s">
        <v>26</v>
      </c>
      <c r="E878" s="14" t="s">
        <v>294</v>
      </c>
      <c r="F878" s="14" t="s">
        <v>15</v>
      </c>
      <c r="G878" s="14" t="s">
        <v>28</v>
      </c>
      <c r="H878" s="14">
        <v>43858</v>
      </c>
      <c r="I878" s="14">
        <v>197092</v>
      </c>
      <c r="J878" s="14"/>
      <c r="K878" s="14" t="str">
        <f>A878&amp;B878&amp;C878&amp;D878&amp;E878&amp;F878&amp;G878&amp;H878&amp;I878&amp;J878&amp;[1]Sheet1!$G$5</f>
        <v>E0877Noman AlamMaleFinanceSenior Financial AnalystFull-timeRemote43858197092Sylhet</v>
      </c>
      <c r="L878" s="14">
        <f t="shared" si="39"/>
        <v>132031</v>
      </c>
      <c r="M878" s="14">
        <f ca="1" t="shared" si="40"/>
        <v>6</v>
      </c>
      <c r="N878" s="15" t="str">
        <f ca="1" t="shared" si="41"/>
        <v>Experienced</v>
      </c>
    </row>
    <row r="879" spans="1:14">
      <c r="A879" s="16" t="s">
        <v>1512</v>
      </c>
      <c r="B879" s="17" t="s">
        <v>1121</v>
      </c>
      <c r="C879" s="17" t="s">
        <v>12</v>
      </c>
      <c r="D879" s="17" t="s">
        <v>32</v>
      </c>
      <c r="E879" s="17" t="s">
        <v>130</v>
      </c>
      <c r="F879" s="17" t="s">
        <v>15</v>
      </c>
      <c r="G879" s="17" t="s">
        <v>16</v>
      </c>
      <c r="H879" s="17">
        <v>44471</v>
      </c>
      <c r="I879" s="17">
        <v>59548</v>
      </c>
      <c r="J879" s="17" t="s">
        <v>589</v>
      </c>
      <c r="K879" s="17" t="str">
        <f>A879&amp;B879&amp;C879&amp;D879&amp;E879&amp;F879&amp;G879&amp;H879&amp;I879&amp;J879&amp;[1]Sheet1!$G$5</f>
        <v>E0878Nafiz RasheedFemaleHRRecruiterFull-timeKhulna4447159548E0538Sylhet</v>
      </c>
      <c r="L879" s="17">
        <f t="shared" si="39"/>
        <v>131958</v>
      </c>
      <c r="M879" s="17">
        <f ca="1" t="shared" si="40"/>
        <v>4</v>
      </c>
      <c r="N879" s="18" t="str">
        <f ca="1" t="shared" si="41"/>
        <v>Mid level</v>
      </c>
    </row>
    <row r="880" spans="1:14">
      <c r="A880" s="13" t="s">
        <v>1513</v>
      </c>
      <c r="B880" s="14" t="s">
        <v>618</v>
      </c>
      <c r="C880" s="14" t="s">
        <v>19</v>
      </c>
      <c r="D880" s="14" t="s">
        <v>38</v>
      </c>
      <c r="E880" s="14" t="s">
        <v>66</v>
      </c>
      <c r="F880" s="14" t="s">
        <v>15</v>
      </c>
      <c r="G880" s="14" t="s">
        <v>94</v>
      </c>
      <c r="H880" s="14">
        <v>45651</v>
      </c>
      <c r="I880" s="14">
        <v>104355</v>
      </c>
      <c r="J880" s="14" t="s">
        <v>102</v>
      </c>
      <c r="K880" s="14" t="str">
        <f>A880&amp;B880&amp;C880&amp;D880&amp;E880&amp;F880&amp;G880&amp;H880&amp;I880&amp;J880&amp;[1]Sheet1!$G$5</f>
        <v>E0879Jannat SharminMaleEngineeringSoftware EngineerFull-timeRajshahi45651104355E0777Sylhet</v>
      </c>
      <c r="L880" s="14">
        <f t="shared" si="39"/>
        <v>132031</v>
      </c>
      <c r="M880" s="14">
        <f ca="1" t="shared" si="40"/>
        <v>1</v>
      </c>
      <c r="N880" s="15" t="str">
        <f ca="1" t="shared" si="41"/>
        <v>New</v>
      </c>
    </row>
    <row r="881" spans="1:14">
      <c r="A881" s="16" t="s">
        <v>1514</v>
      </c>
      <c r="B881" s="17" t="s">
        <v>1035</v>
      </c>
      <c r="C881" s="17" t="s">
        <v>19</v>
      </c>
      <c r="D881" s="17" t="s">
        <v>87</v>
      </c>
      <c r="E881" s="17" t="s">
        <v>156</v>
      </c>
      <c r="F881" s="17" t="s">
        <v>15</v>
      </c>
      <c r="G881" s="17" t="s">
        <v>16</v>
      </c>
      <c r="H881" s="17">
        <v>45441</v>
      </c>
      <c r="I881" s="17">
        <v>170251</v>
      </c>
      <c r="J881" s="17"/>
      <c r="K881" s="17" t="str">
        <f>A881&amp;B881&amp;C881&amp;D881&amp;E881&amp;F881&amp;G881&amp;H881&amp;I881&amp;J881&amp;[1]Sheet1!$G$5</f>
        <v>E0880Esha KhanMaleProductAssociate Product ManagerFull-timeKhulna45441170251Sylhet</v>
      </c>
      <c r="L881" s="17">
        <f t="shared" si="39"/>
        <v>132104</v>
      </c>
      <c r="M881" s="17">
        <f ca="1" t="shared" si="40"/>
        <v>1</v>
      </c>
      <c r="N881" s="18" t="str">
        <f ca="1" t="shared" si="41"/>
        <v>New</v>
      </c>
    </row>
    <row r="882" spans="1:14">
      <c r="A882" s="13" t="s">
        <v>369</v>
      </c>
      <c r="B882" s="14" t="s">
        <v>1515</v>
      </c>
      <c r="C882" s="14" t="s">
        <v>19</v>
      </c>
      <c r="D882" s="14" t="s">
        <v>87</v>
      </c>
      <c r="E882" s="14" t="s">
        <v>349</v>
      </c>
      <c r="F882" s="14" t="s">
        <v>15</v>
      </c>
      <c r="G882" s="14" t="s">
        <v>40</v>
      </c>
      <c r="H882" s="14">
        <v>45152</v>
      </c>
      <c r="I882" s="14">
        <v>139832</v>
      </c>
      <c r="J882" s="14" t="s">
        <v>911</v>
      </c>
      <c r="K882" s="14" t="str">
        <f>A882&amp;B882&amp;C882&amp;D882&amp;E882&amp;F882&amp;G882&amp;H882&amp;I882&amp;J882&amp;[1]Sheet1!$G$5</f>
        <v>E0881Arif AminMaleProductProduct ManagerFull-timeDhaka45152139832E0812Sylhet</v>
      </c>
      <c r="L882" s="14">
        <f t="shared" si="39"/>
        <v>132031</v>
      </c>
      <c r="M882" s="14">
        <f ca="1" t="shared" si="40"/>
        <v>2</v>
      </c>
      <c r="N882" s="15" t="str">
        <f ca="1" t="shared" si="41"/>
        <v>New</v>
      </c>
    </row>
    <row r="883" spans="1:14">
      <c r="A883" s="16" t="s">
        <v>613</v>
      </c>
      <c r="B883" s="17" t="s">
        <v>980</v>
      </c>
      <c r="C883" s="17" t="s">
        <v>19</v>
      </c>
      <c r="D883" s="17" t="s">
        <v>26</v>
      </c>
      <c r="E883" s="17" t="s">
        <v>27</v>
      </c>
      <c r="F883" s="17" t="s">
        <v>48</v>
      </c>
      <c r="G883" s="17" t="s">
        <v>16</v>
      </c>
      <c r="H883" s="17">
        <v>43025</v>
      </c>
      <c r="I883" s="17">
        <v>266975</v>
      </c>
      <c r="J883" s="17" t="s">
        <v>197</v>
      </c>
      <c r="K883" s="17" t="str">
        <f>A883&amp;B883&amp;C883&amp;D883&amp;E883&amp;F883&amp;G883&amp;H883&amp;I883&amp;J883&amp;[1]Sheet1!$G$5</f>
        <v>E0882Shawon ParvinMaleFinanceFinance ManagerContractKhulna43025266975E0051Sylhet</v>
      </c>
      <c r="L883" s="17">
        <f t="shared" si="39"/>
        <v>131958</v>
      </c>
      <c r="M883" s="17">
        <f ca="1" t="shared" si="40"/>
        <v>8</v>
      </c>
      <c r="N883" s="18" t="str">
        <f ca="1" t="shared" si="41"/>
        <v>Experienced</v>
      </c>
    </row>
    <row r="884" spans="1:14">
      <c r="A884" s="13" t="s">
        <v>1516</v>
      </c>
      <c r="B884" s="14" t="s">
        <v>1517</v>
      </c>
      <c r="C884" s="14" t="s">
        <v>19</v>
      </c>
      <c r="D884" s="14" t="s">
        <v>38</v>
      </c>
      <c r="E884" s="14" t="s">
        <v>44</v>
      </c>
      <c r="F884" s="14" t="s">
        <v>15</v>
      </c>
      <c r="G884" s="14" t="s">
        <v>40</v>
      </c>
      <c r="H884" s="14">
        <v>42497</v>
      </c>
      <c r="I884" s="14">
        <v>94532</v>
      </c>
      <c r="J884" s="14" t="s">
        <v>627</v>
      </c>
      <c r="K884" s="14" t="str">
        <f>A884&amp;B884&amp;C884&amp;D884&amp;E884&amp;F884&amp;G884&amp;H884&amp;I884&amp;J884&amp;[1]Sheet1!$G$5</f>
        <v>E0883Ayesha AnjumMaleEngineeringQA EngineerFull-timeDhaka4249794532E0448Sylhet</v>
      </c>
      <c r="L884" s="14">
        <f t="shared" si="39"/>
        <v>131616.5</v>
      </c>
      <c r="M884" s="14">
        <f ca="1" t="shared" si="40"/>
        <v>9</v>
      </c>
      <c r="N884" s="15" t="str">
        <f ca="1" t="shared" si="41"/>
        <v>Experienced</v>
      </c>
    </row>
    <row r="885" spans="1:14">
      <c r="A885" s="16" t="s">
        <v>1518</v>
      </c>
      <c r="B885" s="17" t="s">
        <v>872</v>
      </c>
      <c r="C885" s="17" t="s">
        <v>12</v>
      </c>
      <c r="D885" s="17" t="s">
        <v>38</v>
      </c>
      <c r="E885" s="17" t="s">
        <v>44</v>
      </c>
      <c r="F885" s="17" t="s">
        <v>48</v>
      </c>
      <c r="G885" s="17" t="s">
        <v>28</v>
      </c>
      <c r="H885" s="17">
        <v>42954</v>
      </c>
      <c r="I885" s="17">
        <v>143737</v>
      </c>
      <c r="J885" s="17" t="s">
        <v>668</v>
      </c>
      <c r="K885" s="17" t="str">
        <f>A885&amp;B885&amp;C885&amp;D885&amp;E885&amp;F885&amp;G885&amp;H885&amp;I885&amp;J885&amp;[1]Sheet1!$G$5</f>
        <v>E0884Imran ChowdhuryFemaleEngineeringQA EngineerContractRemote42954143737E0273Sylhet</v>
      </c>
      <c r="L885" s="17">
        <f t="shared" si="39"/>
        <v>131958</v>
      </c>
      <c r="M885" s="17">
        <f ca="1" t="shared" si="40"/>
        <v>8</v>
      </c>
      <c r="N885" s="18" t="str">
        <f ca="1" t="shared" si="41"/>
        <v>Experienced</v>
      </c>
    </row>
    <row r="886" spans="1:14">
      <c r="A886" s="13" t="s">
        <v>1519</v>
      </c>
      <c r="B886" s="14" t="s">
        <v>1184</v>
      </c>
      <c r="C886" s="14" t="s">
        <v>12</v>
      </c>
      <c r="D886" s="14" t="s">
        <v>52</v>
      </c>
      <c r="E886" s="14" t="s">
        <v>246</v>
      </c>
      <c r="F886" s="14" t="s">
        <v>15</v>
      </c>
      <c r="G886" s="14" t="s">
        <v>40</v>
      </c>
      <c r="H886" s="14">
        <v>45846</v>
      </c>
      <c r="I886" s="14">
        <v>111594</v>
      </c>
      <c r="J886" s="14" t="s">
        <v>169</v>
      </c>
      <c r="K886" s="14" t="str">
        <f>A886&amp;B886&amp;C886&amp;D886&amp;E886&amp;F886&amp;G886&amp;H886&amp;I886&amp;J886&amp;[1]Sheet1!$G$5</f>
        <v>E0885Sajid RahmanFemaleOperationsOperations AssociateFull-timeDhaka45846111594E0251Sylhet</v>
      </c>
      <c r="L886" s="14">
        <f t="shared" si="39"/>
        <v>131616.5</v>
      </c>
      <c r="M886" s="14">
        <f ca="1" t="shared" si="40"/>
        <v>0</v>
      </c>
      <c r="N886" s="15" t="str">
        <f ca="1" t="shared" si="41"/>
        <v>New</v>
      </c>
    </row>
    <row r="887" spans="1:14">
      <c r="A887" s="16" t="s">
        <v>1520</v>
      </c>
      <c r="B887" s="17" t="s">
        <v>1521</v>
      </c>
      <c r="C887" s="17" t="s">
        <v>12</v>
      </c>
      <c r="D887" s="17" t="s">
        <v>38</v>
      </c>
      <c r="E887" s="17" t="s">
        <v>140</v>
      </c>
      <c r="F887" s="17" t="s">
        <v>15</v>
      </c>
      <c r="G887" s="17" t="s">
        <v>34</v>
      </c>
      <c r="H887" s="17">
        <v>44858</v>
      </c>
      <c r="I887" s="17">
        <v>114726</v>
      </c>
      <c r="J887" s="17" t="s">
        <v>931</v>
      </c>
      <c r="K887" s="17" t="str">
        <f>A887&amp;B887&amp;C887&amp;D887&amp;E887&amp;F887&amp;G887&amp;H887&amp;I887&amp;J887&amp;[1]Sheet1!$G$5</f>
        <v>E0886Shafiq BiswasFemaleEngineeringSenior Software EngineerFull-timeSylhet44858114726E0426Sylhet</v>
      </c>
      <c r="L887" s="17">
        <f t="shared" si="39"/>
        <v>131958</v>
      </c>
      <c r="M887" s="17">
        <f ca="1" t="shared" si="40"/>
        <v>3</v>
      </c>
      <c r="N887" s="18" t="str">
        <f ca="1" t="shared" si="41"/>
        <v>Mid level</v>
      </c>
    </row>
    <row r="888" spans="1:14">
      <c r="A888" s="13" t="s">
        <v>1522</v>
      </c>
      <c r="B888" s="14" t="s">
        <v>1523</v>
      </c>
      <c r="C888" s="14" t="s">
        <v>19</v>
      </c>
      <c r="D888" s="14" t="s">
        <v>32</v>
      </c>
      <c r="E888" s="14" t="s">
        <v>57</v>
      </c>
      <c r="F888" s="14" t="s">
        <v>15</v>
      </c>
      <c r="G888" s="14" t="s">
        <v>94</v>
      </c>
      <c r="H888" s="14">
        <v>45147</v>
      </c>
      <c r="I888" s="14">
        <v>47603</v>
      </c>
      <c r="J888" s="14" t="s">
        <v>35</v>
      </c>
      <c r="K888" s="14" t="str">
        <f>A888&amp;B888&amp;C888&amp;D888&amp;E888&amp;F888&amp;G888&amp;H888&amp;I888&amp;J888&amp;[1]Sheet1!$G$5</f>
        <v>E0887Rafi MorshedMaleHRHR AssociateFull-timeRajshahi4514747603E0982Sylhet</v>
      </c>
      <c r="L888" s="14">
        <f t="shared" si="39"/>
        <v>132031</v>
      </c>
      <c r="M888" s="14">
        <f ca="1" t="shared" si="40"/>
        <v>2</v>
      </c>
      <c r="N888" s="15" t="str">
        <f ca="1" t="shared" si="41"/>
        <v>New</v>
      </c>
    </row>
    <row r="889" spans="1:14">
      <c r="A889" s="16" t="s">
        <v>1524</v>
      </c>
      <c r="B889" s="17" t="s">
        <v>1092</v>
      </c>
      <c r="C889" s="17" t="s">
        <v>19</v>
      </c>
      <c r="D889" s="17" t="s">
        <v>87</v>
      </c>
      <c r="E889" s="17" t="s">
        <v>88</v>
      </c>
      <c r="F889" s="17" t="s">
        <v>22</v>
      </c>
      <c r="G889" s="17" t="s">
        <v>16</v>
      </c>
      <c r="H889" s="17">
        <v>45570</v>
      </c>
      <c r="I889" s="17">
        <v>210895</v>
      </c>
      <c r="J889" s="17"/>
      <c r="K889" s="17" t="str">
        <f>A889&amp;B889&amp;C889&amp;D889&amp;E889&amp;F889&amp;G889&amp;H889&amp;I889&amp;J889&amp;[1]Sheet1!$G$5</f>
        <v>E0888Nabila IslamMaleProductProduct AnalystInternKhulna45570210895Sylhet</v>
      </c>
      <c r="L889" s="17">
        <f t="shared" si="39"/>
        <v>132104</v>
      </c>
      <c r="M889" s="17">
        <f ca="1" t="shared" si="40"/>
        <v>1</v>
      </c>
      <c r="N889" s="18" t="str">
        <f ca="1" t="shared" si="41"/>
        <v>New</v>
      </c>
    </row>
    <row r="890" spans="1:14">
      <c r="A890" s="13" t="s">
        <v>1525</v>
      </c>
      <c r="B890" s="14" t="s">
        <v>1381</v>
      </c>
      <c r="C890" s="14" t="s">
        <v>19</v>
      </c>
      <c r="D890" s="14" t="s">
        <v>38</v>
      </c>
      <c r="E890" s="14" t="s">
        <v>44</v>
      </c>
      <c r="F890" s="14" t="s">
        <v>15</v>
      </c>
      <c r="G890" s="14" t="s">
        <v>16</v>
      </c>
      <c r="H890" s="14">
        <v>44164</v>
      </c>
      <c r="I890" s="14">
        <v>99615</v>
      </c>
      <c r="J890" s="14" t="s">
        <v>395</v>
      </c>
      <c r="K890" s="14" t="str">
        <f>A890&amp;B890&amp;C890&amp;D890&amp;E890&amp;F890&amp;G890&amp;H890&amp;I890&amp;J890&amp;[1]Sheet1!$G$5</f>
        <v>E0889Arif ChowdhuryMaleEngineeringQA EngineerFull-timeKhulna4416499615E0132Sylhet</v>
      </c>
      <c r="L890" s="14">
        <f t="shared" si="39"/>
        <v>132031</v>
      </c>
      <c r="M890" s="14">
        <f ca="1" t="shared" si="40"/>
        <v>5</v>
      </c>
      <c r="N890" s="15" t="str">
        <f ca="1" t="shared" si="41"/>
        <v>Mid level</v>
      </c>
    </row>
    <row r="891" spans="1:14">
      <c r="A891" s="16" t="s">
        <v>23</v>
      </c>
      <c r="B891" s="17" t="s">
        <v>1526</v>
      </c>
      <c r="C891" s="17" t="s">
        <v>12</v>
      </c>
      <c r="D891" s="17" t="s">
        <v>87</v>
      </c>
      <c r="E891" s="17" t="s">
        <v>111</v>
      </c>
      <c r="F891" s="17" t="s">
        <v>48</v>
      </c>
      <c r="G891" s="17" t="s">
        <v>62</v>
      </c>
      <c r="H891" s="17">
        <v>42512</v>
      </c>
      <c r="I891" s="17">
        <v>132104</v>
      </c>
      <c r="J891" s="17" t="s">
        <v>440</v>
      </c>
      <c r="K891" s="17" t="str">
        <f>A891&amp;B891&amp;C891&amp;D891&amp;E891&amp;F891&amp;G891&amp;H891&amp;I891&amp;J891&amp;[1]Sheet1!$G$5</f>
        <v>E0890Rahim AlamFemaleProductSenior Product ManagerContractChattogram42512132104E0682Sylhet</v>
      </c>
      <c r="L891" s="17">
        <f t="shared" si="39"/>
        <v>132104</v>
      </c>
      <c r="M891" s="17">
        <f ca="1" t="shared" si="40"/>
        <v>9</v>
      </c>
      <c r="N891" s="18" t="str">
        <f ca="1" t="shared" si="41"/>
        <v>Experienced</v>
      </c>
    </row>
    <row r="892" spans="1:14">
      <c r="A892" s="13" t="s">
        <v>1527</v>
      </c>
      <c r="B892" s="14" t="s">
        <v>1107</v>
      </c>
      <c r="C892" s="14" t="s">
        <v>12</v>
      </c>
      <c r="D892" s="14" t="s">
        <v>26</v>
      </c>
      <c r="E892" s="14" t="s">
        <v>162</v>
      </c>
      <c r="F892" s="14" t="s">
        <v>15</v>
      </c>
      <c r="G892" s="14" t="s">
        <v>34</v>
      </c>
      <c r="H892" s="14">
        <v>42887</v>
      </c>
      <c r="I892" s="14">
        <v>136774</v>
      </c>
      <c r="J892" s="14" t="s">
        <v>640</v>
      </c>
      <c r="K892" s="14" t="str">
        <f>A892&amp;B892&amp;C892&amp;D892&amp;E892&amp;F892&amp;G892&amp;H892&amp;I892&amp;J892&amp;[1]Sheet1!$G$5</f>
        <v>E0891Arif KabirFemaleFinanceAccounts ExecutiveFull-timeSylhet42887136774E0762Sylhet</v>
      </c>
      <c r="L892" s="14">
        <f t="shared" si="39"/>
        <v>134203</v>
      </c>
      <c r="M892" s="14">
        <f ca="1" t="shared" si="40"/>
        <v>8</v>
      </c>
      <c r="N892" s="15" t="str">
        <f ca="1" t="shared" si="41"/>
        <v>Experienced</v>
      </c>
    </row>
    <row r="893" spans="1:14">
      <c r="A893" s="16" t="s">
        <v>1528</v>
      </c>
      <c r="B893" s="17" t="s">
        <v>1475</v>
      </c>
      <c r="C893" s="17" t="s">
        <v>19</v>
      </c>
      <c r="D893" s="17" t="s">
        <v>52</v>
      </c>
      <c r="E893" s="17" t="s">
        <v>120</v>
      </c>
      <c r="F893" s="17" t="s">
        <v>15</v>
      </c>
      <c r="G893" s="17" t="s">
        <v>34</v>
      </c>
      <c r="H893" s="17">
        <v>42645</v>
      </c>
      <c r="I893" s="17">
        <v>103522</v>
      </c>
      <c r="J893" s="17" t="s">
        <v>465</v>
      </c>
      <c r="K893" s="17" t="str">
        <f>A893&amp;B893&amp;C893&amp;D893&amp;E893&amp;F893&amp;G893&amp;H893&amp;I893&amp;J893&amp;[1]Sheet1!$G$5</f>
        <v>E0892Nafiz ShahMaleOperationsSupply Chain AnalystFull-timeSylhet42645103522E0166Sylhet</v>
      </c>
      <c r="L893" s="17">
        <f t="shared" si="39"/>
        <v>131958</v>
      </c>
      <c r="M893" s="17">
        <f ca="1" t="shared" si="40"/>
        <v>9</v>
      </c>
      <c r="N893" s="18" t="str">
        <f ca="1" t="shared" si="41"/>
        <v>Experienced</v>
      </c>
    </row>
    <row r="894" spans="1:14">
      <c r="A894" s="13" t="s">
        <v>95</v>
      </c>
      <c r="B894" s="14" t="s">
        <v>742</v>
      </c>
      <c r="C894" s="14" t="s">
        <v>19</v>
      </c>
      <c r="D894" s="14" t="s">
        <v>52</v>
      </c>
      <c r="E894" s="14" t="s">
        <v>53</v>
      </c>
      <c r="F894" s="14" t="s">
        <v>22</v>
      </c>
      <c r="G894" s="14" t="s">
        <v>40</v>
      </c>
      <c r="H894" s="14">
        <v>43336</v>
      </c>
      <c r="I894" s="14">
        <v>198114</v>
      </c>
      <c r="J894" s="14" t="s">
        <v>708</v>
      </c>
      <c r="K894" s="14" t="str">
        <f>A894&amp;B894&amp;C894&amp;D894&amp;E894&amp;F894&amp;G894&amp;H894&amp;I894&amp;J894&amp;[1]Sheet1!$G$5</f>
        <v>E0893Arif RahmanMaleOperationsOperations ManagerInternDhaka43336198114E0965Sylhet</v>
      </c>
      <c r="L894" s="14">
        <f t="shared" si="39"/>
        <v>134203</v>
      </c>
      <c r="M894" s="14">
        <f ca="1" t="shared" si="40"/>
        <v>7</v>
      </c>
      <c r="N894" s="15" t="str">
        <f ca="1" t="shared" si="41"/>
        <v>Experienced</v>
      </c>
    </row>
    <row r="895" spans="1:14">
      <c r="A895" s="16" t="s">
        <v>1529</v>
      </c>
      <c r="B895" s="17" t="s">
        <v>1530</v>
      </c>
      <c r="C895" s="17" t="s">
        <v>12</v>
      </c>
      <c r="D895" s="17" t="s">
        <v>13</v>
      </c>
      <c r="E895" s="17" t="s">
        <v>14</v>
      </c>
      <c r="F895" s="17" t="s">
        <v>15</v>
      </c>
      <c r="G895" s="17" t="s">
        <v>16</v>
      </c>
      <c r="H895" s="17">
        <v>45558</v>
      </c>
      <c r="I895" s="17">
        <v>161772</v>
      </c>
      <c r="J895" s="17" t="s">
        <v>81</v>
      </c>
      <c r="K895" s="17" t="str">
        <f>A895&amp;B895&amp;C895&amp;D895&amp;E895&amp;F895&amp;G895&amp;H895&amp;I895&amp;J895&amp;[1]Sheet1!$G$5</f>
        <v>E0894Tasnim MiahFemaleSalesSales AssociateFull-timeKhulna45558161772E0123Sylhet</v>
      </c>
      <c r="L895" s="17">
        <f t="shared" si="39"/>
        <v>131958</v>
      </c>
      <c r="M895" s="17">
        <f ca="1" t="shared" si="40"/>
        <v>1</v>
      </c>
      <c r="N895" s="18" t="str">
        <f ca="1" t="shared" si="41"/>
        <v>New</v>
      </c>
    </row>
    <row r="896" spans="1:14">
      <c r="A896" s="13" t="s">
        <v>1531</v>
      </c>
      <c r="B896" s="14" t="s">
        <v>1331</v>
      </c>
      <c r="C896" s="14" t="s">
        <v>19</v>
      </c>
      <c r="D896" s="14" t="s">
        <v>32</v>
      </c>
      <c r="E896" s="14" t="s">
        <v>130</v>
      </c>
      <c r="F896" s="14" t="s">
        <v>15</v>
      </c>
      <c r="G896" s="14" t="s">
        <v>28</v>
      </c>
      <c r="H896" s="14">
        <v>45012</v>
      </c>
      <c r="I896" s="14">
        <v>85586</v>
      </c>
      <c r="J896" s="14" t="s">
        <v>58</v>
      </c>
      <c r="K896" s="14" t="str">
        <f>A896&amp;B896&amp;C896&amp;D896&amp;E896&amp;F896&amp;G896&amp;H896&amp;I896&amp;J896&amp;[1]Sheet1!$G$5</f>
        <v>E0895Mahin HaiderMaleHRRecruiterFull-timeRemote4501285586E0314Sylhet</v>
      </c>
      <c r="L896" s="14">
        <f t="shared" si="39"/>
        <v>131616.5</v>
      </c>
      <c r="M896" s="14">
        <f ca="1" t="shared" si="40"/>
        <v>2</v>
      </c>
      <c r="N896" s="15" t="str">
        <f ca="1" t="shared" si="41"/>
        <v>New</v>
      </c>
    </row>
    <row r="897" spans="1:14">
      <c r="A897" s="16" t="s">
        <v>1532</v>
      </c>
      <c r="B897" s="17" t="s">
        <v>133</v>
      </c>
      <c r="C897" s="17" t="s">
        <v>19</v>
      </c>
      <c r="D897" s="17" t="s">
        <v>38</v>
      </c>
      <c r="E897" s="17" t="s">
        <v>44</v>
      </c>
      <c r="F897" s="17" t="s">
        <v>15</v>
      </c>
      <c r="G897" s="17" t="s">
        <v>28</v>
      </c>
      <c r="H897" s="17">
        <v>43870</v>
      </c>
      <c r="I897" s="17">
        <v>106488</v>
      </c>
      <c r="J897" s="17" t="s">
        <v>121</v>
      </c>
      <c r="K897" s="17" t="str">
        <f>A897&amp;B897&amp;C897&amp;D897&amp;E897&amp;F897&amp;G897&amp;H897&amp;I897&amp;J897&amp;[1]Sheet1!$G$5</f>
        <v>E0896Zahid HossainMaleEngineeringQA EngineerFull-timeRemote43870106488E0161Sylhet</v>
      </c>
      <c r="L897" s="17">
        <f t="shared" si="39"/>
        <v>131958</v>
      </c>
      <c r="M897" s="17">
        <f ca="1" t="shared" si="40"/>
        <v>6</v>
      </c>
      <c r="N897" s="18" t="str">
        <f ca="1" t="shared" si="41"/>
        <v>Experienced</v>
      </c>
    </row>
    <row r="898" spans="1:14">
      <c r="A898" s="13" t="s">
        <v>1151</v>
      </c>
      <c r="B898" s="14" t="s">
        <v>1533</v>
      </c>
      <c r="C898" s="14" t="s">
        <v>19</v>
      </c>
      <c r="D898" s="14" t="s">
        <v>87</v>
      </c>
      <c r="E898" s="14" t="s">
        <v>349</v>
      </c>
      <c r="F898" s="14" t="s">
        <v>15</v>
      </c>
      <c r="G898" s="14" t="s">
        <v>40</v>
      </c>
      <c r="H898" s="14">
        <v>43853</v>
      </c>
      <c r="I898" s="14">
        <v>136448</v>
      </c>
      <c r="J898" s="14" t="s">
        <v>865</v>
      </c>
      <c r="K898" s="14" t="str">
        <f>A898&amp;B898&amp;C898&amp;D898&amp;E898&amp;F898&amp;G898&amp;H898&amp;I898&amp;J898&amp;[1]Sheet1!$G$5</f>
        <v>E0897Mahin HasanMaleProductProduct ManagerFull-timeDhaka43853136448E0968Sylhet</v>
      </c>
      <c r="L898" s="14">
        <f t="shared" si="39"/>
        <v>134203</v>
      </c>
      <c r="M898" s="14">
        <f ca="1" t="shared" si="40"/>
        <v>6</v>
      </c>
      <c r="N898" s="15" t="str">
        <f ca="1" t="shared" si="41"/>
        <v>Experienced</v>
      </c>
    </row>
    <row r="899" spans="1:14">
      <c r="A899" s="16" t="s">
        <v>1534</v>
      </c>
      <c r="B899" s="17" t="s">
        <v>1535</v>
      </c>
      <c r="C899" s="17" t="s">
        <v>19</v>
      </c>
      <c r="D899" s="17" t="s">
        <v>52</v>
      </c>
      <c r="E899" s="17" t="s">
        <v>246</v>
      </c>
      <c r="F899" s="17" t="s">
        <v>22</v>
      </c>
      <c r="G899" s="17" t="s">
        <v>28</v>
      </c>
      <c r="H899" s="17">
        <v>43938</v>
      </c>
      <c r="I899" s="17">
        <v>52388</v>
      </c>
      <c r="J899" s="17" t="s">
        <v>220</v>
      </c>
      <c r="K899" s="17" t="str">
        <f>A899&amp;B899&amp;C899&amp;D899&amp;E899&amp;F899&amp;G899&amp;H899&amp;I899&amp;J899&amp;[1]Sheet1!$G$5</f>
        <v>E0898Sadia HaiderMaleOperationsOperations AssociateInternRemote4393852388E0184Sylhet</v>
      </c>
      <c r="L899" s="17">
        <f t="shared" ref="L899:L962" si="42">MEDIAN(I899:I1898)</f>
        <v>131958</v>
      </c>
      <c r="M899" s="17">
        <f ca="1" t="shared" ref="M899:M962" si="43">DATEDIF(H899,TODAY(),"Y")</f>
        <v>5</v>
      </c>
      <c r="N899" s="18" t="str">
        <f ca="1" t="shared" ref="N899:N962" si="44">IF(M899&lt;=2,"New",IF(M899&lt;=5,"Mid level",IF(M899&lt;=10,"Experienced","Long term")))</f>
        <v>Mid level</v>
      </c>
    </row>
    <row r="900" spans="1:14">
      <c r="A900" s="13" t="s">
        <v>1536</v>
      </c>
      <c r="B900" s="14" t="s">
        <v>861</v>
      </c>
      <c r="C900" s="14" t="s">
        <v>12</v>
      </c>
      <c r="D900" s="14" t="s">
        <v>38</v>
      </c>
      <c r="E900" s="14" t="s">
        <v>66</v>
      </c>
      <c r="F900" s="14" t="s">
        <v>15</v>
      </c>
      <c r="G900" s="14" t="s">
        <v>40</v>
      </c>
      <c r="H900" s="14">
        <v>44693</v>
      </c>
      <c r="I900" s="14">
        <v>111622</v>
      </c>
      <c r="J900" s="14" t="s">
        <v>286</v>
      </c>
      <c r="K900" s="14" t="str">
        <f>A900&amp;B900&amp;C900&amp;D900&amp;E900&amp;F900&amp;G900&amp;H900&amp;I900&amp;J900&amp;[1]Sheet1!$G$5</f>
        <v>E0899Sumaiya SadiqFemaleEngineeringSoftware EngineerFull-timeDhaka44693111622E0085Sylhet</v>
      </c>
      <c r="L900" s="14">
        <f t="shared" si="42"/>
        <v>135030</v>
      </c>
      <c r="M900" s="14">
        <f ca="1" t="shared" si="43"/>
        <v>3</v>
      </c>
      <c r="N900" s="15" t="str">
        <f ca="1" t="shared" si="44"/>
        <v>Mid level</v>
      </c>
    </row>
    <row r="901" spans="1:14">
      <c r="A901" s="16" t="s">
        <v>1537</v>
      </c>
      <c r="B901" s="17" t="s">
        <v>1112</v>
      </c>
      <c r="C901" s="17" t="s">
        <v>12</v>
      </c>
      <c r="D901" s="17" t="s">
        <v>38</v>
      </c>
      <c r="E901" s="17" t="s">
        <v>39</v>
      </c>
      <c r="F901" s="17" t="s">
        <v>15</v>
      </c>
      <c r="G901" s="17" t="s">
        <v>34</v>
      </c>
      <c r="H901" s="17">
        <v>42502</v>
      </c>
      <c r="I901" s="17">
        <v>92293</v>
      </c>
      <c r="J901" s="17" t="s">
        <v>41</v>
      </c>
      <c r="K901" s="17" t="str">
        <f>A901&amp;B901&amp;C901&amp;D901&amp;E901&amp;F901&amp;G901&amp;H901&amp;I901&amp;J901&amp;[1]Sheet1!$G$5</f>
        <v>E0900Tania SultanaFemaleEngineeringDevOps EngineerFull-timeSylhet4250292293E0741Sylhet</v>
      </c>
      <c r="L901" s="17">
        <f t="shared" si="42"/>
        <v>138102</v>
      </c>
      <c r="M901" s="17">
        <f ca="1" t="shared" si="43"/>
        <v>9</v>
      </c>
      <c r="N901" s="18" t="str">
        <f ca="1" t="shared" si="44"/>
        <v>Experienced</v>
      </c>
    </row>
    <row r="902" spans="1:14">
      <c r="A902" s="13" t="s">
        <v>1538</v>
      </c>
      <c r="B902" s="14" t="s">
        <v>1076</v>
      </c>
      <c r="C902" s="14" t="s">
        <v>293</v>
      </c>
      <c r="D902" s="14" t="s">
        <v>38</v>
      </c>
      <c r="E902" s="14" t="s">
        <v>140</v>
      </c>
      <c r="F902" s="14" t="s">
        <v>15</v>
      </c>
      <c r="G902" s="14" t="s">
        <v>40</v>
      </c>
      <c r="H902" s="14">
        <v>44848</v>
      </c>
      <c r="I902" s="14">
        <v>181738</v>
      </c>
      <c r="J902" s="14" t="s">
        <v>117</v>
      </c>
      <c r="K902" s="14" t="str">
        <f>A902&amp;B902&amp;C902&amp;D902&amp;E902&amp;F902&amp;G902&amp;H902&amp;I902&amp;J902&amp;[1]Sheet1!$G$5</f>
        <v>E0901Sadia ChowdhuryPrefer not to sayEngineeringSenior Software EngineerFull-timeDhaka44848181738E0756Sylhet</v>
      </c>
      <c r="L902" s="14">
        <f t="shared" si="42"/>
        <v>138104</v>
      </c>
      <c r="M902" s="14">
        <f ca="1" t="shared" si="43"/>
        <v>3</v>
      </c>
      <c r="N902" s="15" t="str">
        <f ca="1" t="shared" si="44"/>
        <v>Mid level</v>
      </c>
    </row>
    <row r="903" spans="1:14">
      <c r="A903" s="16" t="s">
        <v>1539</v>
      </c>
      <c r="B903" s="17" t="s">
        <v>233</v>
      </c>
      <c r="C903" s="17" t="s">
        <v>19</v>
      </c>
      <c r="D903" s="17" t="s">
        <v>38</v>
      </c>
      <c r="E903" s="17" t="s">
        <v>77</v>
      </c>
      <c r="F903" s="17" t="s">
        <v>15</v>
      </c>
      <c r="G903" s="17" t="s">
        <v>62</v>
      </c>
      <c r="H903" s="17">
        <v>42998</v>
      </c>
      <c r="I903" s="17">
        <v>146796</v>
      </c>
      <c r="J903" s="17" t="s">
        <v>1367</v>
      </c>
      <c r="K903" s="17" t="str">
        <f>A903&amp;B903&amp;C903&amp;D903&amp;E903&amp;F903&amp;G903&amp;H903&amp;I903&amp;J903&amp;[1]Sheet1!$G$5</f>
        <v>E0902Lamia BiswasMaleEngineeringJunior Software EngineerFull-timeChattogram42998146796E0757Sylhet</v>
      </c>
      <c r="L903" s="17">
        <f t="shared" si="42"/>
        <v>138102</v>
      </c>
      <c r="M903" s="17">
        <f ca="1" t="shared" si="43"/>
        <v>8</v>
      </c>
      <c r="N903" s="18" t="str">
        <f ca="1" t="shared" si="44"/>
        <v>Experienced</v>
      </c>
    </row>
    <row r="904" spans="1:14">
      <c r="A904" s="13" t="s">
        <v>1540</v>
      </c>
      <c r="B904" s="14" t="s">
        <v>91</v>
      </c>
      <c r="C904" s="14" t="s">
        <v>146</v>
      </c>
      <c r="D904" s="14" t="s">
        <v>38</v>
      </c>
      <c r="E904" s="14" t="s">
        <v>44</v>
      </c>
      <c r="F904" s="14" t="s">
        <v>15</v>
      </c>
      <c r="G904" s="14" t="s">
        <v>62</v>
      </c>
      <c r="H904" s="14">
        <v>45151</v>
      </c>
      <c r="I904" s="14">
        <v>129546</v>
      </c>
      <c r="J904" s="14" t="s">
        <v>286</v>
      </c>
      <c r="K904" s="14" t="str">
        <f>A904&amp;B904&amp;C904&amp;D904&amp;E904&amp;F904&amp;G904&amp;H904&amp;I904&amp;J904&amp;[1]Sheet1!$G$5</f>
        <v>E0903Noman BiswasNon-binaryEngineeringQA EngineerFull-timeChattogram45151129546E0085Sylhet</v>
      </c>
      <c r="L904" s="14">
        <f t="shared" si="42"/>
        <v>135030</v>
      </c>
      <c r="M904" s="14">
        <f ca="1" t="shared" si="43"/>
        <v>2</v>
      </c>
      <c r="N904" s="15" t="str">
        <f ca="1" t="shared" si="44"/>
        <v>New</v>
      </c>
    </row>
    <row r="905" spans="1:14">
      <c r="A905" s="16" t="s">
        <v>1541</v>
      </c>
      <c r="B905" s="17" t="s">
        <v>1542</v>
      </c>
      <c r="C905" s="17" t="s">
        <v>12</v>
      </c>
      <c r="D905" s="17" t="s">
        <v>92</v>
      </c>
      <c r="E905" s="17" t="s">
        <v>189</v>
      </c>
      <c r="F905" s="17" t="s">
        <v>15</v>
      </c>
      <c r="G905" s="17" t="s">
        <v>16</v>
      </c>
      <c r="H905" s="17">
        <v>44212</v>
      </c>
      <c r="I905" s="17">
        <v>89567</v>
      </c>
      <c r="J905" s="17" t="s">
        <v>183</v>
      </c>
      <c r="K905" s="17" t="str">
        <f>A905&amp;B905&amp;C905&amp;D905&amp;E905&amp;F905&amp;G905&amp;H905&amp;I905&amp;J905&amp;[1]Sheet1!$G$5</f>
        <v>E0904Esha AnjumFemaleMarketingMarketing AssociateFull-timeKhulna4421289567E0456Sylhet</v>
      </c>
      <c r="L905" s="17">
        <f t="shared" si="42"/>
        <v>138102</v>
      </c>
      <c r="M905" s="17">
        <f ca="1" t="shared" si="43"/>
        <v>5</v>
      </c>
      <c r="N905" s="18" t="str">
        <f ca="1" t="shared" si="44"/>
        <v>Mid level</v>
      </c>
    </row>
    <row r="906" spans="1:14">
      <c r="A906" s="13" t="s">
        <v>1543</v>
      </c>
      <c r="B906" s="14" t="s">
        <v>1372</v>
      </c>
      <c r="C906" s="14" t="s">
        <v>19</v>
      </c>
      <c r="D906" s="14" t="s">
        <v>13</v>
      </c>
      <c r="E906" s="14" t="s">
        <v>223</v>
      </c>
      <c r="F906" s="14" t="s">
        <v>15</v>
      </c>
      <c r="G906" s="14" t="s">
        <v>16</v>
      </c>
      <c r="H906" s="14">
        <v>43889</v>
      </c>
      <c r="I906" s="14">
        <v>205212</v>
      </c>
      <c r="J906" s="14" t="s">
        <v>272</v>
      </c>
      <c r="K906" s="14" t="str">
        <f>A906&amp;B906&amp;C906&amp;D906&amp;E906&amp;F906&amp;G906&amp;H906&amp;I906&amp;J906&amp;[1]Sheet1!$G$5</f>
        <v>E0905Ovi RanaMaleSalesSenior Account ExecutiveFull-timeKhulna43889205212E0080Sylhet</v>
      </c>
      <c r="L906" s="14">
        <f t="shared" si="42"/>
        <v>138104</v>
      </c>
      <c r="M906" s="14">
        <f ca="1" t="shared" si="43"/>
        <v>6</v>
      </c>
      <c r="N906" s="15" t="str">
        <f ca="1" t="shared" si="44"/>
        <v>Experienced</v>
      </c>
    </row>
    <row r="907" spans="1:14">
      <c r="A907" s="16" t="s">
        <v>1544</v>
      </c>
      <c r="B907" s="17" t="s">
        <v>231</v>
      </c>
      <c r="C907" s="17" t="s">
        <v>12</v>
      </c>
      <c r="D907" s="17" t="s">
        <v>52</v>
      </c>
      <c r="E907" s="17" t="s">
        <v>246</v>
      </c>
      <c r="F907" s="17" t="s">
        <v>15</v>
      </c>
      <c r="G907" s="17" t="s">
        <v>16</v>
      </c>
      <c r="H907" s="17">
        <v>43893</v>
      </c>
      <c r="I907" s="17">
        <v>129144</v>
      </c>
      <c r="J907" s="17" t="s">
        <v>63</v>
      </c>
      <c r="K907" s="17" t="str">
        <f>A907&amp;B907&amp;C907&amp;D907&amp;E907&amp;F907&amp;G907&amp;H907&amp;I907&amp;J907&amp;[1]Sheet1!$G$5</f>
        <v>E0906Tasnim AlamFemaleOperationsOperations AssociateFull-timeKhulna43893129144E0380Sylhet</v>
      </c>
      <c r="L907" s="17">
        <f t="shared" si="42"/>
        <v>138102</v>
      </c>
      <c r="M907" s="17">
        <f ca="1" t="shared" si="43"/>
        <v>6</v>
      </c>
      <c r="N907" s="18" t="str">
        <f ca="1" t="shared" si="44"/>
        <v>Experienced</v>
      </c>
    </row>
    <row r="908" spans="1:14">
      <c r="A908" s="13" t="s">
        <v>459</v>
      </c>
      <c r="B908" s="14" t="s">
        <v>759</v>
      </c>
      <c r="C908" s="14" t="s">
        <v>12</v>
      </c>
      <c r="D908" s="14" t="s">
        <v>52</v>
      </c>
      <c r="E908" s="14" t="s">
        <v>53</v>
      </c>
      <c r="F908" s="14" t="s">
        <v>15</v>
      </c>
      <c r="G908" s="14" t="s">
        <v>94</v>
      </c>
      <c r="H908" s="14">
        <v>44188</v>
      </c>
      <c r="I908" s="14">
        <v>175765</v>
      </c>
      <c r="J908" s="14" t="s">
        <v>676</v>
      </c>
      <c r="K908" s="14" t="str">
        <f>A908&amp;B908&amp;C908&amp;D908&amp;E908&amp;F908&amp;G908&amp;H908&amp;I908&amp;J908&amp;[1]Sheet1!$G$5</f>
        <v>E0907Ovi SharminFemaleOperationsOperations ManagerFull-timeRajshahi44188175765E0528Sylhet</v>
      </c>
      <c r="L908" s="14">
        <f t="shared" si="42"/>
        <v>138104</v>
      </c>
      <c r="M908" s="14">
        <f ca="1" t="shared" si="43"/>
        <v>5</v>
      </c>
      <c r="N908" s="15" t="str">
        <f ca="1" t="shared" si="44"/>
        <v>Mid level</v>
      </c>
    </row>
    <row r="909" spans="1:14">
      <c r="A909" s="16" t="s">
        <v>1545</v>
      </c>
      <c r="B909" s="17" t="s">
        <v>616</v>
      </c>
      <c r="C909" s="17" t="s">
        <v>12</v>
      </c>
      <c r="D909" s="17" t="s">
        <v>13</v>
      </c>
      <c r="E909" s="17" t="s">
        <v>165</v>
      </c>
      <c r="F909" s="17" t="s">
        <v>15</v>
      </c>
      <c r="G909" s="17" t="s">
        <v>94</v>
      </c>
      <c r="H909" s="17">
        <v>45495</v>
      </c>
      <c r="I909" s="17">
        <v>69496</v>
      </c>
      <c r="J909" s="17" t="s">
        <v>376</v>
      </c>
      <c r="K909" s="17" t="str">
        <f>A909&amp;B909&amp;C909&amp;D909&amp;E909&amp;F909&amp;G909&amp;H909&amp;I909&amp;J909&amp;[1]Sheet1!$G$5</f>
        <v>E0908Nabila UddinFemaleSalesAccount ExecutiveFull-timeRajshahi4549569496E0150Sylhet</v>
      </c>
      <c r="L909" s="17">
        <f t="shared" si="42"/>
        <v>138102</v>
      </c>
      <c r="M909" s="17">
        <f ca="1" t="shared" si="43"/>
        <v>1</v>
      </c>
      <c r="N909" s="18" t="str">
        <f ca="1" t="shared" si="44"/>
        <v>New</v>
      </c>
    </row>
    <row r="910" spans="1:14">
      <c r="A910" s="13" t="s">
        <v>471</v>
      </c>
      <c r="B910" s="14" t="s">
        <v>1546</v>
      </c>
      <c r="C910" s="14" t="s">
        <v>19</v>
      </c>
      <c r="D910" s="14" t="s">
        <v>87</v>
      </c>
      <c r="E910" s="14" t="s">
        <v>156</v>
      </c>
      <c r="F910" s="14" t="s">
        <v>15</v>
      </c>
      <c r="G910" s="14" t="s">
        <v>28</v>
      </c>
      <c r="H910" s="14">
        <v>42684</v>
      </c>
      <c r="I910" s="14">
        <v>284203</v>
      </c>
      <c r="J910" s="14" t="s">
        <v>721</v>
      </c>
      <c r="K910" s="14" t="str">
        <f>A910&amp;B910&amp;C910&amp;D910&amp;E910&amp;F910&amp;G910&amp;H910&amp;I910&amp;J910&amp;[1]Sheet1!$G$5</f>
        <v>E0909Tania TalukderMaleProductAssociate Product ManagerFull-timeRemote42684284203E0376Sylhet</v>
      </c>
      <c r="L910" s="14">
        <f t="shared" si="42"/>
        <v>138104</v>
      </c>
      <c r="M910" s="14">
        <f ca="1" t="shared" si="43"/>
        <v>9</v>
      </c>
      <c r="N910" s="15" t="str">
        <f ca="1" t="shared" si="44"/>
        <v>Experienced</v>
      </c>
    </row>
    <row r="911" spans="1:14">
      <c r="A911" s="16" t="s">
        <v>1547</v>
      </c>
      <c r="B911" s="17" t="s">
        <v>610</v>
      </c>
      <c r="C911" s="17" t="s">
        <v>12</v>
      </c>
      <c r="D911" s="17" t="s">
        <v>13</v>
      </c>
      <c r="E911" s="17" t="s">
        <v>14</v>
      </c>
      <c r="F911" s="17" t="s">
        <v>15</v>
      </c>
      <c r="G911" s="17" t="s">
        <v>16</v>
      </c>
      <c r="H911" s="17">
        <v>44720</v>
      </c>
      <c r="I911" s="17">
        <v>150980</v>
      </c>
      <c r="J911" s="17"/>
      <c r="K911" s="17" t="str">
        <f>A911&amp;B911&amp;C911&amp;D911&amp;E911&amp;F911&amp;G911&amp;H911&amp;I911&amp;J911&amp;[1]Sheet1!$G$5</f>
        <v>E0910Sajid UddinFemaleSalesSales AssociateFull-timeKhulna44720150980Sylhet</v>
      </c>
      <c r="L911" s="17">
        <f t="shared" si="42"/>
        <v>138102</v>
      </c>
      <c r="M911" s="17">
        <f ca="1" t="shared" si="43"/>
        <v>3</v>
      </c>
      <c r="N911" s="18" t="str">
        <f ca="1" t="shared" si="44"/>
        <v>Mid level</v>
      </c>
    </row>
    <row r="912" spans="1:14">
      <c r="A912" s="13" t="s">
        <v>1548</v>
      </c>
      <c r="B912" s="14" t="s">
        <v>469</v>
      </c>
      <c r="C912" s="14" t="s">
        <v>19</v>
      </c>
      <c r="D912" s="14" t="s">
        <v>32</v>
      </c>
      <c r="E912" s="14" t="s">
        <v>130</v>
      </c>
      <c r="F912" s="14" t="s">
        <v>15</v>
      </c>
      <c r="G912" s="14" t="s">
        <v>34</v>
      </c>
      <c r="H912" s="14">
        <v>42933</v>
      </c>
      <c r="I912" s="14">
        <v>122176</v>
      </c>
      <c r="J912" s="14" t="s">
        <v>306</v>
      </c>
      <c r="K912" s="14" t="str">
        <f>A912&amp;B912&amp;C912&amp;D912&amp;E912&amp;F912&amp;G912&amp;H912&amp;I912&amp;J912&amp;[1]Sheet1!$G$5</f>
        <v>E0911Esha IslamMaleHRRecruiterFull-timeSylhet42933122176E0330Sylhet</v>
      </c>
      <c r="L912" s="14">
        <f t="shared" si="42"/>
        <v>135030</v>
      </c>
      <c r="M912" s="14">
        <f ca="1" t="shared" si="43"/>
        <v>8</v>
      </c>
      <c r="N912" s="15" t="str">
        <f ca="1" t="shared" si="44"/>
        <v>Experienced</v>
      </c>
    </row>
    <row r="913" spans="1:14">
      <c r="A913" s="16" t="s">
        <v>554</v>
      </c>
      <c r="B913" s="17" t="s">
        <v>1549</v>
      </c>
      <c r="C913" s="17" t="s">
        <v>12</v>
      </c>
      <c r="D913" s="17" t="s">
        <v>87</v>
      </c>
      <c r="E913" s="17" t="s">
        <v>111</v>
      </c>
      <c r="F913" s="17" t="s">
        <v>15</v>
      </c>
      <c r="G913" s="17" t="s">
        <v>94</v>
      </c>
      <c r="H913" s="17">
        <v>44538</v>
      </c>
      <c r="I913" s="17">
        <v>241079</v>
      </c>
      <c r="J913" s="17" t="s">
        <v>1281</v>
      </c>
      <c r="K913" s="17" t="str">
        <f>A913&amp;B913&amp;C913&amp;D913&amp;E913&amp;F913&amp;G913&amp;H913&amp;I913&amp;J913&amp;[1]Sheet1!$G$5</f>
        <v>E0912Ayesha IslamFemaleProductSenior Product ManagerFull-timeRajshahi44538241079E0687Sylhet</v>
      </c>
      <c r="L913" s="17">
        <f t="shared" si="42"/>
        <v>138102</v>
      </c>
      <c r="M913" s="17">
        <f ca="1" t="shared" si="43"/>
        <v>4</v>
      </c>
      <c r="N913" s="18" t="str">
        <f ca="1" t="shared" si="44"/>
        <v>Mid level</v>
      </c>
    </row>
    <row r="914" spans="1:14">
      <c r="A914" s="13" t="s">
        <v>970</v>
      </c>
      <c r="B914" s="14" t="s">
        <v>158</v>
      </c>
      <c r="C914" s="14" t="s">
        <v>19</v>
      </c>
      <c r="D914" s="14" t="s">
        <v>32</v>
      </c>
      <c r="E914" s="14" t="s">
        <v>208</v>
      </c>
      <c r="F914" s="14" t="s">
        <v>15</v>
      </c>
      <c r="G914" s="14" t="s">
        <v>16</v>
      </c>
      <c r="H914" s="14">
        <v>43873</v>
      </c>
      <c r="I914" s="14">
        <v>144906</v>
      </c>
      <c r="J914" s="14" t="s">
        <v>436</v>
      </c>
      <c r="K914" s="14" t="str">
        <f>A914&amp;B914&amp;C914&amp;D914&amp;E914&amp;F914&amp;G914&amp;H914&amp;I914&amp;J914&amp;[1]Sheet1!$G$5</f>
        <v>E0913Mahin MiahMaleHRHR ManagerFull-timeKhulna43873144906E0152Sylhet</v>
      </c>
      <c r="L914" s="14">
        <f t="shared" si="42"/>
        <v>135030</v>
      </c>
      <c r="M914" s="14">
        <f ca="1" t="shared" si="43"/>
        <v>6</v>
      </c>
      <c r="N914" s="15" t="str">
        <f ca="1" t="shared" si="44"/>
        <v>Experienced</v>
      </c>
    </row>
    <row r="915" spans="1:14">
      <c r="A915" s="16" t="s">
        <v>1550</v>
      </c>
      <c r="B915" s="17" t="s">
        <v>1551</v>
      </c>
      <c r="C915" s="17" t="s">
        <v>12</v>
      </c>
      <c r="D915" s="17" t="s">
        <v>13</v>
      </c>
      <c r="E915" s="17" t="s">
        <v>165</v>
      </c>
      <c r="F915" s="17" t="s">
        <v>15</v>
      </c>
      <c r="G915" s="17" t="s">
        <v>40</v>
      </c>
      <c r="H915" s="17">
        <v>44000</v>
      </c>
      <c r="I915" s="17">
        <v>109791</v>
      </c>
      <c r="J915" s="17" t="s">
        <v>121</v>
      </c>
      <c r="K915" s="17" t="str">
        <f>A915&amp;B915&amp;C915&amp;D915&amp;E915&amp;F915&amp;G915&amp;H915&amp;I915&amp;J915&amp;[1]Sheet1!$G$5</f>
        <v>E0914Arif SadiqFemaleSalesAccount ExecutiveFull-timeDhaka44000109791E0161Sylhet</v>
      </c>
      <c r="L915" s="17">
        <f t="shared" si="42"/>
        <v>131958</v>
      </c>
      <c r="M915" s="17">
        <f ca="1" t="shared" si="43"/>
        <v>5</v>
      </c>
      <c r="N915" s="18" t="str">
        <f ca="1" t="shared" si="44"/>
        <v>Mid level</v>
      </c>
    </row>
    <row r="916" spans="1:14">
      <c r="A916" s="13" t="s">
        <v>1552</v>
      </c>
      <c r="B916" s="14" t="s">
        <v>1553</v>
      </c>
      <c r="C916" s="14" t="s">
        <v>12</v>
      </c>
      <c r="D916" s="14" t="s">
        <v>92</v>
      </c>
      <c r="E916" s="14" t="s">
        <v>391</v>
      </c>
      <c r="F916" s="14" t="s">
        <v>15</v>
      </c>
      <c r="G916" s="14" t="s">
        <v>94</v>
      </c>
      <c r="H916" s="14">
        <v>43657</v>
      </c>
      <c r="I916" s="14">
        <v>121425</v>
      </c>
      <c r="J916" s="14" t="s">
        <v>202</v>
      </c>
      <c r="K916" s="14" t="str">
        <f>A916&amp;B916&amp;C916&amp;D916&amp;E916&amp;F916&amp;G916&amp;H916&amp;I916&amp;J916&amp;[1]Sheet1!$G$5</f>
        <v>E0915Jannat KabirFemaleMarketingContent SpecialistFull-timeRajshahi43657121425E0053Sylhet</v>
      </c>
      <c r="L916" s="14">
        <f t="shared" si="42"/>
        <v>135030</v>
      </c>
      <c r="M916" s="14">
        <f ca="1" t="shared" si="43"/>
        <v>6</v>
      </c>
      <c r="N916" s="15" t="str">
        <f ca="1" t="shared" si="44"/>
        <v>Experienced</v>
      </c>
    </row>
    <row r="917" spans="1:14">
      <c r="A917" s="16" t="s">
        <v>1554</v>
      </c>
      <c r="B917" s="17" t="s">
        <v>432</v>
      </c>
      <c r="C917" s="17" t="s">
        <v>19</v>
      </c>
      <c r="D917" s="17" t="s">
        <v>13</v>
      </c>
      <c r="E917" s="17" t="s">
        <v>223</v>
      </c>
      <c r="F917" s="17" t="s">
        <v>15</v>
      </c>
      <c r="G917" s="17" t="s">
        <v>62</v>
      </c>
      <c r="H917" s="17">
        <v>45030</v>
      </c>
      <c r="I917" s="17">
        <v>88941</v>
      </c>
      <c r="J917" s="17" t="s">
        <v>722</v>
      </c>
      <c r="K917" s="17" t="str">
        <f>A917&amp;B917&amp;C917&amp;D917&amp;E917&amp;F917&amp;G917&amp;H917&amp;I917&amp;J917&amp;[1]Sheet1!$G$5</f>
        <v>E0916Shawon ShahMaleSalesSenior Account ExecutiveFull-timeChattogram4503088941E0302Sylhet</v>
      </c>
      <c r="L917" s="17">
        <f t="shared" si="42"/>
        <v>138102</v>
      </c>
      <c r="M917" s="17">
        <f ca="1" t="shared" si="43"/>
        <v>2</v>
      </c>
      <c r="N917" s="18" t="str">
        <f ca="1" t="shared" si="44"/>
        <v>New</v>
      </c>
    </row>
    <row r="918" spans="1:14">
      <c r="A918" s="13" t="s">
        <v>99</v>
      </c>
      <c r="B918" s="14" t="s">
        <v>1555</v>
      </c>
      <c r="C918" s="14" t="s">
        <v>12</v>
      </c>
      <c r="D918" s="14" t="s">
        <v>87</v>
      </c>
      <c r="E918" s="14" t="s">
        <v>111</v>
      </c>
      <c r="F918" s="14" t="s">
        <v>15</v>
      </c>
      <c r="G918" s="14" t="s">
        <v>34</v>
      </c>
      <c r="H918" s="14">
        <v>43511</v>
      </c>
      <c r="I918" s="14">
        <v>320505</v>
      </c>
      <c r="J918" s="14" t="s">
        <v>226</v>
      </c>
      <c r="K918" s="14" t="str">
        <f>A918&amp;B918&amp;C918&amp;D918&amp;E918&amp;F918&amp;G918&amp;H918&amp;I918&amp;J918&amp;[1]Sheet1!$G$5</f>
        <v>E0917Zahid ChowdhuryFemaleProductSenior Product ManagerFull-timeSylhet43511320505E0453Sylhet</v>
      </c>
      <c r="L918" s="14">
        <f t="shared" si="42"/>
        <v>138104</v>
      </c>
      <c r="M918" s="14">
        <f ca="1" t="shared" si="43"/>
        <v>7</v>
      </c>
      <c r="N918" s="15" t="str">
        <f ca="1" t="shared" si="44"/>
        <v>Experienced</v>
      </c>
    </row>
    <row r="919" spans="1:14">
      <c r="A919" s="16" t="s">
        <v>1556</v>
      </c>
      <c r="B919" s="17" t="s">
        <v>996</v>
      </c>
      <c r="C919" s="17" t="s">
        <v>12</v>
      </c>
      <c r="D919" s="17" t="s">
        <v>20</v>
      </c>
      <c r="E919" s="17" t="s">
        <v>21</v>
      </c>
      <c r="F919" s="17" t="s">
        <v>48</v>
      </c>
      <c r="G919" s="17" t="s">
        <v>16</v>
      </c>
      <c r="H919" s="17">
        <v>43392</v>
      </c>
      <c r="I919" s="17">
        <v>103974</v>
      </c>
      <c r="J919" s="17" t="s">
        <v>465</v>
      </c>
      <c r="K919" s="17" t="str">
        <f>A919&amp;B919&amp;C919&amp;D919&amp;E919&amp;F919&amp;G919&amp;H919&amp;I919&amp;J919&amp;[1]Sheet1!$G$5</f>
        <v>E0918Tania HasanFemaleCustomer SuccessSupport SpecialistContractKhulna43392103974E0166Sylhet</v>
      </c>
      <c r="L919" s="17">
        <f t="shared" si="42"/>
        <v>138102</v>
      </c>
      <c r="M919" s="17">
        <f ca="1" t="shared" si="43"/>
        <v>7</v>
      </c>
      <c r="N919" s="18" t="str">
        <f ca="1" t="shared" si="44"/>
        <v>Experienced</v>
      </c>
    </row>
    <row r="920" spans="1:14">
      <c r="A920" s="13" t="s">
        <v>1557</v>
      </c>
      <c r="B920" s="14" t="s">
        <v>686</v>
      </c>
      <c r="C920" s="14" t="s">
        <v>12</v>
      </c>
      <c r="D920" s="14" t="s">
        <v>26</v>
      </c>
      <c r="E920" s="14" t="s">
        <v>61</v>
      </c>
      <c r="F920" s="14" t="s">
        <v>22</v>
      </c>
      <c r="G920" s="14" t="s">
        <v>34</v>
      </c>
      <c r="H920" s="14">
        <v>42834</v>
      </c>
      <c r="I920" s="14">
        <v>79692</v>
      </c>
      <c r="J920" s="14" t="s">
        <v>374</v>
      </c>
      <c r="K920" s="14" t="str">
        <f>A920&amp;B920&amp;C920&amp;D920&amp;E920&amp;F920&amp;G920&amp;H920&amp;I920&amp;J920&amp;[1]Sheet1!$G$5</f>
        <v>E0919Shafiq AminFemaleFinanceFinancial AnalystInternSylhet4283479692E0122Sylhet</v>
      </c>
      <c r="L920" s="14">
        <f t="shared" si="42"/>
        <v>138104</v>
      </c>
      <c r="M920" s="14">
        <f ca="1" t="shared" si="43"/>
        <v>8</v>
      </c>
      <c r="N920" s="15" t="str">
        <f ca="1" t="shared" si="44"/>
        <v>Experienced</v>
      </c>
    </row>
    <row r="921" spans="1:14">
      <c r="A921" s="16" t="s">
        <v>1558</v>
      </c>
      <c r="B921" s="17" t="s">
        <v>1345</v>
      </c>
      <c r="C921" s="17" t="s">
        <v>12</v>
      </c>
      <c r="D921" s="17" t="s">
        <v>38</v>
      </c>
      <c r="E921" s="17" t="s">
        <v>66</v>
      </c>
      <c r="F921" s="17" t="s">
        <v>15</v>
      </c>
      <c r="G921" s="17" t="s">
        <v>28</v>
      </c>
      <c r="H921" s="17">
        <v>42476</v>
      </c>
      <c r="I921" s="17">
        <v>224389</v>
      </c>
      <c r="J921" s="17" t="s">
        <v>24</v>
      </c>
      <c r="K921" s="17" t="str">
        <f>A921&amp;B921&amp;C921&amp;D921&amp;E921&amp;F921&amp;G921&amp;H921&amp;I921&amp;J921&amp;[1]Sheet1!$G$5</f>
        <v>E0920Nadia FerdousFemaleEngineeringSoftware EngineerFull-timeRemote42476224389E0003Sylhet</v>
      </c>
      <c r="L921" s="17">
        <f t="shared" si="42"/>
        <v>138106</v>
      </c>
      <c r="M921" s="17">
        <f ca="1" t="shared" si="43"/>
        <v>9</v>
      </c>
      <c r="N921" s="18" t="str">
        <f ca="1" t="shared" si="44"/>
        <v>Experienced</v>
      </c>
    </row>
    <row r="922" spans="1:14">
      <c r="A922" s="13" t="s">
        <v>1559</v>
      </c>
      <c r="B922" s="14" t="s">
        <v>1266</v>
      </c>
      <c r="C922" s="14" t="s">
        <v>12</v>
      </c>
      <c r="D922" s="14" t="s">
        <v>52</v>
      </c>
      <c r="E922" s="14" t="s">
        <v>120</v>
      </c>
      <c r="F922" s="14" t="s">
        <v>15</v>
      </c>
      <c r="G922" s="14" t="s">
        <v>94</v>
      </c>
      <c r="H922" s="14">
        <v>45383</v>
      </c>
      <c r="I922" s="14">
        <v>73928</v>
      </c>
      <c r="J922" s="14" t="s">
        <v>482</v>
      </c>
      <c r="K922" s="14" t="str">
        <f>A922&amp;B922&amp;C922&amp;D922&amp;E922&amp;F922&amp;G922&amp;H922&amp;I922&amp;J922&amp;[1]Sheet1!$G$5</f>
        <v>E0921Fahim RanaFemaleOperationsSupply Chain AnalystFull-timeRajshahi4538373928E0229Sylhet</v>
      </c>
      <c r="L922" s="14">
        <f t="shared" si="42"/>
        <v>138104</v>
      </c>
      <c r="M922" s="14">
        <f ca="1" t="shared" si="43"/>
        <v>1</v>
      </c>
      <c r="N922" s="15" t="str">
        <f ca="1" t="shared" si="44"/>
        <v>New</v>
      </c>
    </row>
    <row r="923" spans="1:14">
      <c r="A923" s="16" t="s">
        <v>1560</v>
      </c>
      <c r="B923" s="17" t="s">
        <v>1561</v>
      </c>
      <c r="C923" s="17" t="s">
        <v>12</v>
      </c>
      <c r="D923" s="17" t="s">
        <v>92</v>
      </c>
      <c r="E923" s="17" t="s">
        <v>189</v>
      </c>
      <c r="F923" s="17" t="s">
        <v>22</v>
      </c>
      <c r="G923" s="17" t="s">
        <v>28</v>
      </c>
      <c r="H923" s="17">
        <v>43132</v>
      </c>
      <c r="I923" s="17">
        <v>69077</v>
      </c>
      <c r="J923" s="17"/>
      <c r="K923" s="17" t="str">
        <f>A923&amp;B923&amp;C923&amp;D923&amp;E923&amp;F923&amp;G923&amp;H923&amp;I923&amp;J923&amp;[1]Sheet1!$G$5</f>
        <v>E0922Tamanna TalukderFemaleMarketingMarketing AssociateInternRemote4313269077Sylhet</v>
      </c>
      <c r="L923" s="17">
        <f t="shared" si="42"/>
        <v>138106</v>
      </c>
      <c r="M923" s="17">
        <f ca="1" t="shared" si="43"/>
        <v>8</v>
      </c>
      <c r="N923" s="18" t="str">
        <f ca="1" t="shared" si="44"/>
        <v>Experienced</v>
      </c>
    </row>
    <row r="924" spans="1:14">
      <c r="A924" s="13" t="s">
        <v>1562</v>
      </c>
      <c r="B924" s="14" t="s">
        <v>1563</v>
      </c>
      <c r="C924" s="14" t="s">
        <v>12</v>
      </c>
      <c r="D924" s="14" t="s">
        <v>52</v>
      </c>
      <c r="E924" s="14" t="s">
        <v>120</v>
      </c>
      <c r="F924" s="14" t="s">
        <v>15</v>
      </c>
      <c r="G924" s="14" t="s">
        <v>40</v>
      </c>
      <c r="H924" s="14">
        <v>44414</v>
      </c>
      <c r="I924" s="14">
        <v>72855</v>
      </c>
      <c r="J924" s="14" t="s">
        <v>954</v>
      </c>
      <c r="K924" s="14" t="str">
        <f>A924&amp;B924&amp;C924&amp;D924&amp;E924&amp;F924&amp;G924&amp;H924&amp;I924&amp;J924&amp;[1]Sheet1!$G$5</f>
        <v>E0923Priya SharminFemaleOperationsSupply Chain AnalystFull-timeDhaka4441472855E0518Sylhet</v>
      </c>
      <c r="L924" s="14">
        <f t="shared" si="42"/>
        <v>140316.5</v>
      </c>
      <c r="M924" s="14">
        <f ca="1" t="shared" si="43"/>
        <v>4</v>
      </c>
      <c r="N924" s="15" t="str">
        <f ca="1" t="shared" si="44"/>
        <v>Mid level</v>
      </c>
    </row>
    <row r="925" spans="1:14">
      <c r="A925" s="16" t="s">
        <v>1564</v>
      </c>
      <c r="B925" s="17" t="s">
        <v>171</v>
      </c>
      <c r="C925" s="17" t="s">
        <v>12</v>
      </c>
      <c r="D925" s="17" t="s">
        <v>52</v>
      </c>
      <c r="E925" s="17" t="s">
        <v>120</v>
      </c>
      <c r="F925" s="17" t="s">
        <v>48</v>
      </c>
      <c r="G925" s="17" t="s">
        <v>94</v>
      </c>
      <c r="H925" s="17">
        <v>44490</v>
      </c>
      <c r="I925" s="17">
        <v>123718</v>
      </c>
      <c r="J925" s="17" t="s">
        <v>50</v>
      </c>
      <c r="K925" s="17" t="str">
        <f>A925&amp;B925&amp;C925&amp;D925&amp;E925&amp;F925&amp;G925&amp;H925&amp;I925&amp;J925&amp;[1]Sheet1!$G$5</f>
        <v>E0924Esha AminFemaleOperationsSupply Chain AnalystContractRajshahi44490123718E0008Sylhet</v>
      </c>
      <c r="L925" s="17">
        <f t="shared" si="42"/>
        <v>142527</v>
      </c>
      <c r="M925" s="17">
        <f ca="1" t="shared" si="43"/>
        <v>4</v>
      </c>
      <c r="N925" s="18" t="str">
        <f ca="1" t="shared" si="44"/>
        <v>Mid level</v>
      </c>
    </row>
    <row r="926" spans="1:14">
      <c r="A926" s="13" t="s">
        <v>1565</v>
      </c>
      <c r="B926" s="14" t="s">
        <v>1451</v>
      </c>
      <c r="C926" s="14" t="s">
        <v>12</v>
      </c>
      <c r="D926" s="14" t="s">
        <v>13</v>
      </c>
      <c r="E926" s="14" t="s">
        <v>223</v>
      </c>
      <c r="F926" s="14" t="s">
        <v>22</v>
      </c>
      <c r="G926" s="14" t="s">
        <v>40</v>
      </c>
      <c r="H926" s="14">
        <v>43955</v>
      </c>
      <c r="I926" s="14">
        <v>216552</v>
      </c>
      <c r="J926" s="14" t="s">
        <v>908</v>
      </c>
      <c r="K926" s="14" t="str">
        <f>A926&amp;B926&amp;C926&amp;D926&amp;E926&amp;F926&amp;G926&amp;H926&amp;I926&amp;J926&amp;[1]Sheet1!$G$5</f>
        <v>E0925Noman TalukderFemaleSalesSenior Account ExecutiveInternDhaka43955216552E0513Sylhet</v>
      </c>
      <c r="L926" s="14">
        <f t="shared" si="42"/>
        <v>143219</v>
      </c>
      <c r="M926" s="14">
        <f ca="1" t="shared" si="43"/>
        <v>5</v>
      </c>
      <c r="N926" s="15" t="str">
        <f ca="1" t="shared" si="44"/>
        <v>Mid level</v>
      </c>
    </row>
    <row r="927" spans="1:14">
      <c r="A927" s="16" t="s">
        <v>1566</v>
      </c>
      <c r="B927" s="17" t="s">
        <v>1567</v>
      </c>
      <c r="C927" s="17" t="s">
        <v>19</v>
      </c>
      <c r="D927" s="17" t="s">
        <v>38</v>
      </c>
      <c r="E927" s="17" t="s">
        <v>77</v>
      </c>
      <c r="F927" s="17" t="s">
        <v>48</v>
      </c>
      <c r="G927" s="17" t="s">
        <v>28</v>
      </c>
      <c r="H927" s="17">
        <v>44670</v>
      </c>
      <c r="I927" s="17">
        <v>89519</v>
      </c>
      <c r="J927" s="17" t="s">
        <v>1039</v>
      </c>
      <c r="K927" s="17" t="str">
        <f>A927&amp;B927&amp;C927&amp;D927&amp;E927&amp;F927&amp;G927&amp;H927&amp;I927&amp;J927&amp;[1]Sheet1!$G$5</f>
        <v>E0926Nabila TalukderMaleEngineeringJunior Software EngineerContractRemote4467089519E0635Sylhet</v>
      </c>
      <c r="L927" s="17">
        <f t="shared" si="42"/>
        <v>142527</v>
      </c>
      <c r="M927" s="17">
        <f ca="1" t="shared" si="43"/>
        <v>3</v>
      </c>
      <c r="N927" s="18" t="str">
        <f ca="1" t="shared" si="44"/>
        <v>Mid level</v>
      </c>
    </row>
    <row r="928" spans="1:14">
      <c r="A928" s="13" t="s">
        <v>186</v>
      </c>
      <c r="B928" s="14" t="s">
        <v>346</v>
      </c>
      <c r="C928" s="14" t="s">
        <v>19</v>
      </c>
      <c r="D928" s="14" t="s">
        <v>87</v>
      </c>
      <c r="E928" s="14" t="s">
        <v>349</v>
      </c>
      <c r="F928" s="14" t="s">
        <v>15</v>
      </c>
      <c r="G928" s="14" t="s">
        <v>28</v>
      </c>
      <c r="H928" s="14">
        <v>42852</v>
      </c>
      <c r="I928" s="14">
        <v>222698</v>
      </c>
      <c r="J928" s="14" t="s">
        <v>842</v>
      </c>
      <c r="K928" s="14" t="str">
        <f>A928&amp;B928&amp;C928&amp;D928&amp;E928&amp;F928&amp;G928&amp;H928&amp;I928&amp;J928&amp;[1]Sheet1!$G$5</f>
        <v>E0927Nabila SadiqMaleProductProduct ManagerFull-timeRemote42852222698E0465Sylhet</v>
      </c>
      <c r="L928" s="14">
        <f t="shared" si="42"/>
        <v>143219</v>
      </c>
      <c r="M928" s="14">
        <f ca="1" t="shared" si="43"/>
        <v>8</v>
      </c>
      <c r="N928" s="15" t="str">
        <f ca="1" t="shared" si="44"/>
        <v>Experienced</v>
      </c>
    </row>
    <row r="929" spans="1:14">
      <c r="A929" s="16" t="s">
        <v>1568</v>
      </c>
      <c r="B929" s="17" t="s">
        <v>1569</v>
      </c>
      <c r="C929" s="17" t="s">
        <v>12</v>
      </c>
      <c r="D929" s="17" t="s">
        <v>92</v>
      </c>
      <c r="E929" s="17" t="s">
        <v>391</v>
      </c>
      <c r="F929" s="17" t="s">
        <v>48</v>
      </c>
      <c r="G929" s="17" t="s">
        <v>28</v>
      </c>
      <c r="H929" s="17">
        <v>43442</v>
      </c>
      <c r="I929" s="17">
        <v>105766</v>
      </c>
      <c r="J929" s="17" t="s">
        <v>262</v>
      </c>
      <c r="K929" s="17" t="str">
        <f>A929&amp;B929&amp;C929&amp;D929&amp;E929&amp;F929&amp;G929&amp;H929&amp;I929&amp;J929&amp;[1]Sheet1!$G$5</f>
        <v>E0928Rashed KhanFemaleMarketingContent SpecialistContractRemote43442105766E0075Sylhet</v>
      </c>
      <c r="L929" s="17">
        <f t="shared" si="42"/>
        <v>142527</v>
      </c>
      <c r="M929" s="17">
        <f ca="1" t="shared" si="43"/>
        <v>7</v>
      </c>
      <c r="N929" s="18" t="str">
        <f ca="1" t="shared" si="44"/>
        <v>Experienced</v>
      </c>
    </row>
    <row r="930" spans="1:14">
      <c r="A930" s="13" t="s">
        <v>1570</v>
      </c>
      <c r="B930" s="14" t="s">
        <v>1571</v>
      </c>
      <c r="C930" s="14" t="s">
        <v>12</v>
      </c>
      <c r="D930" s="14" t="s">
        <v>32</v>
      </c>
      <c r="E930" s="14" t="s">
        <v>33</v>
      </c>
      <c r="F930" s="14" t="s">
        <v>15</v>
      </c>
      <c r="G930" s="14" t="s">
        <v>40</v>
      </c>
      <c r="H930" s="14">
        <v>45544</v>
      </c>
      <c r="I930" s="14">
        <v>129868</v>
      </c>
      <c r="J930" s="14" t="s">
        <v>50</v>
      </c>
      <c r="K930" s="14" t="str">
        <f>A930&amp;B930&amp;C930&amp;D930&amp;E930&amp;F930&amp;G930&amp;H930&amp;I930&amp;J930&amp;[1]Sheet1!$G$5</f>
        <v>E0929Farhan AkterFemaleHRHR Business PartnerFull-timeDhaka45544129868E0008Sylhet</v>
      </c>
      <c r="L930" s="14">
        <f t="shared" si="42"/>
        <v>143219</v>
      </c>
      <c r="M930" s="14">
        <f ca="1" t="shared" si="43"/>
        <v>1</v>
      </c>
      <c r="N930" s="15" t="str">
        <f ca="1" t="shared" si="44"/>
        <v>New</v>
      </c>
    </row>
    <row r="931" spans="1:14">
      <c r="A931" s="16" t="s">
        <v>1572</v>
      </c>
      <c r="B931" s="17" t="s">
        <v>133</v>
      </c>
      <c r="C931" s="17" t="s">
        <v>19</v>
      </c>
      <c r="D931" s="17" t="s">
        <v>87</v>
      </c>
      <c r="E931" s="17" t="s">
        <v>88</v>
      </c>
      <c r="F931" s="17" t="s">
        <v>15</v>
      </c>
      <c r="G931" s="17" t="s">
        <v>34</v>
      </c>
      <c r="H931" s="17">
        <v>43436</v>
      </c>
      <c r="I931" s="17">
        <v>169924</v>
      </c>
      <c r="J931" s="17" t="s">
        <v>476</v>
      </c>
      <c r="K931" s="17" t="str">
        <f>A931&amp;B931&amp;C931&amp;D931&amp;E931&amp;F931&amp;G931&amp;H931&amp;I931&amp;J931&amp;[1]Sheet1!$G$5</f>
        <v>E0930Zahid HossainMaleProductProduct AnalystFull-timeSylhet43436169924E0574Sylhet</v>
      </c>
      <c r="L931" s="17">
        <f t="shared" si="42"/>
        <v>143911</v>
      </c>
      <c r="M931" s="17">
        <f ca="1" t="shared" si="43"/>
        <v>7</v>
      </c>
      <c r="N931" s="18" t="str">
        <f ca="1" t="shared" si="44"/>
        <v>Experienced</v>
      </c>
    </row>
    <row r="932" spans="1:14">
      <c r="A932" s="13" t="s">
        <v>1573</v>
      </c>
      <c r="B932" s="14" t="s">
        <v>444</v>
      </c>
      <c r="C932" s="14" t="s">
        <v>19</v>
      </c>
      <c r="D932" s="14" t="s">
        <v>38</v>
      </c>
      <c r="E932" s="14" t="s">
        <v>140</v>
      </c>
      <c r="F932" s="14" t="s">
        <v>48</v>
      </c>
      <c r="G932" s="14" t="s">
        <v>62</v>
      </c>
      <c r="H932" s="14">
        <v>45253</v>
      </c>
      <c r="I932" s="14">
        <v>109277</v>
      </c>
      <c r="J932" s="14" t="s">
        <v>1259</v>
      </c>
      <c r="K932" s="14" t="str">
        <f>A932&amp;B932&amp;C932&amp;D932&amp;E932&amp;F932&amp;G932&amp;H932&amp;I932&amp;J932&amp;[1]Sheet1!$G$5</f>
        <v>E0931Tania FerdousMaleEngineeringSenior Software EngineerContractChattogram45253109277E0664Sylhet</v>
      </c>
      <c r="L932" s="14">
        <f t="shared" si="42"/>
        <v>143219</v>
      </c>
      <c r="M932" s="14">
        <f ca="1" t="shared" si="43"/>
        <v>2</v>
      </c>
      <c r="N932" s="15" t="str">
        <f ca="1" t="shared" si="44"/>
        <v>New</v>
      </c>
    </row>
    <row r="933" spans="1:14">
      <c r="A933" s="16" t="s">
        <v>1574</v>
      </c>
      <c r="B933" s="17" t="s">
        <v>1575</v>
      </c>
      <c r="C933" s="17" t="s">
        <v>12</v>
      </c>
      <c r="D933" s="17" t="s">
        <v>52</v>
      </c>
      <c r="E933" s="17" t="s">
        <v>120</v>
      </c>
      <c r="F933" s="17" t="s">
        <v>15</v>
      </c>
      <c r="G933" s="17" t="s">
        <v>28</v>
      </c>
      <c r="H933" s="17">
        <v>44197</v>
      </c>
      <c r="I933" s="17">
        <v>85515</v>
      </c>
      <c r="J933" s="17" t="s">
        <v>1514</v>
      </c>
      <c r="K933" s="17" t="str">
        <f>A933&amp;B933&amp;C933&amp;D933&amp;E933&amp;F933&amp;G933&amp;H933&amp;I933&amp;J933&amp;[1]Sheet1!$G$5</f>
        <v>E0932Shafiq ShahFemaleOperationsSupply Chain AnalystFull-timeRemote4419785515E0880Sylhet</v>
      </c>
      <c r="L933" s="17">
        <f t="shared" si="42"/>
        <v>143911</v>
      </c>
      <c r="M933" s="17">
        <f ca="1" t="shared" si="43"/>
        <v>5</v>
      </c>
      <c r="N933" s="18" t="str">
        <f ca="1" t="shared" si="44"/>
        <v>Mid level</v>
      </c>
    </row>
    <row r="934" spans="1:14">
      <c r="A934" s="13" t="s">
        <v>1576</v>
      </c>
      <c r="B934" s="14" t="s">
        <v>282</v>
      </c>
      <c r="C934" s="14" t="s">
        <v>19</v>
      </c>
      <c r="D934" s="14" t="s">
        <v>20</v>
      </c>
      <c r="E934" s="14" t="s">
        <v>21</v>
      </c>
      <c r="F934" s="14" t="s">
        <v>15</v>
      </c>
      <c r="G934" s="14" t="s">
        <v>40</v>
      </c>
      <c r="H934" s="14">
        <v>43248</v>
      </c>
      <c r="I934" s="14">
        <v>80134</v>
      </c>
      <c r="J934" s="14" t="s">
        <v>468</v>
      </c>
      <c r="K934" s="14" t="str">
        <f>A934&amp;B934&amp;C934&amp;D934&amp;E934&amp;F934&amp;G934&amp;H934&amp;I934&amp;J934&amp;[1]Sheet1!$G$5</f>
        <v>E0933Ayesha BanuMaleCustomer SuccessSupport SpecialistFull-timeDhaka4324880134E0167Sylhet</v>
      </c>
      <c r="L934" s="14">
        <f t="shared" si="42"/>
        <v>144572.5</v>
      </c>
      <c r="M934" s="14">
        <f ca="1" t="shared" si="43"/>
        <v>7</v>
      </c>
      <c r="N934" s="15" t="str">
        <f ca="1" t="shared" si="44"/>
        <v>Experienced</v>
      </c>
    </row>
    <row r="935" spans="1:14">
      <c r="A935" s="16" t="s">
        <v>1577</v>
      </c>
      <c r="B935" s="17" t="s">
        <v>313</v>
      </c>
      <c r="C935" s="17" t="s">
        <v>19</v>
      </c>
      <c r="D935" s="17" t="s">
        <v>92</v>
      </c>
      <c r="E935" s="17" t="s">
        <v>93</v>
      </c>
      <c r="F935" s="17" t="s">
        <v>15</v>
      </c>
      <c r="G935" s="17" t="s">
        <v>62</v>
      </c>
      <c r="H935" s="17">
        <v>44876</v>
      </c>
      <c r="I935" s="17">
        <v>124051</v>
      </c>
      <c r="J935" s="17" t="s">
        <v>490</v>
      </c>
      <c r="K935" s="17" t="str">
        <f>A935&amp;B935&amp;C935&amp;D935&amp;E935&amp;F935&amp;G935&amp;H935&amp;I935&amp;J935&amp;[1]Sheet1!$G$5</f>
        <v>E0934Arif MiahMaleMarketingGrowth MarketerFull-timeChattogram44876124051E0686Sylhet</v>
      </c>
      <c r="L935" s="17">
        <f t="shared" si="42"/>
        <v>145234</v>
      </c>
      <c r="M935" s="17">
        <f ca="1" t="shared" si="43"/>
        <v>3</v>
      </c>
      <c r="N935" s="18" t="str">
        <f ca="1" t="shared" si="44"/>
        <v>Mid level</v>
      </c>
    </row>
    <row r="936" spans="1:14">
      <c r="A936" s="13" t="s">
        <v>1578</v>
      </c>
      <c r="B936" s="14" t="s">
        <v>616</v>
      </c>
      <c r="C936" s="14" t="s">
        <v>19</v>
      </c>
      <c r="D936" s="14" t="s">
        <v>38</v>
      </c>
      <c r="E936" s="14" t="s">
        <v>44</v>
      </c>
      <c r="F936" s="14" t="s">
        <v>15</v>
      </c>
      <c r="G936" s="14" t="s">
        <v>94</v>
      </c>
      <c r="H936" s="14">
        <v>43539</v>
      </c>
      <c r="I936" s="14">
        <v>103259</v>
      </c>
      <c r="J936" s="14" t="s">
        <v>172</v>
      </c>
      <c r="K936" s="14" t="str">
        <f>A936&amp;B936&amp;C936&amp;D936&amp;E936&amp;F936&amp;G936&amp;H936&amp;I936&amp;J936&amp;[1]Sheet1!$G$5</f>
        <v>E0935Nabila UddinMaleEngineeringQA EngineerFull-timeRajshahi43539103259E0141Sylhet</v>
      </c>
      <c r="L936" s="14">
        <f t="shared" si="42"/>
        <v>146030.5</v>
      </c>
      <c r="M936" s="14">
        <f ca="1" t="shared" si="43"/>
        <v>7</v>
      </c>
      <c r="N936" s="15" t="str">
        <f ca="1" t="shared" si="44"/>
        <v>Experienced</v>
      </c>
    </row>
    <row r="937" spans="1:14">
      <c r="A937" s="16" t="s">
        <v>619</v>
      </c>
      <c r="B937" s="17" t="s">
        <v>1462</v>
      </c>
      <c r="C937" s="17" t="s">
        <v>146</v>
      </c>
      <c r="D937" s="17" t="s">
        <v>87</v>
      </c>
      <c r="E937" s="17" t="s">
        <v>349</v>
      </c>
      <c r="F937" s="17" t="s">
        <v>15</v>
      </c>
      <c r="G937" s="17" t="s">
        <v>34</v>
      </c>
      <c r="H937" s="17">
        <v>45212</v>
      </c>
      <c r="I937" s="17">
        <v>126702</v>
      </c>
      <c r="J937" s="17" t="s">
        <v>137</v>
      </c>
      <c r="K937" s="17" t="str">
        <f>A937&amp;B937&amp;C937&amp;D937&amp;E937&amp;F937&amp;G937&amp;H937&amp;I937&amp;J937&amp;[1]Sheet1!$G$5</f>
        <v>E0936Shafiq FerdousNon-binaryProductProduct ManagerFull-timeSylhet45212126702E0699Sylhet</v>
      </c>
      <c r="L937" s="17">
        <f t="shared" si="42"/>
        <v>146827</v>
      </c>
      <c r="M937" s="17">
        <f ca="1" t="shared" si="43"/>
        <v>2</v>
      </c>
      <c r="N937" s="18" t="str">
        <f ca="1" t="shared" si="44"/>
        <v>New</v>
      </c>
    </row>
    <row r="938" spans="1:14">
      <c r="A938" s="13" t="s">
        <v>1579</v>
      </c>
      <c r="B938" s="14" t="s">
        <v>1523</v>
      </c>
      <c r="C938" s="14" t="s">
        <v>19</v>
      </c>
      <c r="D938" s="14" t="s">
        <v>38</v>
      </c>
      <c r="E938" s="14" t="s">
        <v>66</v>
      </c>
      <c r="F938" s="14" t="s">
        <v>15</v>
      </c>
      <c r="G938" s="14" t="s">
        <v>62</v>
      </c>
      <c r="H938" s="14">
        <v>44381</v>
      </c>
      <c r="I938" s="14">
        <v>138106</v>
      </c>
      <c r="J938" s="14" t="s">
        <v>54</v>
      </c>
      <c r="K938" s="14" t="str">
        <f>A938&amp;B938&amp;C938&amp;D938&amp;E938&amp;F938&amp;G938&amp;H938&amp;I938&amp;J938&amp;[1]Sheet1!$G$5</f>
        <v>E0937Rafi MorshedMaleEngineeringSoftware EngineerFull-timeChattogram44381138106E0646Sylhet</v>
      </c>
      <c r="L938" s="14">
        <f t="shared" si="42"/>
        <v>147906.5</v>
      </c>
      <c r="M938" s="14">
        <f ca="1" t="shared" si="43"/>
        <v>4</v>
      </c>
      <c r="N938" s="15" t="str">
        <f ca="1" t="shared" si="44"/>
        <v>Mid level</v>
      </c>
    </row>
    <row r="939" spans="1:14">
      <c r="A939" s="16" t="s">
        <v>148</v>
      </c>
      <c r="B939" s="17" t="s">
        <v>506</v>
      </c>
      <c r="C939" s="17" t="s">
        <v>12</v>
      </c>
      <c r="D939" s="17" t="s">
        <v>20</v>
      </c>
      <c r="E939" s="17" t="s">
        <v>70</v>
      </c>
      <c r="F939" s="17" t="s">
        <v>15</v>
      </c>
      <c r="G939" s="17" t="s">
        <v>34</v>
      </c>
      <c r="H939" s="17">
        <v>43189</v>
      </c>
      <c r="I939" s="17">
        <v>159288</v>
      </c>
      <c r="J939" s="17" t="s">
        <v>114</v>
      </c>
      <c r="K939" s="17" t="str">
        <f>A939&amp;B939&amp;C939&amp;D939&amp;E939&amp;F939&amp;G939&amp;H939&amp;I939&amp;J939&amp;[1]Sheet1!$G$5</f>
        <v>E0938Priya AminFemaleCustomer SuccessCustomer Success ManagerFull-timeSylhet43189159288E0989Sylhet</v>
      </c>
      <c r="L939" s="17">
        <f t="shared" si="42"/>
        <v>148986</v>
      </c>
      <c r="M939" s="17">
        <f ca="1" t="shared" si="43"/>
        <v>7</v>
      </c>
      <c r="N939" s="18" t="str">
        <f ca="1" t="shared" si="44"/>
        <v>Experienced</v>
      </c>
    </row>
    <row r="940" spans="1:14">
      <c r="A940" s="13" t="s">
        <v>1580</v>
      </c>
      <c r="B940" s="14" t="s">
        <v>161</v>
      </c>
      <c r="C940" s="14" t="s">
        <v>12</v>
      </c>
      <c r="D940" s="14" t="s">
        <v>38</v>
      </c>
      <c r="E940" s="14" t="s">
        <v>140</v>
      </c>
      <c r="F940" s="14" t="s">
        <v>15</v>
      </c>
      <c r="G940" s="14" t="s">
        <v>16</v>
      </c>
      <c r="H940" s="14">
        <v>42872</v>
      </c>
      <c r="I940" s="14">
        <v>212363</v>
      </c>
      <c r="J940" s="14"/>
      <c r="K940" s="14" t="str">
        <f>A940&amp;B940&amp;C940&amp;D940&amp;E940&amp;F940&amp;G940&amp;H940&amp;I940&amp;J940&amp;[1]Sheet1!$G$5</f>
        <v>E0939Sadia BiswasFemaleEngineeringSenior Software EngineerFull-timeKhulna42872212363Sylhet</v>
      </c>
      <c r="L940" s="14">
        <f t="shared" si="42"/>
        <v>147906.5</v>
      </c>
      <c r="M940" s="14">
        <f ca="1" t="shared" si="43"/>
        <v>8</v>
      </c>
      <c r="N940" s="15" t="str">
        <f ca="1" t="shared" si="44"/>
        <v>Experienced</v>
      </c>
    </row>
    <row r="941" spans="1:14">
      <c r="A941" s="16" t="s">
        <v>1581</v>
      </c>
      <c r="B941" s="17" t="s">
        <v>362</v>
      </c>
      <c r="C941" s="17" t="s">
        <v>19</v>
      </c>
      <c r="D941" s="17" t="s">
        <v>92</v>
      </c>
      <c r="E941" s="17" t="s">
        <v>189</v>
      </c>
      <c r="F941" s="17" t="s">
        <v>48</v>
      </c>
      <c r="G941" s="17" t="s">
        <v>34</v>
      </c>
      <c r="H941" s="17">
        <v>42925</v>
      </c>
      <c r="I941" s="17">
        <v>131958</v>
      </c>
      <c r="J941" s="17" t="s">
        <v>121</v>
      </c>
      <c r="K941" s="17" t="str">
        <f>A941&amp;B941&amp;C941&amp;D941&amp;E941&amp;F941&amp;G941&amp;H941&amp;I941&amp;J941&amp;[1]Sheet1!$G$5</f>
        <v>E0940Sumaiya SharminMaleMarketingMarketing AssociateContractSylhet42925131958E0161Sylhet</v>
      </c>
      <c r="L941" s="17">
        <f t="shared" si="42"/>
        <v>146827</v>
      </c>
      <c r="M941" s="17">
        <f ca="1" t="shared" si="43"/>
        <v>8</v>
      </c>
      <c r="N941" s="18" t="str">
        <f ca="1" t="shared" si="44"/>
        <v>Experienced</v>
      </c>
    </row>
    <row r="942" spans="1:14">
      <c r="A942" s="13" t="s">
        <v>1582</v>
      </c>
      <c r="B942" s="14" t="s">
        <v>1414</v>
      </c>
      <c r="C942" s="14" t="s">
        <v>12</v>
      </c>
      <c r="D942" s="14" t="s">
        <v>87</v>
      </c>
      <c r="E942" s="14" t="s">
        <v>88</v>
      </c>
      <c r="F942" s="14" t="s">
        <v>15</v>
      </c>
      <c r="G942" s="14" t="s">
        <v>28</v>
      </c>
      <c r="H942" s="14">
        <v>45863</v>
      </c>
      <c r="I942" s="14">
        <v>201934</v>
      </c>
      <c r="J942" s="14" t="s">
        <v>493</v>
      </c>
      <c r="K942" s="14" t="str">
        <f>A942&amp;B942&amp;C942&amp;D942&amp;E942&amp;F942&amp;G942&amp;H942&amp;I942&amp;J942&amp;[1]Sheet1!$G$5</f>
        <v>E0941Tasnim AhmedFemaleProductProduct AnalystFull-timeRemote45863201934E0249Sylhet</v>
      </c>
      <c r="L942" s="14">
        <f t="shared" si="42"/>
        <v>147906.5</v>
      </c>
      <c r="M942" s="14">
        <f ca="1" t="shared" si="43"/>
        <v>0</v>
      </c>
      <c r="N942" s="15" t="str">
        <f ca="1" t="shared" si="44"/>
        <v>New</v>
      </c>
    </row>
    <row r="943" spans="1:14">
      <c r="A943" s="16" t="s">
        <v>1583</v>
      </c>
      <c r="B943" s="17" t="s">
        <v>315</v>
      </c>
      <c r="C943" s="17" t="s">
        <v>19</v>
      </c>
      <c r="D943" s="17" t="s">
        <v>92</v>
      </c>
      <c r="E943" s="17" t="s">
        <v>391</v>
      </c>
      <c r="F943" s="17" t="s">
        <v>15</v>
      </c>
      <c r="G943" s="17" t="s">
        <v>34</v>
      </c>
      <c r="H943" s="17">
        <v>42673</v>
      </c>
      <c r="I943" s="17">
        <v>113918</v>
      </c>
      <c r="J943" s="17" t="s">
        <v>41</v>
      </c>
      <c r="K943" s="17" t="str">
        <f>A943&amp;B943&amp;C943&amp;D943&amp;E943&amp;F943&amp;G943&amp;H943&amp;I943&amp;J943&amp;[1]Sheet1!$G$5</f>
        <v>E0942Shawon FerdousMaleMarketingContent SpecialistFull-timeSylhet42673113918E0741Sylhet</v>
      </c>
      <c r="L943" s="17">
        <f t="shared" si="42"/>
        <v>146827</v>
      </c>
      <c r="M943" s="17">
        <f ca="1" t="shared" si="43"/>
        <v>9</v>
      </c>
      <c r="N943" s="18" t="str">
        <f ca="1" t="shared" si="44"/>
        <v>Experienced</v>
      </c>
    </row>
    <row r="944" spans="1:14">
      <c r="A944" s="13" t="s">
        <v>1584</v>
      </c>
      <c r="B944" s="14" t="s">
        <v>1162</v>
      </c>
      <c r="C944" s="14" t="s">
        <v>12</v>
      </c>
      <c r="D944" s="14" t="s">
        <v>32</v>
      </c>
      <c r="E944" s="14" t="s">
        <v>33</v>
      </c>
      <c r="F944" s="14" t="s">
        <v>15</v>
      </c>
      <c r="G944" s="14" t="s">
        <v>40</v>
      </c>
      <c r="H944" s="14">
        <v>44221</v>
      </c>
      <c r="I944" s="14">
        <v>131275</v>
      </c>
      <c r="J944" s="14" t="s">
        <v>280</v>
      </c>
      <c r="K944" s="14" t="str">
        <f>A944&amp;B944&amp;C944&amp;D944&amp;E944&amp;F944&amp;G944&amp;H944&amp;I944&amp;J944&amp;[1]Sheet1!$G$5</f>
        <v>E0943Tania SarkerFemaleHRHR Business PartnerFull-timeDhaka44221131275E0617Sylhet</v>
      </c>
      <c r="L944" s="14">
        <f t="shared" si="42"/>
        <v>147906.5</v>
      </c>
      <c r="M944" s="14">
        <f ca="1" t="shared" si="43"/>
        <v>5</v>
      </c>
      <c r="N944" s="15" t="str">
        <f ca="1" t="shared" si="44"/>
        <v>Mid level</v>
      </c>
    </row>
    <row r="945" spans="1:14">
      <c r="A945" s="16" t="s">
        <v>1585</v>
      </c>
      <c r="B945" s="17" t="s">
        <v>353</v>
      </c>
      <c r="C945" s="17" t="s">
        <v>12</v>
      </c>
      <c r="D945" s="17" t="s">
        <v>52</v>
      </c>
      <c r="E945" s="17" t="s">
        <v>120</v>
      </c>
      <c r="F945" s="17" t="s">
        <v>48</v>
      </c>
      <c r="G945" s="17" t="s">
        <v>34</v>
      </c>
      <c r="H945" s="17">
        <v>43077</v>
      </c>
      <c r="I945" s="17">
        <v>96665</v>
      </c>
      <c r="J945" s="17" t="s">
        <v>121</v>
      </c>
      <c r="K945" s="17" t="str">
        <f>A945&amp;B945&amp;C945&amp;D945&amp;E945&amp;F945&amp;G945&amp;H945&amp;I945&amp;J945&amp;[1]Sheet1!$G$5</f>
        <v>E0944Shafiq AnjumFemaleOperationsSupply Chain AnalystContractSylhet4307796665E0161Sylhet</v>
      </c>
      <c r="L945" s="17">
        <f t="shared" si="42"/>
        <v>148986</v>
      </c>
      <c r="M945" s="17">
        <f ca="1" t="shared" si="43"/>
        <v>8</v>
      </c>
      <c r="N945" s="18" t="str">
        <f ca="1" t="shared" si="44"/>
        <v>Experienced</v>
      </c>
    </row>
    <row r="946" spans="1:14">
      <c r="A946" s="13" t="s">
        <v>1586</v>
      </c>
      <c r="B946" s="14" t="s">
        <v>1092</v>
      </c>
      <c r="C946" s="14" t="s">
        <v>19</v>
      </c>
      <c r="D946" s="14" t="s">
        <v>38</v>
      </c>
      <c r="E946" s="14" t="s">
        <v>39</v>
      </c>
      <c r="F946" s="14" t="s">
        <v>15</v>
      </c>
      <c r="G946" s="14" t="s">
        <v>94</v>
      </c>
      <c r="H946" s="14">
        <v>45291</v>
      </c>
      <c r="I946" s="14">
        <v>146827</v>
      </c>
      <c r="J946" s="14" t="s">
        <v>89</v>
      </c>
      <c r="K946" s="14" t="str">
        <f>A946&amp;B946&amp;C946&amp;D946&amp;E946&amp;F946&amp;G946&amp;H946&amp;I946&amp;J946&amp;[1]Sheet1!$G$5</f>
        <v>E0945Nabila IslamMaleEngineeringDevOps EngineerFull-timeRajshahi45291146827E0783Sylhet</v>
      </c>
      <c r="L946" s="14">
        <f t="shared" si="42"/>
        <v>149732.5</v>
      </c>
      <c r="M946" s="14">
        <f ca="1" t="shared" si="43"/>
        <v>2</v>
      </c>
      <c r="N946" s="15" t="str">
        <f ca="1" t="shared" si="44"/>
        <v>New</v>
      </c>
    </row>
    <row r="947" spans="1:14">
      <c r="A947" s="16" t="s">
        <v>1587</v>
      </c>
      <c r="B947" s="17" t="s">
        <v>427</v>
      </c>
      <c r="C947" s="17" t="s">
        <v>19</v>
      </c>
      <c r="D947" s="17" t="s">
        <v>38</v>
      </c>
      <c r="E947" s="17" t="s">
        <v>140</v>
      </c>
      <c r="F947" s="17" t="s">
        <v>48</v>
      </c>
      <c r="G947" s="17" t="s">
        <v>40</v>
      </c>
      <c r="H947" s="17">
        <v>44193</v>
      </c>
      <c r="I947" s="17">
        <v>188623</v>
      </c>
      <c r="J947" s="17" t="s">
        <v>813</v>
      </c>
      <c r="K947" s="17" t="str">
        <f>A947&amp;B947&amp;C947&amp;D947&amp;E947&amp;F947&amp;G947&amp;H947&amp;I947&amp;J947&amp;[1]Sheet1!$G$5</f>
        <v>E0946Nabila SarkerMaleEngineeringSenior Software EngineerContractDhaka44193188623E0991Sylhet</v>
      </c>
      <c r="L947" s="17">
        <f t="shared" si="42"/>
        <v>150479</v>
      </c>
      <c r="M947" s="17">
        <f ca="1" t="shared" si="43"/>
        <v>5</v>
      </c>
      <c r="N947" s="18" t="str">
        <f ca="1" t="shared" si="44"/>
        <v>Mid level</v>
      </c>
    </row>
    <row r="948" spans="1:14">
      <c r="A948" s="13" t="s">
        <v>1588</v>
      </c>
      <c r="B948" s="14" t="s">
        <v>1589</v>
      </c>
      <c r="C948" s="14" t="s">
        <v>12</v>
      </c>
      <c r="D948" s="14" t="s">
        <v>38</v>
      </c>
      <c r="E948" s="14" t="s">
        <v>140</v>
      </c>
      <c r="F948" s="14" t="s">
        <v>15</v>
      </c>
      <c r="G948" s="14" t="s">
        <v>34</v>
      </c>
      <c r="H948" s="14">
        <v>42729</v>
      </c>
      <c r="I948" s="14">
        <v>145234</v>
      </c>
      <c r="J948" s="14"/>
      <c r="K948" s="14" t="str">
        <f>A948&amp;B948&amp;C948&amp;D948&amp;E948&amp;F948&amp;G948&amp;H948&amp;I948&amp;J948&amp;[1]Sheet1!$G$5</f>
        <v>E0947Tasnim IslamFemaleEngineeringSenior Software EngineerFull-timeSylhet42729145234Sylhet</v>
      </c>
      <c r="L948" s="14">
        <f t="shared" si="42"/>
        <v>149732.5</v>
      </c>
      <c r="M948" s="14">
        <f ca="1" t="shared" si="43"/>
        <v>9</v>
      </c>
      <c r="N948" s="15" t="str">
        <f ca="1" t="shared" si="44"/>
        <v>Experienced</v>
      </c>
    </row>
    <row r="949" spans="1:14">
      <c r="A949" s="16" t="s">
        <v>1590</v>
      </c>
      <c r="B949" s="17" t="s">
        <v>1094</v>
      </c>
      <c r="C949" s="17" t="s">
        <v>19</v>
      </c>
      <c r="D949" s="17" t="s">
        <v>20</v>
      </c>
      <c r="E949" s="17" t="s">
        <v>147</v>
      </c>
      <c r="F949" s="17" t="s">
        <v>15</v>
      </c>
      <c r="G949" s="17" t="s">
        <v>94</v>
      </c>
      <c r="H949" s="17">
        <v>45689</v>
      </c>
      <c r="I949" s="17">
        <v>92688</v>
      </c>
      <c r="J949" s="17" t="s">
        <v>58</v>
      </c>
      <c r="K949" s="17" t="str">
        <f>A949&amp;B949&amp;C949&amp;D949&amp;E949&amp;F949&amp;G949&amp;H949&amp;I949&amp;J949&amp;[1]Sheet1!$G$5</f>
        <v>E0948Fahim IslamMaleCustomer SuccessSupport AssociateFull-timeRajshahi4568992688E0314Sylhet</v>
      </c>
      <c r="L949" s="17">
        <f t="shared" si="42"/>
        <v>150479</v>
      </c>
      <c r="M949" s="17">
        <f ca="1" t="shared" si="43"/>
        <v>1</v>
      </c>
      <c r="N949" s="18" t="str">
        <f ca="1" t="shared" si="44"/>
        <v>New</v>
      </c>
    </row>
    <row r="950" spans="1:14">
      <c r="A950" s="13" t="s">
        <v>1591</v>
      </c>
      <c r="B950" s="14" t="s">
        <v>292</v>
      </c>
      <c r="C950" s="14" t="s">
        <v>12</v>
      </c>
      <c r="D950" s="14" t="s">
        <v>52</v>
      </c>
      <c r="E950" s="14" t="s">
        <v>246</v>
      </c>
      <c r="F950" s="14" t="s">
        <v>15</v>
      </c>
      <c r="G950" s="14" t="s">
        <v>40</v>
      </c>
      <c r="H950" s="14">
        <v>45163</v>
      </c>
      <c r="I950" s="14">
        <v>126711</v>
      </c>
      <c r="J950" s="14" t="s">
        <v>721</v>
      </c>
      <c r="K950" s="14" t="str">
        <f>A950&amp;B950&amp;C950&amp;D950&amp;E950&amp;F950&amp;G950&amp;H950&amp;I950&amp;J950&amp;[1]Sheet1!$G$5</f>
        <v>E0949Karim KabirFemaleOperationsOperations AssociateFull-timeDhaka45163126711E0376Sylhet</v>
      </c>
      <c r="L950" s="14">
        <f t="shared" si="42"/>
        <v>151819</v>
      </c>
      <c r="M950" s="14">
        <f ca="1" t="shared" si="43"/>
        <v>2</v>
      </c>
      <c r="N950" s="15" t="str">
        <f ca="1" t="shared" si="44"/>
        <v>New</v>
      </c>
    </row>
    <row r="951" spans="1:14">
      <c r="A951" s="16" t="s">
        <v>1592</v>
      </c>
      <c r="B951" s="17" t="s">
        <v>346</v>
      </c>
      <c r="C951" s="17" t="s">
        <v>12</v>
      </c>
      <c r="D951" s="17" t="s">
        <v>32</v>
      </c>
      <c r="E951" s="17" t="s">
        <v>130</v>
      </c>
      <c r="F951" s="17" t="s">
        <v>15</v>
      </c>
      <c r="G951" s="17" t="s">
        <v>40</v>
      </c>
      <c r="H951" s="17">
        <v>45833</v>
      </c>
      <c r="I951" s="17">
        <v>116465</v>
      </c>
      <c r="J951" s="17" t="s">
        <v>725</v>
      </c>
      <c r="K951" s="17" t="str">
        <f>A951&amp;B951&amp;C951&amp;D951&amp;E951&amp;F951&amp;G951&amp;H951&amp;I951&amp;J951&amp;[1]Sheet1!$G$5</f>
        <v>E0950Nabila SadiqFemaleHRRecruiterFull-timeDhaka45833116465E0801Sylhet</v>
      </c>
      <c r="L951" s="17">
        <f t="shared" si="42"/>
        <v>153159</v>
      </c>
      <c r="M951" s="17">
        <f ca="1" t="shared" si="43"/>
        <v>0</v>
      </c>
      <c r="N951" s="18" t="str">
        <f ca="1" t="shared" si="44"/>
        <v>New</v>
      </c>
    </row>
    <row r="952" spans="1:14">
      <c r="A952" s="13" t="s">
        <v>1593</v>
      </c>
      <c r="B952" s="14" t="s">
        <v>1569</v>
      </c>
      <c r="C952" s="14" t="s">
        <v>12</v>
      </c>
      <c r="D952" s="14" t="s">
        <v>32</v>
      </c>
      <c r="E952" s="14" t="s">
        <v>57</v>
      </c>
      <c r="F952" s="14" t="s">
        <v>15</v>
      </c>
      <c r="G952" s="14" t="s">
        <v>94</v>
      </c>
      <c r="H952" s="14">
        <v>43679</v>
      </c>
      <c r="I952" s="14">
        <v>60918</v>
      </c>
      <c r="J952" s="14" t="s">
        <v>476</v>
      </c>
      <c r="K952" s="14" t="str">
        <f>A952&amp;B952&amp;C952&amp;D952&amp;E952&amp;F952&amp;G952&amp;H952&amp;I952&amp;J952&amp;[1]Sheet1!$G$5</f>
        <v>E0951Rashed KhanFemaleHRHR AssociateFull-timeRajshahi4367960918E0574Sylhet</v>
      </c>
      <c r="L952" s="14">
        <f t="shared" si="42"/>
        <v>153167.5</v>
      </c>
      <c r="M952" s="14">
        <f ca="1" t="shared" si="43"/>
        <v>6</v>
      </c>
      <c r="N952" s="15" t="str">
        <f ca="1" t="shared" si="44"/>
        <v>Experienced</v>
      </c>
    </row>
    <row r="953" spans="1:14">
      <c r="A953" s="16" t="s">
        <v>1594</v>
      </c>
      <c r="B953" s="17" t="s">
        <v>812</v>
      </c>
      <c r="C953" s="17" t="s">
        <v>146</v>
      </c>
      <c r="D953" s="17" t="s">
        <v>32</v>
      </c>
      <c r="E953" s="17" t="s">
        <v>57</v>
      </c>
      <c r="F953" s="17" t="s">
        <v>15</v>
      </c>
      <c r="G953" s="17" t="s">
        <v>94</v>
      </c>
      <c r="H953" s="17">
        <v>45105</v>
      </c>
      <c r="I953" s="17">
        <v>58459</v>
      </c>
      <c r="J953" s="17"/>
      <c r="K953" s="17" t="str">
        <f>A953&amp;B953&amp;C953&amp;D953&amp;E953&amp;F953&amp;G953&amp;H953&amp;I953&amp;J953&amp;[1]Sheet1!$G$5</f>
        <v>E0952Karim AhmedNon-binaryHRHR AssociateFull-timeRajshahi4510558459Sylhet</v>
      </c>
      <c r="L953" s="17">
        <f t="shared" si="42"/>
        <v>153176</v>
      </c>
      <c r="M953" s="17">
        <f ca="1" t="shared" si="43"/>
        <v>2</v>
      </c>
      <c r="N953" s="18" t="str">
        <f ca="1" t="shared" si="44"/>
        <v>New</v>
      </c>
    </row>
    <row r="954" spans="1:14">
      <c r="A954" s="13" t="s">
        <v>1595</v>
      </c>
      <c r="B954" s="14" t="s">
        <v>935</v>
      </c>
      <c r="C954" s="14" t="s">
        <v>12</v>
      </c>
      <c r="D954" s="14" t="s">
        <v>38</v>
      </c>
      <c r="E954" s="14" t="s">
        <v>140</v>
      </c>
      <c r="F954" s="14" t="s">
        <v>15</v>
      </c>
      <c r="G954" s="14" t="s">
        <v>62</v>
      </c>
      <c r="H954" s="14">
        <v>43793</v>
      </c>
      <c r="I954" s="14">
        <v>291785</v>
      </c>
      <c r="J954" s="14" t="s">
        <v>352</v>
      </c>
      <c r="K954" s="14" t="str">
        <f>A954&amp;B954&amp;C954&amp;D954&amp;E954&amp;F954&amp;G954&amp;H954&amp;I954&amp;J954&amp;[1]Sheet1!$G$5</f>
        <v>E0953Sadia BanuFemaleEngineeringSenior Software EngineerFull-timeChattogram43793291785E0111Sylhet</v>
      </c>
      <c r="L954" s="14">
        <f t="shared" si="42"/>
        <v>157427</v>
      </c>
      <c r="M954" s="14">
        <f ca="1" t="shared" si="43"/>
        <v>6</v>
      </c>
      <c r="N954" s="15" t="str">
        <f ca="1" t="shared" si="44"/>
        <v>Experienced</v>
      </c>
    </row>
    <row r="955" spans="1:14">
      <c r="A955" s="16" t="s">
        <v>918</v>
      </c>
      <c r="B955" s="17" t="s">
        <v>730</v>
      </c>
      <c r="C955" s="17" t="s">
        <v>12</v>
      </c>
      <c r="D955" s="17" t="s">
        <v>20</v>
      </c>
      <c r="E955" s="17" t="s">
        <v>70</v>
      </c>
      <c r="F955" s="17" t="s">
        <v>15</v>
      </c>
      <c r="G955" s="17" t="s">
        <v>94</v>
      </c>
      <c r="H955" s="17">
        <v>45276</v>
      </c>
      <c r="I955" s="17">
        <v>166404</v>
      </c>
      <c r="J955" s="17" t="s">
        <v>604</v>
      </c>
      <c r="K955" s="17" t="str">
        <f>A955&amp;B955&amp;C955&amp;D955&amp;E955&amp;F955&amp;G955&amp;H955&amp;I955&amp;J955&amp;[1]Sheet1!$G$5</f>
        <v>E0954Sadia KabirFemaleCustomer SuccessCustomer Success ManagerFull-timeRajshahi45276166404E0243Sylhet</v>
      </c>
      <c r="L955" s="17">
        <f t="shared" si="42"/>
        <v>153176</v>
      </c>
      <c r="M955" s="17">
        <f ca="1" t="shared" si="43"/>
        <v>2</v>
      </c>
      <c r="N955" s="18" t="str">
        <f ca="1" t="shared" si="44"/>
        <v>New</v>
      </c>
    </row>
    <row r="956" spans="1:14">
      <c r="A956" s="13" t="s">
        <v>1220</v>
      </c>
      <c r="B956" s="14" t="s">
        <v>1125</v>
      </c>
      <c r="C956" s="14" t="s">
        <v>19</v>
      </c>
      <c r="D956" s="14" t="s">
        <v>13</v>
      </c>
      <c r="E956" s="14" t="s">
        <v>98</v>
      </c>
      <c r="F956" s="14" t="s">
        <v>15</v>
      </c>
      <c r="G956" s="14" t="s">
        <v>62</v>
      </c>
      <c r="H956" s="14">
        <v>42635</v>
      </c>
      <c r="I956" s="14">
        <v>250368</v>
      </c>
      <c r="J956" s="14" t="s">
        <v>456</v>
      </c>
      <c r="K956" s="14" t="str">
        <f>A956&amp;B956&amp;C956&amp;D956&amp;E956&amp;F956&amp;G956&amp;H956&amp;I956&amp;J956&amp;[1]Sheet1!$G$5</f>
        <v>E0955Rahim HasanMaleSalesSales ManagerFull-timeChattogram42635250368E0416Sylhet</v>
      </c>
      <c r="L956" s="14">
        <f t="shared" si="42"/>
        <v>153167.5</v>
      </c>
      <c r="M956" s="14">
        <f ca="1" t="shared" si="43"/>
        <v>9</v>
      </c>
      <c r="N956" s="15" t="str">
        <f ca="1" t="shared" si="44"/>
        <v>Experienced</v>
      </c>
    </row>
    <row r="957" spans="1:14">
      <c r="A957" s="16" t="s">
        <v>435</v>
      </c>
      <c r="B957" s="17" t="s">
        <v>746</v>
      </c>
      <c r="C957" s="17" t="s">
        <v>12</v>
      </c>
      <c r="D957" s="17" t="s">
        <v>13</v>
      </c>
      <c r="E957" s="17" t="s">
        <v>98</v>
      </c>
      <c r="F957" s="17" t="s">
        <v>15</v>
      </c>
      <c r="G957" s="17" t="s">
        <v>16</v>
      </c>
      <c r="H957" s="17">
        <v>44622</v>
      </c>
      <c r="I957" s="17">
        <v>161678</v>
      </c>
      <c r="J957" s="17" t="s">
        <v>201</v>
      </c>
      <c r="K957" s="17" t="str">
        <f>A957&amp;B957&amp;C957&amp;D957&amp;E957&amp;F957&amp;G957&amp;H957&amp;I957&amp;J957&amp;[1]Sheet1!$G$5</f>
        <v>E0956Tania RahmanFemaleSalesSales ManagerFull-timeKhulna44622161678E0742Sylhet</v>
      </c>
      <c r="L957" s="17">
        <f t="shared" si="42"/>
        <v>153159</v>
      </c>
      <c r="M957" s="17">
        <f ca="1" t="shared" si="43"/>
        <v>4</v>
      </c>
      <c r="N957" s="18" t="str">
        <f ca="1" t="shared" si="44"/>
        <v>Mid level</v>
      </c>
    </row>
    <row r="958" spans="1:14">
      <c r="A958" s="13" t="s">
        <v>1596</v>
      </c>
      <c r="B958" s="14" t="s">
        <v>1597</v>
      </c>
      <c r="C958" s="14" t="s">
        <v>19</v>
      </c>
      <c r="D958" s="14" t="s">
        <v>92</v>
      </c>
      <c r="E958" s="14" t="s">
        <v>93</v>
      </c>
      <c r="F958" s="14" t="s">
        <v>15</v>
      </c>
      <c r="G958" s="14" t="s">
        <v>28</v>
      </c>
      <c r="H958" s="14">
        <v>44590</v>
      </c>
      <c r="I958" s="14">
        <v>166372</v>
      </c>
      <c r="J958" s="14" t="s">
        <v>204</v>
      </c>
      <c r="K958" s="14" t="str">
        <f>A958&amp;B958&amp;C958&amp;D958&amp;E958&amp;F958&amp;G958&amp;H958&amp;I958&amp;J958&amp;[1]Sheet1!$G$5</f>
        <v>E0957Rashed RasheedMaleMarketingGrowth MarketerFull-timeRemote44590166372E0054Sylhet</v>
      </c>
      <c r="L958" s="14">
        <f t="shared" si="42"/>
        <v>151819</v>
      </c>
      <c r="M958" s="14">
        <f ca="1" t="shared" si="43"/>
        <v>4</v>
      </c>
      <c r="N958" s="15" t="str">
        <f ca="1" t="shared" si="44"/>
        <v>Mid level</v>
      </c>
    </row>
    <row r="959" spans="1:14">
      <c r="A959" s="16" t="s">
        <v>1598</v>
      </c>
      <c r="B959" s="17" t="s">
        <v>1599</v>
      </c>
      <c r="C959" s="17" t="s">
        <v>19</v>
      </c>
      <c r="D959" s="17" t="s">
        <v>38</v>
      </c>
      <c r="E959" s="17" t="s">
        <v>66</v>
      </c>
      <c r="F959" s="17" t="s">
        <v>15</v>
      </c>
      <c r="G959" s="17" t="s">
        <v>34</v>
      </c>
      <c r="H959" s="17">
        <v>43559</v>
      </c>
      <c r="I959" s="17">
        <v>202206</v>
      </c>
      <c r="J959" s="17" t="s">
        <v>336</v>
      </c>
      <c r="K959" s="17" t="str">
        <f>A959&amp;B959&amp;C959&amp;D959&amp;E959&amp;F959&amp;G959&amp;H959&amp;I959&amp;J959&amp;[1]Sheet1!$G$5</f>
        <v>E0958Mahin ParvinMaleEngineeringSoftware EngineerFull-timeSylhet43559202206E0774Sylhet</v>
      </c>
      <c r="L959" s="17">
        <f t="shared" si="42"/>
        <v>150479</v>
      </c>
      <c r="M959" s="17">
        <f ca="1" t="shared" si="43"/>
        <v>6</v>
      </c>
      <c r="N959" s="18" t="str">
        <f ca="1" t="shared" si="44"/>
        <v>Experienced</v>
      </c>
    </row>
    <row r="960" spans="1:14">
      <c r="A960" s="13" t="s">
        <v>1600</v>
      </c>
      <c r="B960" s="14" t="s">
        <v>1218</v>
      </c>
      <c r="C960" s="14" t="s">
        <v>19</v>
      </c>
      <c r="D960" s="14" t="s">
        <v>38</v>
      </c>
      <c r="E960" s="14" t="s">
        <v>44</v>
      </c>
      <c r="F960" s="14" t="s">
        <v>15</v>
      </c>
      <c r="G960" s="14" t="s">
        <v>40</v>
      </c>
      <c r="H960" s="14">
        <v>43598</v>
      </c>
      <c r="I960" s="14">
        <v>121015</v>
      </c>
      <c r="J960" s="14" t="s">
        <v>1122</v>
      </c>
      <c r="K960" s="14" t="str">
        <f>A960&amp;B960&amp;C960&amp;D960&amp;E960&amp;F960&amp;G960&amp;H960&amp;I960&amp;J960&amp;[1]Sheet1!$G$5</f>
        <v>E0959Rahim BanuMaleEngineeringQA EngineerFull-timeDhaka43598121015E0551Sylhet</v>
      </c>
      <c r="L960" s="14">
        <f t="shared" si="42"/>
        <v>149732.5</v>
      </c>
      <c r="M960" s="14">
        <f ca="1" t="shared" si="43"/>
        <v>6</v>
      </c>
      <c r="N960" s="15" t="str">
        <f ca="1" t="shared" si="44"/>
        <v>Experienced</v>
      </c>
    </row>
    <row r="961" spans="1:14">
      <c r="A961" s="16" t="s">
        <v>1601</v>
      </c>
      <c r="B961" s="17" t="s">
        <v>775</v>
      </c>
      <c r="C961" s="17" t="s">
        <v>12</v>
      </c>
      <c r="D961" s="17" t="s">
        <v>26</v>
      </c>
      <c r="E961" s="17" t="s">
        <v>294</v>
      </c>
      <c r="F961" s="17" t="s">
        <v>15</v>
      </c>
      <c r="G961" s="17" t="s">
        <v>62</v>
      </c>
      <c r="H961" s="17">
        <v>45857</v>
      </c>
      <c r="I961" s="17">
        <v>102582</v>
      </c>
      <c r="J961" s="17" t="s">
        <v>579</v>
      </c>
      <c r="K961" s="17" t="str">
        <f>A961&amp;B961&amp;C961&amp;D961&amp;E961&amp;F961&amp;G961&amp;H961&amp;I961&amp;J961&amp;[1]Sheet1!$G$5</f>
        <v>E0960Tania ShahFemaleFinanceSenior Financial AnalystFull-timeChattogram45857102582E0488Sylhet</v>
      </c>
      <c r="L961" s="17">
        <f t="shared" si="42"/>
        <v>150479</v>
      </c>
      <c r="M961" s="17">
        <f ca="1" t="shared" si="43"/>
        <v>0</v>
      </c>
      <c r="N961" s="18" t="str">
        <f ca="1" t="shared" si="44"/>
        <v>New</v>
      </c>
    </row>
    <row r="962" spans="1:14">
      <c r="A962" s="13" t="s">
        <v>1602</v>
      </c>
      <c r="B962" s="14" t="s">
        <v>1603</v>
      </c>
      <c r="C962" s="14" t="s">
        <v>12</v>
      </c>
      <c r="D962" s="14" t="s">
        <v>38</v>
      </c>
      <c r="E962" s="14" t="s">
        <v>77</v>
      </c>
      <c r="F962" s="14" t="s">
        <v>48</v>
      </c>
      <c r="G962" s="14" t="s">
        <v>34</v>
      </c>
      <c r="H962" s="14">
        <v>43015</v>
      </c>
      <c r="I962" s="14">
        <v>138102</v>
      </c>
      <c r="J962" s="14" t="s">
        <v>54</v>
      </c>
      <c r="K962" s="14" t="str">
        <f>A962&amp;B962&amp;C962&amp;D962&amp;E962&amp;F962&amp;G962&amp;H962&amp;I962&amp;J962&amp;[1]Sheet1!$G$5</f>
        <v>E0961Imran RahmanFemaleEngineeringJunior Software EngineerContractSylhet43015138102E0646Sylhet</v>
      </c>
      <c r="L962" s="14">
        <f t="shared" si="42"/>
        <v>151819</v>
      </c>
      <c r="M962" s="14">
        <f ca="1" t="shared" si="43"/>
        <v>8</v>
      </c>
      <c r="N962" s="15" t="str">
        <f ca="1" t="shared" si="44"/>
        <v>Experienced</v>
      </c>
    </row>
    <row r="963" spans="1:14">
      <c r="A963" s="16" t="s">
        <v>1604</v>
      </c>
      <c r="B963" s="17" t="s">
        <v>1605</v>
      </c>
      <c r="C963" s="17" t="s">
        <v>12</v>
      </c>
      <c r="D963" s="17" t="s">
        <v>32</v>
      </c>
      <c r="E963" s="17" t="s">
        <v>130</v>
      </c>
      <c r="F963" s="17" t="s">
        <v>15</v>
      </c>
      <c r="G963" s="17" t="s">
        <v>94</v>
      </c>
      <c r="H963" s="17">
        <v>45285</v>
      </c>
      <c r="I963" s="17">
        <v>122797</v>
      </c>
      <c r="J963" s="17" t="s">
        <v>782</v>
      </c>
      <c r="K963" s="17" t="str">
        <f>A963&amp;B963&amp;C963&amp;D963&amp;E963&amp;F963&amp;G963&amp;H963&amp;I963&amp;J963&amp;[1]Sheet1!$G$5</f>
        <v>E0962Karim MiahFemaleHRRecruiterFull-timeRajshahi45285122797E0749Sylhet</v>
      </c>
      <c r="L963" s="17">
        <f t="shared" ref="L963:L1001" si="45">MEDIAN(I963:I1962)</f>
        <v>153159</v>
      </c>
      <c r="M963" s="17">
        <f ca="1" t="shared" ref="M963:M1001" si="46">DATEDIF(H963,TODAY(),"Y")</f>
        <v>2</v>
      </c>
      <c r="N963" s="18" t="str">
        <f ca="1" t="shared" ref="N963:N1001" si="47">IF(M963&lt;=2,"New",IF(M963&lt;=5,"Mid level",IF(M963&lt;=10,"Experienced","Long term")))</f>
        <v>New</v>
      </c>
    </row>
    <row r="964" spans="1:14">
      <c r="A964" s="13" t="s">
        <v>529</v>
      </c>
      <c r="B964" s="14" t="s">
        <v>1606</v>
      </c>
      <c r="C964" s="14" t="s">
        <v>12</v>
      </c>
      <c r="D964" s="14" t="s">
        <v>87</v>
      </c>
      <c r="E964" s="14" t="s">
        <v>111</v>
      </c>
      <c r="F964" s="14" t="s">
        <v>15</v>
      </c>
      <c r="G964" s="14" t="s">
        <v>94</v>
      </c>
      <c r="H964" s="14">
        <v>45276</v>
      </c>
      <c r="I964" s="14">
        <v>128328</v>
      </c>
      <c r="J964" s="14" t="s">
        <v>67</v>
      </c>
      <c r="K964" s="14" t="str">
        <f>A964&amp;B964&amp;C964&amp;D964&amp;E964&amp;F964&amp;G964&amp;H964&amp;I964&amp;J964&amp;[1]Sheet1!$G$5</f>
        <v>E0963Ovi AhmedFemaleProductSenior Product ManagerFull-timeRajshahi45276128328E0648Sylhet</v>
      </c>
      <c r="L964" s="14">
        <f t="shared" si="45"/>
        <v>153167.5</v>
      </c>
      <c r="M964" s="14">
        <f ca="1" t="shared" si="46"/>
        <v>2</v>
      </c>
      <c r="N964" s="15" t="str">
        <f ca="1" t="shared" si="47"/>
        <v>New</v>
      </c>
    </row>
    <row r="965" spans="1:14">
      <c r="A965" s="16" t="s">
        <v>1607</v>
      </c>
      <c r="B965" s="17" t="s">
        <v>1159</v>
      </c>
      <c r="C965" s="17" t="s">
        <v>12</v>
      </c>
      <c r="D965" s="17" t="s">
        <v>13</v>
      </c>
      <c r="E965" s="17" t="s">
        <v>165</v>
      </c>
      <c r="F965" s="17" t="s">
        <v>15</v>
      </c>
      <c r="G965" s="17" t="s">
        <v>34</v>
      </c>
      <c r="H965" s="17">
        <v>45238</v>
      </c>
      <c r="I965" s="17">
        <v>74624</v>
      </c>
      <c r="J965" s="17" t="s">
        <v>607</v>
      </c>
      <c r="K965" s="17" t="str">
        <f>A965&amp;B965&amp;C965&amp;D965&amp;E965&amp;F965&amp;G965&amp;H965&amp;I965&amp;J965&amp;[1]Sheet1!$G$5</f>
        <v>E0964Sadia KhanFemaleSalesAccount ExecutiveFull-timeSylhet4523874624E0237Sylhet</v>
      </c>
      <c r="L965" s="17">
        <f t="shared" si="45"/>
        <v>153176</v>
      </c>
      <c r="M965" s="17">
        <f ca="1" t="shared" si="46"/>
        <v>2</v>
      </c>
      <c r="N965" s="18" t="str">
        <f ca="1" t="shared" si="47"/>
        <v>New</v>
      </c>
    </row>
    <row r="966" spans="1:14">
      <c r="A966" s="13" t="s">
        <v>708</v>
      </c>
      <c r="B966" s="14" t="s">
        <v>1569</v>
      </c>
      <c r="C966" s="14" t="s">
        <v>19</v>
      </c>
      <c r="D966" s="14" t="s">
        <v>87</v>
      </c>
      <c r="E966" s="14" t="s">
        <v>349</v>
      </c>
      <c r="F966" s="14" t="s">
        <v>15</v>
      </c>
      <c r="G966" s="14" t="s">
        <v>94</v>
      </c>
      <c r="H966" s="14">
        <v>44982</v>
      </c>
      <c r="I966" s="14">
        <v>239646</v>
      </c>
      <c r="J966" s="14" t="s">
        <v>325</v>
      </c>
      <c r="K966" s="14" t="str">
        <f>A966&amp;B966&amp;C966&amp;D966&amp;E966&amp;F966&amp;G966&amp;H966&amp;I966&amp;J966&amp;[1]Sheet1!$G$5</f>
        <v>E0965Rashed KhanMaleProductProduct ManagerFull-timeRajshahi44982239646E0663Sylhet</v>
      </c>
      <c r="L966" s="14">
        <f t="shared" si="45"/>
        <v>158811</v>
      </c>
      <c r="M966" s="14">
        <f ca="1" t="shared" si="46"/>
        <v>3</v>
      </c>
      <c r="N966" s="15" t="str">
        <f ca="1" t="shared" si="47"/>
        <v>Mid level</v>
      </c>
    </row>
    <row r="967" spans="1:14">
      <c r="A967" s="16" t="s">
        <v>1608</v>
      </c>
      <c r="B967" s="17" t="s">
        <v>666</v>
      </c>
      <c r="C967" s="17" t="s">
        <v>19</v>
      </c>
      <c r="D967" s="17" t="s">
        <v>13</v>
      </c>
      <c r="E967" s="17" t="s">
        <v>223</v>
      </c>
      <c r="F967" s="17" t="s">
        <v>15</v>
      </c>
      <c r="G967" s="17" t="s">
        <v>16</v>
      </c>
      <c r="H967" s="17">
        <v>43083</v>
      </c>
      <c r="I967" s="17">
        <v>142527</v>
      </c>
      <c r="J967" s="17" t="s">
        <v>374</v>
      </c>
      <c r="K967" s="17" t="str">
        <f>A967&amp;B967&amp;C967&amp;D967&amp;E967&amp;F967&amp;G967&amp;H967&amp;I967&amp;J967&amp;[1]Sheet1!$G$5</f>
        <v>E0966Zahid SultanaMaleSalesSenior Account ExecutiveFull-timeKhulna43083142527E0122Sylhet</v>
      </c>
      <c r="L967" s="17">
        <f t="shared" si="45"/>
        <v>153176</v>
      </c>
      <c r="M967" s="17">
        <f ca="1" t="shared" si="46"/>
        <v>8</v>
      </c>
      <c r="N967" s="18" t="str">
        <f ca="1" t="shared" si="47"/>
        <v>Experienced</v>
      </c>
    </row>
    <row r="968" spans="1:14">
      <c r="A968" s="13" t="s">
        <v>1609</v>
      </c>
      <c r="B968" s="14" t="s">
        <v>739</v>
      </c>
      <c r="C968" s="14" t="s">
        <v>19</v>
      </c>
      <c r="D968" s="14" t="s">
        <v>26</v>
      </c>
      <c r="E968" s="14" t="s">
        <v>162</v>
      </c>
      <c r="F968" s="14" t="s">
        <v>15</v>
      </c>
      <c r="G968" s="14" t="s">
        <v>40</v>
      </c>
      <c r="H968" s="14">
        <v>45620</v>
      </c>
      <c r="I968" s="14">
        <v>179296</v>
      </c>
      <c r="J968" s="14" t="s">
        <v>954</v>
      </c>
      <c r="K968" s="14" t="str">
        <f>A968&amp;B968&amp;C968&amp;D968&amp;E968&amp;F968&amp;G968&amp;H968&amp;I968&amp;J968&amp;[1]Sheet1!$G$5</f>
        <v>E0967Fahim ParvinMaleFinanceAccounts ExecutiveFull-timeDhaka45620179296E0518Sylhet</v>
      </c>
      <c r="L968" s="14">
        <f t="shared" si="45"/>
        <v>158811</v>
      </c>
      <c r="M968" s="14">
        <f ca="1" t="shared" si="46"/>
        <v>1</v>
      </c>
      <c r="N968" s="15" t="str">
        <f ca="1" t="shared" si="47"/>
        <v>New</v>
      </c>
    </row>
    <row r="969" spans="1:14">
      <c r="A969" s="16" t="s">
        <v>865</v>
      </c>
      <c r="B969" s="17" t="s">
        <v>1610</v>
      </c>
      <c r="C969" s="17" t="s">
        <v>12</v>
      </c>
      <c r="D969" s="17" t="s">
        <v>87</v>
      </c>
      <c r="E969" s="17" t="s">
        <v>156</v>
      </c>
      <c r="F969" s="17" t="s">
        <v>15</v>
      </c>
      <c r="G969" s="17" t="s">
        <v>16</v>
      </c>
      <c r="H969" s="17">
        <v>43850</v>
      </c>
      <c r="I969" s="17">
        <v>186569</v>
      </c>
      <c r="J969" s="17" t="s">
        <v>105</v>
      </c>
      <c r="K969" s="17" t="str">
        <f>A969&amp;B969&amp;C969&amp;D969&amp;E969&amp;F969&amp;G969&amp;H969&amp;I969&amp;J969&amp;[1]Sheet1!$G$5</f>
        <v>E0968Tamanna HasanFemaleProductAssociate Product ManagerFull-timeKhulna43850186569E0665Sylhet</v>
      </c>
      <c r="L969" s="17">
        <f t="shared" si="45"/>
        <v>153176</v>
      </c>
      <c r="M969" s="17">
        <f ca="1" t="shared" si="46"/>
        <v>6</v>
      </c>
      <c r="N969" s="18" t="str">
        <f ca="1" t="shared" si="47"/>
        <v>Experienced</v>
      </c>
    </row>
    <row r="970" spans="1:14">
      <c r="A970" s="13" t="s">
        <v>1611</v>
      </c>
      <c r="B970" s="14" t="s">
        <v>429</v>
      </c>
      <c r="C970" s="14" t="s">
        <v>12</v>
      </c>
      <c r="D970" s="14" t="s">
        <v>92</v>
      </c>
      <c r="E970" s="14" t="s">
        <v>391</v>
      </c>
      <c r="F970" s="14" t="s">
        <v>15</v>
      </c>
      <c r="G970" s="14" t="s">
        <v>62</v>
      </c>
      <c r="H970" s="14">
        <v>44453</v>
      </c>
      <c r="I970" s="14">
        <v>176225</v>
      </c>
      <c r="J970" s="14" t="s">
        <v>151</v>
      </c>
      <c r="K970" s="14" t="str">
        <f>A970&amp;B970&amp;C970&amp;D970&amp;E970&amp;F970&amp;G970&amp;H970&amp;I970&amp;J970&amp;[1]Sheet1!$G$5</f>
        <v>E0969Sumaiya RasheedFemaleMarketingContent SpecialistFull-timeChattogram44453176225E0865Sylhet</v>
      </c>
      <c r="L970" s="14">
        <f t="shared" si="45"/>
        <v>153167.5</v>
      </c>
      <c r="M970" s="14">
        <f ca="1" t="shared" si="46"/>
        <v>4</v>
      </c>
      <c r="N970" s="15" t="str">
        <f ca="1" t="shared" si="47"/>
        <v>Mid level</v>
      </c>
    </row>
    <row r="971" spans="1:14">
      <c r="A971" s="16" t="s">
        <v>1612</v>
      </c>
      <c r="B971" s="17" t="s">
        <v>1613</v>
      </c>
      <c r="C971" s="17" t="s">
        <v>12</v>
      </c>
      <c r="D971" s="17" t="s">
        <v>92</v>
      </c>
      <c r="E971" s="17" t="s">
        <v>189</v>
      </c>
      <c r="F971" s="17" t="s">
        <v>15</v>
      </c>
      <c r="G971" s="17" t="s">
        <v>34</v>
      </c>
      <c r="H971" s="17">
        <v>43288</v>
      </c>
      <c r="I971" s="17">
        <v>119654</v>
      </c>
      <c r="J971" s="17" t="s">
        <v>1003</v>
      </c>
      <c r="K971" s="17" t="str">
        <f>A971&amp;B971&amp;C971&amp;D971&amp;E971&amp;F971&amp;G971&amp;H971&amp;I971&amp;J971&amp;[1]Sheet1!$G$5</f>
        <v>E0970Arif AhmedFemaleMarketingMarketing AssociateFull-timeSylhet43288119654E0649Sylhet</v>
      </c>
      <c r="L971" s="17">
        <f t="shared" si="45"/>
        <v>153159</v>
      </c>
      <c r="M971" s="17">
        <f ca="1" t="shared" si="46"/>
        <v>7</v>
      </c>
      <c r="N971" s="18" t="str">
        <f ca="1" t="shared" si="47"/>
        <v>Experienced</v>
      </c>
    </row>
    <row r="972" spans="1:14">
      <c r="A972" s="13" t="s">
        <v>1614</v>
      </c>
      <c r="B972" s="14" t="s">
        <v>47</v>
      </c>
      <c r="C972" s="14" t="s">
        <v>19</v>
      </c>
      <c r="D972" s="14" t="s">
        <v>32</v>
      </c>
      <c r="E972" s="14" t="s">
        <v>57</v>
      </c>
      <c r="F972" s="14" t="s">
        <v>15</v>
      </c>
      <c r="G972" s="14" t="s">
        <v>16</v>
      </c>
      <c r="H972" s="14">
        <v>42867</v>
      </c>
      <c r="I972" s="14">
        <v>71564</v>
      </c>
      <c r="J972" s="14" t="s">
        <v>651</v>
      </c>
      <c r="K972" s="14" t="str">
        <f>A972&amp;B972&amp;C972&amp;D972&amp;E972&amp;F972&amp;G972&amp;H972&amp;I972&amp;J972&amp;[1]Sheet1!$G$5</f>
        <v>E0971Karim IslamMaleHRHR AssociateFull-timeKhulna4286771564E0262Sylhet</v>
      </c>
      <c r="L972" s="14">
        <f t="shared" si="45"/>
        <v>153167.5</v>
      </c>
      <c r="M972" s="14">
        <f ca="1" t="shared" si="46"/>
        <v>8</v>
      </c>
      <c r="N972" s="15" t="str">
        <f ca="1" t="shared" si="47"/>
        <v>Experienced</v>
      </c>
    </row>
    <row r="973" spans="1:14">
      <c r="A973" s="16" t="s">
        <v>494</v>
      </c>
      <c r="B973" s="17" t="s">
        <v>924</v>
      </c>
      <c r="C973" s="17" t="s">
        <v>19</v>
      </c>
      <c r="D973" s="17" t="s">
        <v>20</v>
      </c>
      <c r="E973" s="17" t="s">
        <v>70</v>
      </c>
      <c r="F973" s="17" t="s">
        <v>15</v>
      </c>
      <c r="G973" s="17" t="s">
        <v>28</v>
      </c>
      <c r="H973" s="17">
        <v>43193</v>
      </c>
      <c r="I973" s="17">
        <v>143911</v>
      </c>
      <c r="J973" s="17" t="s">
        <v>24</v>
      </c>
      <c r="K973" s="17" t="str">
        <f>A973&amp;B973&amp;C973&amp;D973&amp;E973&amp;F973&amp;G973&amp;H973&amp;I973&amp;J973&amp;[1]Sheet1!$G$5</f>
        <v>E0972Noman JahanMaleCustomer SuccessCustomer Success ManagerFull-timeRemote43193143911E0003Sylhet</v>
      </c>
      <c r="L973" s="17">
        <f t="shared" si="45"/>
        <v>153176</v>
      </c>
      <c r="M973" s="17">
        <f ca="1" t="shared" si="46"/>
        <v>7</v>
      </c>
      <c r="N973" s="18" t="str">
        <f ca="1" t="shared" si="47"/>
        <v>Experienced</v>
      </c>
    </row>
    <row r="974" spans="1:14">
      <c r="A974" s="13" t="s">
        <v>1615</v>
      </c>
      <c r="B974" s="14" t="s">
        <v>1616</v>
      </c>
      <c r="C974" s="14" t="s">
        <v>12</v>
      </c>
      <c r="D974" s="14" t="s">
        <v>26</v>
      </c>
      <c r="E974" s="14" t="s">
        <v>162</v>
      </c>
      <c r="F974" s="14" t="s">
        <v>48</v>
      </c>
      <c r="G974" s="14" t="s">
        <v>62</v>
      </c>
      <c r="H974" s="14">
        <v>45614</v>
      </c>
      <c r="I974" s="14">
        <v>153176</v>
      </c>
      <c r="J974" s="14" t="s">
        <v>1001</v>
      </c>
      <c r="K974" s="14" t="str">
        <f>A974&amp;B974&amp;C974&amp;D974&amp;E974&amp;F974&amp;G974&amp;H974&amp;I974&amp;J974&amp;[1]Sheet1!$G$5</f>
        <v>E0973Imran ParvinFemaleFinanceAccounts ExecutiveContractChattogram45614153176E0470Sylhet</v>
      </c>
      <c r="L974" s="14">
        <f t="shared" si="45"/>
        <v>158811</v>
      </c>
      <c r="M974" s="14">
        <f ca="1" t="shared" si="46"/>
        <v>1</v>
      </c>
      <c r="N974" s="15" t="str">
        <f ca="1" t="shared" si="47"/>
        <v>New</v>
      </c>
    </row>
    <row r="975" spans="1:14">
      <c r="A975" s="16" t="s">
        <v>1617</v>
      </c>
      <c r="B975" s="17" t="s">
        <v>1280</v>
      </c>
      <c r="C975" s="17" t="s">
        <v>12</v>
      </c>
      <c r="D975" s="17" t="s">
        <v>38</v>
      </c>
      <c r="E975" s="17" t="s">
        <v>140</v>
      </c>
      <c r="F975" s="17" t="s">
        <v>15</v>
      </c>
      <c r="G975" s="17" t="s">
        <v>94</v>
      </c>
      <c r="H975" s="17">
        <v>42938</v>
      </c>
      <c r="I975" s="17">
        <v>260181</v>
      </c>
      <c r="J975" s="17" t="s">
        <v>253</v>
      </c>
      <c r="K975" s="17" t="str">
        <f>A975&amp;B975&amp;C975&amp;D975&amp;E975&amp;F975&amp;G975&amp;H975&amp;I975&amp;J975&amp;[1]Sheet1!$G$5</f>
        <v>E0974Arif UddinFemaleEngineeringSenior Software EngineerFull-timeRajshahi42938260181E0109Sylhet</v>
      </c>
      <c r="L975" s="17">
        <f t="shared" si="45"/>
        <v>164446</v>
      </c>
      <c r="M975" s="17">
        <f ca="1" t="shared" si="46"/>
        <v>8</v>
      </c>
      <c r="N975" s="18" t="str">
        <f ca="1" t="shared" si="47"/>
        <v>Experienced</v>
      </c>
    </row>
    <row r="976" spans="1:14">
      <c r="A976" s="13" t="s">
        <v>1618</v>
      </c>
      <c r="B976" s="14" t="s">
        <v>1619</v>
      </c>
      <c r="C976" s="14" t="s">
        <v>19</v>
      </c>
      <c r="D976" s="14" t="s">
        <v>38</v>
      </c>
      <c r="E976" s="14" t="s">
        <v>66</v>
      </c>
      <c r="F976" s="14" t="s">
        <v>15</v>
      </c>
      <c r="G976" s="14" t="s">
        <v>16</v>
      </c>
      <c r="H976" s="14">
        <v>43339</v>
      </c>
      <c r="I976" s="14">
        <v>98827</v>
      </c>
      <c r="J976" s="14" t="s">
        <v>108</v>
      </c>
      <c r="K976" s="14" t="str">
        <f>A976&amp;B976&amp;C976&amp;D976&amp;E976&amp;F976&amp;G976&amp;H976&amp;I976&amp;J976&amp;[1]Sheet1!$G$5</f>
        <v>E0975Sumaiya AnjumMaleEngineeringSoftware EngineerFull-timeKhulna4333998827E0190Sylhet</v>
      </c>
      <c r="L976" s="14">
        <f t="shared" si="45"/>
        <v>158802.5</v>
      </c>
      <c r="M976" s="14">
        <f ca="1" t="shared" si="46"/>
        <v>7</v>
      </c>
      <c r="N976" s="15" t="str">
        <f ca="1" t="shared" si="47"/>
        <v>Experienced</v>
      </c>
    </row>
    <row r="977" spans="1:14">
      <c r="A977" s="16" t="s">
        <v>689</v>
      </c>
      <c r="B977" s="17" t="s">
        <v>1620</v>
      </c>
      <c r="C977" s="17" t="s">
        <v>19</v>
      </c>
      <c r="D977" s="17" t="s">
        <v>87</v>
      </c>
      <c r="E977" s="17" t="s">
        <v>111</v>
      </c>
      <c r="F977" s="17" t="s">
        <v>48</v>
      </c>
      <c r="G977" s="17" t="s">
        <v>40</v>
      </c>
      <c r="H977" s="17">
        <v>45607</v>
      </c>
      <c r="I977" s="17">
        <v>189403</v>
      </c>
      <c r="J977" s="17" t="s">
        <v>295</v>
      </c>
      <c r="K977" s="17" t="str">
        <f>A977&amp;B977&amp;C977&amp;D977&amp;E977&amp;F977&amp;G977&amp;H977&amp;I977&amp;J977&amp;[1]Sheet1!$G$5</f>
        <v>E0976Mahin SadiqMaleProductSenior Product ManagerContractDhaka45607189403E0420Sylhet</v>
      </c>
      <c r="L977" s="17">
        <f t="shared" si="45"/>
        <v>164446</v>
      </c>
      <c r="M977" s="17">
        <f ca="1" t="shared" si="46"/>
        <v>1</v>
      </c>
      <c r="N977" s="18" t="str">
        <f ca="1" t="shared" si="47"/>
        <v>New</v>
      </c>
    </row>
    <row r="978" spans="1:14">
      <c r="A978" s="13" t="s">
        <v>1621</v>
      </c>
      <c r="B978" s="14" t="s">
        <v>680</v>
      </c>
      <c r="C978" s="14" t="s">
        <v>19</v>
      </c>
      <c r="D978" s="14" t="s">
        <v>32</v>
      </c>
      <c r="E978" s="14" t="s">
        <v>57</v>
      </c>
      <c r="F978" s="14" t="s">
        <v>15</v>
      </c>
      <c r="G978" s="14" t="s">
        <v>40</v>
      </c>
      <c r="H978" s="14">
        <v>44393</v>
      </c>
      <c r="I978" s="14">
        <v>99341</v>
      </c>
      <c r="J978" s="14" t="s">
        <v>306</v>
      </c>
      <c r="K978" s="14" t="str">
        <f>A978&amp;B978&amp;C978&amp;D978&amp;E978&amp;F978&amp;G978&amp;H978&amp;I978&amp;J978&amp;[1]Sheet1!$G$5</f>
        <v>E0977Shawon SultanaMaleHRHR AssociateFull-timeDhaka4439399341E0330Sylhet</v>
      </c>
      <c r="L978" s="14">
        <f t="shared" si="45"/>
        <v>158802.5</v>
      </c>
      <c r="M978" s="14">
        <f ca="1" t="shared" si="46"/>
        <v>4</v>
      </c>
      <c r="N978" s="15" t="str">
        <f ca="1" t="shared" si="47"/>
        <v>Mid level</v>
      </c>
    </row>
    <row r="979" spans="1:14">
      <c r="A979" s="16" t="s">
        <v>1622</v>
      </c>
      <c r="B979" s="17" t="s">
        <v>1623</v>
      </c>
      <c r="C979" s="17" t="s">
        <v>12</v>
      </c>
      <c r="D979" s="17" t="s">
        <v>38</v>
      </c>
      <c r="E979" s="17" t="s">
        <v>66</v>
      </c>
      <c r="F979" s="17" t="s">
        <v>15</v>
      </c>
      <c r="G979" s="17" t="s">
        <v>40</v>
      </c>
      <c r="H979" s="17">
        <v>42477</v>
      </c>
      <c r="I979" s="17">
        <v>191401</v>
      </c>
      <c r="J979" s="17" t="s">
        <v>151</v>
      </c>
      <c r="K979" s="17" t="str">
        <f>A979&amp;B979&amp;C979&amp;D979&amp;E979&amp;F979&amp;G979&amp;H979&amp;I979&amp;J979&amp;[1]Sheet1!$G$5</f>
        <v>E0978Nadia AminFemaleEngineeringSoftware EngineerFull-timeDhaka42477191401E0865Sylhet</v>
      </c>
      <c r="L979" s="17">
        <f t="shared" si="45"/>
        <v>164446</v>
      </c>
      <c r="M979" s="17">
        <f ca="1" t="shared" si="46"/>
        <v>9</v>
      </c>
      <c r="N979" s="18" t="str">
        <f ca="1" t="shared" si="47"/>
        <v>Experienced</v>
      </c>
    </row>
    <row r="980" spans="1:14">
      <c r="A980" s="13" t="s">
        <v>392</v>
      </c>
      <c r="B980" s="14" t="s">
        <v>1624</v>
      </c>
      <c r="C980" s="14" t="s">
        <v>19</v>
      </c>
      <c r="D980" s="14" t="s">
        <v>92</v>
      </c>
      <c r="E980" s="14" t="s">
        <v>193</v>
      </c>
      <c r="F980" s="14" t="s">
        <v>15</v>
      </c>
      <c r="G980" s="14" t="s">
        <v>16</v>
      </c>
      <c r="H980" s="14">
        <v>43848</v>
      </c>
      <c r="I980" s="14">
        <v>226360</v>
      </c>
      <c r="J980" s="14" t="s">
        <v>68</v>
      </c>
      <c r="K980" s="14" t="str">
        <f>A980&amp;B980&amp;C980&amp;D980&amp;E980&amp;F980&amp;G980&amp;H980&amp;I980&amp;J980&amp;[1]Sheet1!$G$5</f>
        <v>E0979Sajid HossainMaleMarketingMarketing ManagerFull-timeKhulna43848226360E0012Sylhet</v>
      </c>
      <c r="L980" s="14">
        <f t="shared" si="45"/>
        <v>158802.5</v>
      </c>
      <c r="M980" s="14">
        <f ca="1" t="shared" si="46"/>
        <v>6</v>
      </c>
      <c r="N980" s="15" t="str">
        <f ca="1" t="shared" si="47"/>
        <v>Experienced</v>
      </c>
    </row>
    <row r="981" spans="1:14">
      <c r="A981" s="16" t="s">
        <v>229</v>
      </c>
      <c r="B981" s="17" t="s">
        <v>444</v>
      </c>
      <c r="C981" s="17" t="s">
        <v>19</v>
      </c>
      <c r="D981" s="17" t="s">
        <v>32</v>
      </c>
      <c r="E981" s="17" t="s">
        <v>208</v>
      </c>
      <c r="F981" s="17" t="s">
        <v>15</v>
      </c>
      <c r="G981" s="17" t="s">
        <v>16</v>
      </c>
      <c r="H981" s="17">
        <v>44639</v>
      </c>
      <c r="I981" s="17">
        <v>153159</v>
      </c>
      <c r="J981" s="17" t="s">
        <v>175</v>
      </c>
      <c r="K981" s="17" t="str">
        <f>A981&amp;B981&amp;C981&amp;D981&amp;E981&amp;F981&amp;G981&amp;H981&amp;I981&amp;J981&amp;[1]Sheet1!$G$5</f>
        <v>E0980Tania FerdousMaleHRHR ManagerFull-timeKhulna44639153159E0736Sylhet</v>
      </c>
      <c r="L981" s="17">
        <f t="shared" si="45"/>
        <v>153159</v>
      </c>
      <c r="M981" s="17">
        <f ca="1" t="shared" si="46"/>
        <v>3</v>
      </c>
      <c r="N981" s="18" t="str">
        <f ca="1" t="shared" si="47"/>
        <v>Mid level</v>
      </c>
    </row>
    <row r="982" spans="1:14">
      <c r="A982" s="13" t="s">
        <v>1625</v>
      </c>
      <c r="B982" s="14" t="s">
        <v>801</v>
      </c>
      <c r="C982" s="14" t="s">
        <v>19</v>
      </c>
      <c r="D982" s="14" t="s">
        <v>13</v>
      </c>
      <c r="E982" s="14" t="s">
        <v>14</v>
      </c>
      <c r="F982" s="14" t="s">
        <v>15</v>
      </c>
      <c r="G982" s="14" t="s">
        <v>40</v>
      </c>
      <c r="H982" s="14">
        <v>44714</v>
      </c>
      <c r="I982" s="14">
        <v>58321</v>
      </c>
      <c r="J982" s="14" t="s">
        <v>621</v>
      </c>
      <c r="K982" s="14" t="str">
        <f>A982&amp;B982&amp;C982&amp;D982&amp;E982&amp;F982&amp;G982&amp;H982&amp;I982&amp;J982&amp;[1]Sheet1!$G$5</f>
        <v>E0981Sajid SadiqMaleSalesSales AssociateFull-timeDhaka4471458321E0852Sylhet</v>
      </c>
      <c r="L982" s="14">
        <f t="shared" si="45"/>
        <v>157462.5</v>
      </c>
      <c r="M982" s="14">
        <f ca="1" t="shared" si="46"/>
        <v>3</v>
      </c>
      <c r="N982" s="15" t="str">
        <f ca="1" t="shared" si="47"/>
        <v>Mid level</v>
      </c>
    </row>
    <row r="983" spans="1:14">
      <c r="A983" s="16" t="s">
        <v>35</v>
      </c>
      <c r="B983" s="17" t="s">
        <v>917</v>
      </c>
      <c r="C983" s="17" t="s">
        <v>12</v>
      </c>
      <c r="D983" s="17" t="s">
        <v>52</v>
      </c>
      <c r="E983" s="17" t="s">
        <v>53</v>
      </c>
      <c r="F983" s="17" t="s">
        <v>48</v>
      </c>
      <c r="G983" s="17" t="s">
        <v>94</v>
      </c>
      <c r="H983" s="17">
        <v>43881</v>
      </c>
      <c r="I983" s="17">
        <v>125677</v>
      </c>
      <c r="J983" s="17"/>
      <c r="K983" s="17" t="str">
        <f>A983&amp;B983&amp;C983&amp;D983&amp;E983&amp;F983&amp;G983&amp;H983&amp;I983&amp;J983&amp;[1]Sheet1!$G$5</f>
        <v>E0982Ayesha AminFemaleOperationsOperations ManagerContractRajshahi43881125677Sylhet</v>
      </c>
      <c r="L983" s="17">
        <f t="shared" si="45"/>
        <v>164446</v>
      </c>
      <c r="M983" s="17">
        <f ca="1" t="shared" si="46"/>
        <v>6</v>
      </c>
      <c r="N983" s="18" t="str">
        <f ca="1" t="shared" si="47"/>
        <v>Experienced</v>
      </c>
    </row>
    <row r="984" spans="1:14">
      <c r="A984" s="13" t="s">
        <v>1626</v>
      </c>
      <c r="B984" s="14" t="s">
        <v>318</v>
      </c>
      <c r="C984" s="14" t="s">
        <v>19</v>
      </c>
      <c r="D984" s="14" t="s">
        <v>38</v>
      </c>
      <c r="E984" s="14" t="s">
        <v>140</v>
      </c>
      <c r="F984" s="14" t="s">
        <v>15</v>
      </c>
      <c r="G984" s="14" t="s">
        <v>62</v>
      </c>
      <c r="H984" s="14">
        <v>44284</v>
      </c>
      <c r="I984" s="14">
        <v>298647</v>
      </c>
      <c r="J984" s="14" t="s">
        <v>476</v>
      </c>
      <c r="K984" s="14" t="str">
        <f>A984&amp;B984&amp;C984&amp;D984&amp;E984&amp;F984&amp;G984&amp;H984&amp;I984&amp;J984&amp;[1]Sheet1!$G$5</f>
        <v>E0983Fahim SharminMaleEngineeringSenior Software EngineerFull-timeChattogram44284298647E0574Sylhet</v>
      </c>
      <c r="L984" s="14">
        <f t="shared" si="45"/>
        <v>165867</v>
      </c>
      <c r="M984" s="14">
        <f ca="1" t="shared" si="46"/>
        <v>4</v>
      </c>
      <c r="N984" s="15" t="str">
        <f ca="1" t="shared" si="47"/>
        <v>Mid level</v>
      </c>
    </row>
    <row r="985" spans="1:14">
      <c r="A985" s="16" t="s">
        <v>1627</v>
      </c>
      <c r="B985" s="17" t="s">
        <v>962</v>
      </c>
      <c r="C985" s="17" t="s">
        <v>19</v>
      </c>
      <c r="D985" s="17" t="s">
        <v>38</v>
      </c>
      <c r="E985" s="17" t="s">
        <v>140</v>
      </c>
      <c r="F985" s="17" t="s">
        <v>15</v>
      </c>
      <c r="G985" s="17" t="s">
        <v>28</v>
      </c>
      <c r="H985" s="17">
        <v>45661</v>
      </c>
      <c r="I985" s="17">
        <v>318169</v>
      </c>
      <c r="J985" s="17" t="s">
        <v>50</v>
      </c>
      <c r="K985" s="17" t="str">
        <f>A985&amp;B985&amp;C985&amp;D985&amp;E985&amp;F985&amp;G985&amp;H985&amp;I985&amp;J985&amp;[1]Sheet1!$G$5</f>
        <v>E0984Fahim MiahMaleEngineeringSenior Software EngineerFull-timeRemote45661318169E0008Sylhet</v>
      </c>
      <c r="L985" s="17">
        <f t="shared" si="45"/>
        <v>164446</v>
      </c>
      <c r="M985" s="17">
        <f ca="1" t="shared" si="46"/>
        <v>1</v>
      </c>
      <c r="N985" s="18" t="str">
        <f ca="1" t="shared" si="47"/>
        <v>New</v>
      </c>
    </row>
    <row r="986" spans="1:14">
      <c r="A986" s="13" t="s">
        <v>1628</v>
      </c>
      <c r="B986" s="14" t="s">
        <v>844</v>
      </c>
      <c r="C986" s="14" t="s">
        <v>12</v>
      </c>
      <c r="D986" s="14" t="s">
        <v>26</v>
      </c>
      <c r="E986" s="14" t="s">
        <v>162</v>
      </c>
      <c r="F986" s="14" t="s">
        <v>15</v>
      </c>
      <c r="G986" s="14" t="s">
        <v>34</v>
      </c>
      <c r="H986" s="14">
        <v>44629</v>
      </c>
      <c r="I986" s="14">
        <v>148986</v>
      </c>
      <c r="J986" s="14" t="s">
        <v>306</v>
      </c>
      <c r="K986" s="14" t="str">
        <f>A986&amp;B986&amp;C986&amp;D986&amp;E986&amp;F986&amp;G986&amp;H986&amp;I986&amp;J986&amp;[1]Sheet1!$G$5</f>
        <v>E0985Sumaiya MorshedFemaleFinanceAccounts ExecutiveFull-timeSylhet44629148986E0330Sylhet</v>
      </c>
      <c r="L986" s="14">
        <f t="shared" si="45"/>
        <v>157462.5</v>
      </c>
      <c r="M986" s="14">
        <f ca="1" t="shared" si="46"/>
        <v>4</v>
      </c>
      <c r="N986" s="15" t="str">
        <f ca="1" t="shared" si="47"/>
        <v>Mid level</v>
      </c>
    </row>
    <row r="987" spans="1:14">
      <c r="A987" s="16" t="s">
        <v>1629</v>
      </c>
      <c r="B987" s="17" t="s">
        <v>1115</v>
      </c>
      <c r="C987" s="17" t="s">
        <v>12</v>
      </c>
      <c r="D987" s="17" t="s">
        <v>92</v>
      </c>
      <c r="E987" s="17" t="s">
        <v>189</v>
      </c>
      <c r="F987" s="17" t="s">
        <v>15</v>
      </c>
      <c r="G987" s="17" t="s">
        <v>34</v>
      </c>
      <c r="H987" s="17">
        <v>42901</v>
      </c>
      <c r="I987" s="17">
        <v>164446</v>
      </c>
      <c r="J987" s="17" t="s">
        <v>799</v>
      </c>
      <c r="K987" s="17" t="str">
        <f>A987&amp;B987&amp;C987&amp;D987&amp;E987&amp;F987&amp;G987&amp;H987&amp;I987&amp;J987&amp;[1]Sheet1!$G$5</f>
        <v>E0986Sadia TalukderFemaleMarketingMarketing AssociateFull-timeSylhet42901164446E0772Sylhet</v>
      </c>
      <c r="L987" s="17">
        <f t="shared" si="45"/>
        <v>164446</v>
      </c>
      <c r="M987" s="17">
        <f ca="1" t="shared" si="46"/>
        <v>8</v>
      </c>
      <c r="N987" s="18" t="str">
        <f ca="1" t="shared" si="47"/>
        <v>Experienced</v>
      </c>
    </row>
    <row r="988" spans="1:14">
      <c r="A988" s="13" t="s">
        <v>1630</v>
      </c>
      <c r="B988" s="14" t="s">
        <v>1393</v>
      </c>
      <c r="C988" s="14" t="s">
        <v>12</v>
      </c>
      <c r="D988" s="14" t="s">
        <v>26</v>
      </c>
      <c r="E988" s="14" t="s">
        <v>294</v>
      </c>
      <c r="F988" s="14" t="s">
        <v>48</v>
      </c>
      <c r="G988" s="14" t="s">
        <v>16</v>
      </c>
      <c r="H988" s="14">
        <v>44876</v>
      </c>
      <c r="I988" s="14">
        <v>207869</v>
      </c>
      <c r="J988" s="14" t="s">
        <v>112</v>
      </c>
      <c r="K988" s="14" t="str">
        <f>A988&amp;B988&amp;C988&amp;D988&amp;E988&amp;F988&amp;G988&amp;H988&amp;I988&amp;J988&amp;[1]Sheet1!$G$5</f>
        <v>E0987Ayesha JahanFemaleFinanceSenior Financial AnalystContractKhulna44876207869E0024Sylhet</v>
      </c>
      <c r="L988" s="14">
        <f t="shared" si="45"/>
        <v>158883.5</v>
      </c>
      <c r="M988" s="14">
        <f ca="1" t="shared" si="46"/>
        <v>3</v>
      </c>
      <c r="N988" s="15" t="str">
        <f ca="1" t="shared" si="47"/>
        <v>Mid level</v>
      </c>
    </row>
    <row r="989" spans="1:14">
      <c r="A989" s="16" t="s">
        <v>1631</v>
      </c>
      <c r="B989" s="17" t="s">
        <v>775</v>
      </c>
      <c r="C989" s="17" t="s">
        <v>19</v>
      </c>
      <c r="D989" s="17" t="s">
        <v>13</v>
      </c>
      <c r="E989" s="17" t="s">
        <v>165</v>
      </c>
      <c r="F989" s="17" t="s">
        <v>15</v>
      </c>
      <c r="G989" s="17" t="s">
        <v>16</v>
      </c>
      <c r="H989" s="17">
        <v>42723</v>
      </c>
      <c r="I989" s="17">
        <v>101036</v>
      </c>
      <c r="J989" s="17" t="s">
        <v>243</v>
      </c>
      <c r="K989" s="17" t="str">
        <f>A989&amp;B989&amp;C989&amp;D989&amp;E989&amp;F989&amp;G989&amp;H989&amp;I989&amp;J989&amp;[1]Sheet1!$G$5</f>
        <v>E0988Tania ShahMaleSalesAccount ExecutiveFull-timeKhulna42723101036E0179Sylhet</v>
      </c>
      <c r="L989" s="17">
        <f t="shared" si="45"/>
        <v>150479</v>
      </c>
      <c r="M989" s="17">
        <f ca="1" t="shared" si="46"/>
        <v>9</v>
      </c>
      <c r="N989" s="18" t="str">
        <f ca="1" t="shared" si="47"/>
        <v>Experienced</v>
      </c>
    </row>
    <row r="990" spans="1:14">
      <c r="A990" s="13" t="s">
        <v>114</v>
      </c>
      <c r="B990" s="14" t="s">
        <v>1632</v>
      </c>
      <c r="C990" s="14" t="s">
        <v>12</v>
      </c>
      <c r="D990" s="14" t="s">
        <v>87</v>
      </c>
      <c r="E990" s="14" t="s">
        <v>156</v>
      </c>
      <c r="F990" s="14" t="s">
        <v>15</v>
      </c>
      <c r="G990" s="14" t="s">
        <v>40</v>
      </c>
      <c r="H990" s="14">
        <v>42639</v>
      </c>
      <c r="I990" s="14">
        <v>274370</v>
      </c>
      <c r="J990" s="14" t="s">
        <v>776</v>
      </c>
      <c r="K990" s="14" t="str">
        <f>A990&amp;B990&amp;C990&amp;D990&amp;E990&amp;F990&amp;G990&amp;H990&amp;I990&amp;J990&amp;[1]Sheet1!$G$5</f>
        <v>E0989Fahim ShahFemaleProductAssociate Product ManagerFull-timeDhaka42639274370E0334Sylhet</v>
      </c>
      <c r="L990" s="14">
        <f t="shared" si="45"/>
        <v>158883.5</v>
      </c>
      <c r="M990" s="14">
        <f ca="1" t="shared" si="46"/>
        <v>9</v>
      </c>
      <c r="N990" s="15" t="str">
        <f ca="1" t="shared" si="47"/>
        <v>Experienced</v>
      </c>
    </row>
    <row r="991" spans="1:14">
      <c r="A991" s="16" t="s">
        <v>29</v>
      </c>
      <c r="B991" s="17" t="s">
        <v>625</v>
      </c>
      <c r="C991" s="17" t="s">
        <v>19</v>
      </c>
      <c r="D991" s="17" t="s">
        <v>52</v>
      </c>
      <c r="E991" s="17" t="s">
        <v>53</v>
      </c>
      <c r="F991" s="17" t="s">
        <v>15</v>
      </c>
      <c r="G991" s="17" t="s">
        <v>34</v>
      </c>
      <c r="H991" s="17">
        <v>43636</v>
      </c>
      <c r="I991" s="17">
        <v>203573</v>
      </c>
      <c r="J991" s="17" t="s">
        <v>1019</v>
      </c>
      <c r="K991" s="17" t="str">
        <f>A991&amp;B991&amp;C991&amp;D991&amp;E991&amp;F991&amp;G991&amp;H991&amp;I991&amp;J991&amp;[1]Sheet1!$G$5</f>
        <v>E0990Mahin AnjumMaleOperationsOperations ManagerFull-timeSylhet43636203573E0481Sylhet</v>
      </c>
      <c r="L991" s="17">
        <f t="shared" si="45"/>
        <v>150479</v>
      </c>
      <c r="M991" s="17">
        <f ca="1" t="shared" si="46"/>
        <v>6</v>
      </c>
      <c r="N991" s="18" t="str">
        <f ca="1" t="shared" si="47"/>
        <v>Experienced</v>
      </c>
    </row>
    <row r="992" spans="1:14">
      <c r="A992" s="13" t="s">
        <v>813</v>
      </c>
      <c r="B992" s="14" t="s">
        <v>1103</v>
      </c>
      <c r="C992" s="14" t="s">
        <v>19</v>
      </c>
      <c r="D992" s="14" t="s">
        <v>52</v>
      </c>
      <c r="E992" s="14" t="s">
        <v>53</v>
      </c>
      <c r="F992" s="14" t="s">
        <v>15</v>
      </c>
      <c r="G992" s="14" t="s">
        <v>28</v>
      </c>
      <c r="H992" s="14">
        <v>44000</v>
      </c>
      <c r="I992" s="14">
        <v>175386</v>
      </c>
      <c r="J992" s="14" t="s">
        <v>331</v>
      </c>
      <c r="K992" s="14" t="str">
        <f>A992&amp;B992&amp;C992&amp;D992&amp;E992&amp;F992&amp;G992&amp;H992&amp;I992&amp;J992&amp;[1]Sheet1!$G$5</f>
        <v>E0991Nabila BanuMaleOperationsOperations ManagerFull-timeRemote44000175386E0855Sylhet</v>
      </c>
      <c r="L992" s="14">
        <f t="shared" si="45"/>
        <v>140827</v>
      </c>
      <c r="M992" s="14">
        <f ca="1" t="shared" si="46"/>
        <v>5</v>
      </c>
      <c r="N992" s="15" t="str">
        <f ca="1" t="shared" si="47"/>
        <v>Mid level</v>
      </c>
    </row>
    <row r="993" spans="1:14">
      <c r="A993" s="16" t="s">
        <v>1633</v>
      </c>
      <c r="B993" s="17" t="s">
        <v>1634</v>
      </c>
      <c r="C993" s="17" t="s">
        <v>19</v>
      </c>
      <c r="D993" s="17" t="s">
        <v>26</v>
      </c>
      <c r="E993" s="17" t="s">
        <v>162</v>
      </c>
      <c r="F993" s="17" t="s">
        <v>15</v>
      </c>
      <c r="G993" s="17" t="s">
        <v>28</v>
      </c>
      <c r="H993" s="17">
        <v>45306</v>
      </c>
      <c r="I993" s="17">
        <v>183865</v>
      </c>
      <c r="J993" s="17"/>
      <c r="K993" s="17" t="str">
        <f>A993&amp;B993&amp;C993&amp;D993&amp;E993&amp;F993&amp;G993&amp;H993&amp;I993&amp;J993&amp;[1]Sheet1!$G$5</f>
        <v>E0992Arif SharminMaleFinanceAccounts ExecutiveFull-timeRemote45306183865Sylhet</v>
      </c>
      <c r="L993" s="17">
        <f t="shared" si="45"/>
        <v>131175</v>
      </c>
      <c r="M993" s="17">
        <f ca="1" t="shared" si="46"/>
        <v>2</v>
      </c>
      <c r="N993" s="18" t="str">
        <f ca="1" t="shared" si="47"/>
        <v>New</v>
      </c>
    </row>
    <row r="994" spans="1:14">
      <c r="A994" s="13" t="s">
        <v>1635</v>
      </c>
      <c r="B994" s="14" t="s">
        <v>1060</v>
      </c>
      <c r="C994" s="14" t="s">
        <v>19</v>
      </c>
      <c r="D994" s="14" t="s">
        <v>87</v>
      </c>
      <c r="E994" s="14" t="s">
        <v>349</v>
      </c>
      <c r="F994" s="14" t="s">
        <v>15</v>
      </c>
      <c r="G994" s="14" t="s">
        <v>94</v>
      </c>
      <c r="H994" s="14">
        <v>45314</v>
      </c>
      <c r="I994" s="14">
        <v>260780</v>
      </c>
      <c r="J994" s="14" t="s">
        <v>419</v>
      </c>
      <c r="K994" s="14" t="str">
        <f>A994&amp;B994&amp;C994&amp;D994&amp;E994&amp;F994&amp;G994&amp;H994&amp;I994&amp;J994&amp;[1]Sheet1!$G$5</f>
        <v>E0993Sajid ChowdhuryMaleProductProduct ManagerFull-timeRajshahi45314260780E0144Sylhet</v>
      </c>
      <c r="L994" s="14">
        <f t="shared" si="45"/>
        <v>119754.5</v>
      </c>
      <c r="M994" s="14">
        <f ca="1" t="shared" si="46"/>
        <v>2</v>
      </c>
      <c r="N994" s="15" t="str">
        <f ca="1" t="shared" si="47"/>
        <v>New</v>
      </c>
    </row>
    <row r="995" spans="1:14">
      <c r="A995" s="16" t="s">
        <v>1636</v>
      </c>
      <c r="B995" s="17" t="s">
        <v>1000</v>
      </c>
      <c r="C995" s="17" t="s">
        <v>19</v>
      </c>
      <c r="D995" s="17" t="s">
        <v>32</v>
      </c>
      <c r="E995" s="17" t="s">
        <v>57</v>
      </c>
      <c r="F995" s="17" t="s">
        <v>15</v>
      </c>
      <c r="G995" s="17" t="s">
        <v>16</v>
      </c>
      <c r="H995" s="17">
        <v>44330</v>
      </c>
      <c r="I995" s="17">
        <v>70605</v>
      </c>
      <c r="J995" s="17" t="s">
        <v>529</v>
      </c>
      <c r="K995" s="17" t="str">
        <f>A995&amp;B995&amp;C995&amp;D995&amp;E995&amp;F995&amp;G995&amp;H995&amp;I995&amp;J995&amp;[1]Sheet1!$G$5</f>
        <v>E0994Rafi RasheedMaleHRHR AssociateFull-timeKhulna4433070605E0963Sylhet</v>
      </c>
      <c r="L995" s="17">
        <f t="shared" si="45"/>
        <v>108334</v>
      </c>
      <c r="M995" s="17">
        <f ca="1" t="shared" si="46"/>
        <v>4</v>
      </c>
      <c r="N995" s="18" t="str">
        <f ca="1" t="shared" si="47"/>
        <v>Mid level</v>
      </c>
    </row>
    <row r="996" spans="1:14">
      <c r="A996" s="13" t="s">
        <v>1637</v>
      </c>
      <c r="B996" s="14" t="s">
        <v>1326</v>
      </c>
      <c r="C996" s="14" t="s">
        <v>12</v>
      </c>
      <c r="D996" s="14" t="s">
        <v>13</v>
      </c>
      <c r="E996" s="14" t="s">
        <v>223</v>
      </c>
      <c r="F996" s="14" t="s">
        <v>15</v>
      </c>
      <c r="G996" s="14" t="s">
        <v>34</v>
      </c>
      <c r="H996" s="14">
        <v>44523</v>
      </c>
      <c r="I996" s="14">
        <v>167288</v>
      </c>
      <c r="J996" s="14" t="s">
        <v>708</v>
      </c>
      <c r="K996" s="14" t="str">
        <f>A996&amp;B996&amp;C996&amp;D996&amp;E996&amp;F996&amp;G996&amp;H996&amp;I996&amp;J996&amp;[1]Sheet1!$G$5</f>
        <v>E0995Tania ChowdhuryFemaleSalesSenior Account ExecutiveFull-timeSylhet44523167288E0965Sylhet</v>
      </c>
      <c r="L996" s="14">
        <f t="shared" si="45"/>
        <v>119754.5</v>
      </c>
      <c r="M996" s="14">
        <f ca="1" t="shared" si="46"/>
        <v>4</v>
      </c>
      <c r="N996" s="15" t="str">
        <f ca="1" t="shared" si="47"/>
        <v>Mid level</v>
      </c>
    </row>
    <row r="997" spans="1:14">
      <c r="A997" s="16" t="s">
        <v>1638</v>
      </c>
      <c r="B997" s="17" t="s">
        <v>1639</v>
      </c>
      <c r="C997" s="17" t="s">
        <v>19</v>
      </c>
      <c r="D997" s="17" t="s">
        <v>38</v>
      </c>
      <c r="E997" s="17" t="s">
        <v>44</v>
      </c>
      <c r="F997" s="17" t="s">
        <v>15</v>
      </c>
      <c r="G997" s="17" t="s">
        <v>94</v>
      </c>
      <c r="H997" s="17">
        <v>44052</v>
      </c>
      <c r="I997" s="17">
        <v>131175</v>
      </c>
      <c r="J997" s="17" t="s">
        <v>773</v>
      </c>
      <c r="K997" s="17" t="str">
        <f>A997&amp;B997&amp;C997&amp;D997&amp;E997&amp;F997&amp;G997&amp;H997&amp;I997&amp;J997&amp;[1]Sheet1!$G$5</f>
        <v>E0996Esha UddinMaleEngineeringQA EngineerFull-timeRajshahi44052131175E0845Sylhet</v>
      </c>
      <c r="L997" s="17">
        <f t="shared" si="45"/>
        <v>108334</v>
      </c>
      <c r="M997" s="17">
        <f ca="1" t="shared" si="46"/>
        <v>5</v>
      </c>
      <c r="N997" s="18" t="str">
        <f ca="1" t="shared" si="47"/>
        <v>Mid level</v>
      </c>
    </row>
    <row r="998" spans="1:14">
      <c r="A998" s="13" t="s">
        <v>1036</v>
      </c>
      <c r="B998" s="14" t="s">
        <v>533</v>
      </c>
      <c r="C998" s="14" t="s">
        <v>19</v>
      </c>
      <c r="D998" s="14" t="s">
        <v>20</v>
      </c>
      <c r="E998" s="14" t="s">
        <v>70</v>
      </c>
      <c r="F998" s="14" t="s">
        <v>15</v>
      </c>
      <c r="G998" s="14" t="s">
        <v>28</v>
      </c>
      <c r="H998" s="14">
        <v>45520</v>
      </c>
      <c r="I998" s="14">
        <v>89756</v>
      </c>
      <c r="J998" s="14" t="s">
        <v>29</v>
      </c>
      <c r="K998" s="14" t="str">
        <f>A998&amp;B998&amp;C998&amp;D998&amp;E998&amp;F998&amp;G998&amp;H998&amp;I998&amp;J998&amp;[1]Sheet1!$G$5</f>
        <v>E0997Mitu KabirMaleCustomer SuccessCustomer Success ManagerFull-timeRemote4552089756E0990Sylhet</v>
      </c>
      <c r="L998" s="14">
        <f t="shared" si="45"/>
        <v>99045</v>
      </c>
      <c r="M998" s="14">
        <f ca="1" t="shared" si="46"/>
        <v>1</v>
      </c>
      <c r="N998" s="15" t="str">
        <f ca="1" t="shared" si="47"/>
        <v>New</v>
      </c>
    </row>
    <row r="999" spans="1:14">
      <c r="A999" s="16" t="s">
        <v>1640</v>
      </c>
      <c r="B999" s="17" t="s">
        <v>116</v>
      </c>
      <c r="C999" s="17" t="s">
        <v>19</v>
      </c>
      <c r="D999" s="17" t="s">
        <v>38</v>
      </c>
      <c r="E999" s="17" t="s">
        <v>77</v>
      </c>
      <c r="F999" s="17" t="s">
        <v>15</v>
      </c>
      <c r="G999" s="17" t="s">
        <v>40</v>
      </c>
      <c r="H999" s="17">
        <v>44047</v>
      </c>
      <c r="I999" s="17">
        <v>150479</v>
      </c>
      <c r="J999" s="17" t="s">
        <v>613</v>
      </c>
      <c r="K999" s="17" t="str">
        <f>A999&amp;B999&amp;C999&amp;D999&amp;E999&amp;F999&amp;G999&amp;H999&amp;I999&amp;J999&amp;[1]Sheet1!$G$5</f>
        <v>E0998Fahim AminMaleEngineeringJunior Software EngineerFull-timeDhaka44047150479E0882Sylhet</v>
      </c>
      <c r="L999" s="17">
        <f t="shared" si="45"/>
        <v>108334</v>
      </c>
      <c r="M999" s="17">
        <f ca="1" t="shared" si="46"/>
        <v>5</v>
      </c>
      <c r="N999" s="18" t="str">
        <f ca="1" t="shared" si="47"/>
        <v>Mid level</v>
      </c>
    </row>
    <row r="1000" spans="1:14">
      <c r="A1000" s="13" t="s">
        <v>1641</v>
      </c>
      <c r="B1000" s="14" t="s">
        <v>524</v>
      </c>
      <c r="C1000" s="14" t="s">
        <v>12</v>
      </c>
      <c r="D1000" s="14" t="s">
        <v>20</v>
      </c>
      <c r="E1000" s="14" t="s">
        <v>147</v>
      </c>
      <c r="F1000" s="14" t="s">
        <v>15</v>
      </c>
      <c r="G1000" s="14" t="s">
        <v>34</v>
      </c>
      <c r="H1000" s="14">
        <v>45742</v>
      </c>
      <c r="I1000" s="14">
        <v>71076</v>
      </c>
      <c r="J1000" s="14" t="s">
        <v>499</v>
      </c>
      <c r="K1000" s="14" t="str">
        <f>A1000&amp;B1000&amp;C1000&amp;D1000&amp;E1000&amp;F1000&amp;G1000&amp;H1000&amp;I1000&amp;J1000&amp;[1]Sheet1!$G$5</f>
        <v>E0999Nadia KabirFemaleCustomer SuccessSupport AssociateFull-timeSylhet4574271076E0595Sylhet</v>
      </c>
      <c r="L1000" s="14">
        <f t="shared" si="45"/>
        <v>89705</v>
      </c>
      <c r="M1000" s="14">
        <f ca="1" t="shared" si="46"/>
        <v>0</v>
      </c>
      <c r="N1000" s="15" t="str">
        <f ca="1" t="shared" si="47"/>
        <v>New</v>
      </c>
    </row>
    <row r="1001" spans="1:14">
      <c r="A1001" s="19" t="s">
        <v>1642</v>
      </c>
      <c r="B1001" s="20" t="s">
        <v>1505</v>
      </c>
      <c r="C1001" s="20" t="s">
        <v>12</v>
      </c>
      <c r="D1001" s="20" t="s">
        <v>13</v>
      </c>
      <c r="E1001" s="20" t="s">
        <v>14</v>
      </c>
      <c r="F1001" s="20" t="s">
        <v>15</v>
      </c>
      <c r="G1001" s="20" t="s">
        <v>94</v>
      </c>
      <c r="H1001" s="20">
        <v>44724</v>
      </c>
      <c r="I1001" s="20">
        <v>108334</v>
      </c>
      <c r="J1001" s="20" t="s">
        <v>729</v>
      </c>
      <c r="K1001" s="20" t="str">
        <f>A1001&amp;B1001&amp;C1001&amp;D1001&amp;E1001&amp;F1001&amp;G1001&amp;H1001&amp;I1001&amp;J1001&amp;[1]Sheet1!$G$5</f>
        <v>E1000Tania SadiqFemaleSalesSales AssociateFull-timeRajshahi44724108334E0306Sylhet</v>
      </c>
      <c r="L1001" s="20">
        <f t="shared" si="45"/>
        <v>108334</v>
      </c>
      <c r="M1001" s="20">
        <f ca="1" t="shared" si="46"/>
        <v>3</v>
      </c>
      <c r="N1001" s="21" t="str">
        <f ca="1" t="shared" si="47"/>
        <v>Mid level</v>
      </c>
    </row>
  </sheetData>
  <autoFilter xmlns:etc="http://www.wps.cn/officeDocument/2017/etCustomData" ref="A1:L1001" etc:filterBottomFollowUsedRange="0">
    <extLst/>
  </autoFilter>
  <conditionalFormatting sqref="K$1:K$1048576">
    <cfRule type="duplicateValues" dxfId="0" priority="2"/>
  </conditionalFormatting>
  <dataValidations count="6">
    <dataValidation type="list" allowBlank="1" showInputMessage="1" showErrorMessage="1" sqref="C$1:C$1048576">
      <formula1>gender</formula1>
    </dataValidation>
    <dataValidation type="list" allowBlank="1" showInputMessage="1" showErrorMessage="1" sqref="D$1:D$1048576">
      <formula1>department</formula1>
    </dataValidation>
    <dataValidation type="list" allowBlank="1" showInputMessage="1" showErrorMessage="1" sqref="E$1:E$1048576">
      <formula1>jobtitle</formula1>
    </dataValidation>
    <dataValidation type="list" allowBlank="1" showInputMessage="1" showErrorMessage="1" sqref="F$1:F$1048576">
      <formula1>Employment</formula1>
    </dataValidation>
    <dataValidation type="list" allowBlank="1" showInputMessage="1" showErrorMessage="1" sqref="G$1:G$1048576">
      <formula1>location</formula1>
    </dataValidation>
    <dataValidation type="decimal" operator="between" allowBlank="1" showInputMessage="1" showErrorMessage="1" sqref="I$1:I$1048576">
      <formula1>40000</formula1>
      <formula2>500000</formula2>
    </dataValidation>
  </dataValidations>
  <pageMargins left="0.75" right="0.75" top="1" bottom="1" header="0.5" footer="0.5"/>
  <headerFooter/>
  <ignoredErrors>
    <ignoredError sqref="A1:L22 L23:L1001" formulaRange="1"/>
    <ignoredError sqref="A23:K1001 A1:K1 A2:C2 E2:K2 A3:K9 A10:C10 E10:K10 A11:K21 A22:C22 E22:K22" formulaRange="1"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opLeftCell="A18" workbookViewId="0">
      <selection activeCell="A39" sqref="A39"/>
    </sheetView>
  </sheetViews>
  <sheetFormatPr defaultColWidth="9.14285714285714" defaultRowHeight="15"/>
  <cols>
    <col min="1" max="1" width="69.5714285714286" customWidth="1"/>
  </cols>
  <sheetData>
    <row r="1" ht="17.25" spans="1:1">
      <c r="A1" s="7" t="s">
        <v>1647</v>
      </c>
    </row>
    <row r="3" spans="1:1">
      <c r="A3" s="8" t="s">
        <v>1648</v>
      </c>
    </row>
    <row r="5" spans="1:1">
      <c r="A5" s="8" t="s">
        <v>1649</v>
      </c>
    </row>
    <row r="7" spans="1:1">
      <c r="A7" s="8" t="s">
        <v>1650</v>
      </c>
    </row>
    <row r="9" spans="1:1">
      <c r="A9" s="8" t="s">
        <v>1651</v>
      </c>
    </row>
    <row r="11" spans="1:1">
      <c r="A11" s="8" t="s">
        <v>1652</v>
      </c>
    </row>
    <row r="12" ht="17.25" spans="1:1">
      <c r="A12" s="7" t="s">
        <v>1653</v>
      </c>
    </row>
    <row r="14" spans="1:1">
      <c r="A14" s="3" t="s">
        <v>1654</v>
      </c>
    </row>
    <row r="16" spans="1:1">
      <c r="A16" s="3" t="s">
        <v>1655</v>
      </c>
    </row>
    <row r="18" spans="1:1">
      <c r="A18" s="3" t="s">
        <v>1656</v>
      </c>
    </row>
    <row r="20" spans="1:1">
      <c r="A20" s="3" t="s">
        <v>1657</v>
      </c>
    </row>
    <row r="22" spans="1:1">
      <c r="A22" s="3" t="s">
        <v>1658</v>
      </c>
    </row>
    <row r="24" spans="1:1">
      <c r="A24" s="3" t="s">
        <v>1659</v>
      </c>
    </row>
    <row r="26" spans="1:1">
      <c r="A26" s="3"/>
    </row>
    <row r="28" spans="1:1">
      <c r="A28" s="3" t="s">
        <v>1660</v>
      </c>
    </row>
    <row r="30" spans="1:1">
      <c r="A30" s="3" t="s">
        <v>1661</v>
      </c>
    </row>
    <row r="32" spans="1:1">
      <c r="A32" s="3" t="s">
        <v>1662</v>
      </c>
    </row>
    <row r="34" spans="1:1">
      <c r="A34" s="3" t="s">
        <v>1663</v>
      </c>
    </row>
    <row r="36" spans="1:1">
      <c r="A36" s="3" t="s">
        <v>1664</v>
      </c>
    </row>
    <row r="37" ht="17.25" spans="1:1">
      <c r="A37" s="7" t="s">
        <v>1665</v>
      </c>
    </row>
    <row r="39" spans="1:1">
      <c r="A39" s="9" t="s">
        <v>1666</v>
      </c>
    </row>
    <row r="41" spans="1:1">
      <c r="A41" s="8" t="s">
        <v>1667</v>
      </c>
    </row>
    <row r="43" spans="1:1">
      <c r="A43" s="8" t="s">
        <v>1668</v>
      </c>
    </row>
    <row r="45" spans="1:1">
      <c r="A45" s="8" t="s">
        <v>1669</v>
      </c>
    </row>
    <row r="47" spans="1:1">
      <c r="A47" s="8" t="s">
        <v>1670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E1" sqref="E$1:E$1048576"/>
    </sheetView>
  </sheetViews>
  <sheetFormatPr defaultColWidth="9.14285714285714" defaultRowHeight="15" outlineLevelCol="4"/>
  <cols>
    <col min="1" max="1" width="26.4285714285714" customWidth="1"/>
    <col min="3" max="3" width="17" customWidth="1"/>
    <col min="4" max="4" width="14.8571428571429" customWidth="1"/>
    <col min="5" max="5" width="20.2857142857143" customWidth="1"/>
  </cols>
  <sheetData>
    <row r="1" spans="1:5">
      <c r="A1" t="str" cm="1">
        <f t="array" ref="A1:A3">_xlfn.UNIQUE(abc_inc_employees_master!F2:F1001)</f>
        <v>Full-time</v>
      </c>
      <c r="B1" t="str" cm="1">
        <f t="array" ref="B1:B6">_xlfn.UNIQUE(abc_inc_employees_master!G2:G1001)</f>
        <v>Khulna</v>
      </c>
      <c r="C1" t="str" cm="1">
        <f t="array" ref="C1:C8">_xlfn.UNIQUE(abc_inc_employees_master!D2:D1001)</f>
        <v>Sales</v>
      </c>
      <c r="D1" t="str" cm="1">
        <f t="array" ref="D1:D4">_xlfn.UNIQUE(abc_inc_employees_master!C2:C1001)</f>
        <v>Female</v>
      </c>
      <c r="E1" t="str" cm="1">
        <f t="array" ref="E1:E33">_xlfn.UNIQUE(abc_inc_employees_master!E2:E1001)</f>
        <v>Sales Associate</v>
      </c>
    </row>
    <row r="2" spans="1:5">
      <c r="A2" t="str">
        <v>Intern</v>
      </c>
      <c r="B2" t="str">
        <v>Remote</v>
      </c>
      <c r="C2" t="str">
        <v>Customer Success</v>
      </c>
      <c r="D2" t="str">
        <v>Male</v>
      </c>
      <c r="E2" t="str">
        <v>Support Specialist</v>
      </c>
    </row>
    <row r="3" spans="1:5">
      <c r="A3" t="str">
        <v>Contract</v>
      </c>
      <c r="B3" t="str">
        <v>Sylhet</v>
      </c>
      <c r="C3" t="str">
        <v>Finance</v>
      </c>
      <c r="D3" t="str">
        <v>Non-binary</v>
      </c>
      <c r="E3" t="str">
        <v>Finance Manager</v>
      </c>
    </row>
    <row r="4" spans="1:5">
      <c r="B4" t="str">
        <v>Dhaka</v>
      </c>
      <c r="C4" t="str">
        <v>HR</v>
      </c>
      <c r="D4" t="str">
        <v>Prefer not to say</v>
      </c>
      <c r="E4" t="str">
        <v>HR Business Partner</v>
      </c>
    </row>
    <row r="5" spans="1:5">
      <c r="B5" t="str">
        <v>Chattogram</v>
      </c>
      <c r="C5" t="str">
        <v>Engineering</v>
      </c>
      <c r="E5" t="str">
        <v>DevOps Engineer</v>
      </c>
    </row>
    <row r="6" spans="1:5">
      <c r="B6" t="str">
        <v>Rajshahi</v>
      </c>
      <c r="C6" t="str">
        <v>Operations</v>
      </c>
      <c r="E6" t="str">
        <v>QA Engineer</v>
      </c>
    </row>
    <row r="7" spans="1:5">
      <c r="C7" t="str">
        <v>Product</v>
      </c>
      <c r="E7" t="str">
        <v>Operations Manager</v>
      </c>
    </row>
    <row r="8" spans="1:5">
      <c r="C8" t="str">
        <v>Marketing</v>
      </c>
      <c r="E8" t="str">
        <v>HR Associate</v>
      </c>
    </row>
    <row r="9" spans="1:5">
      <c r="E9" t="str">
        <v>Financial Analyst</v>
      </c>
    </row>
    <row r="10" spans="1:5">
      <c r="E10" t="str">
        <v>Software Engineer</v>
      </c>
    </row>
    <row r="11" spans="1:5">
      <c r="E11" t="str">
        <v>Customer Success Manager</v>
      </c>
    </row>
    <row r="12" spans="1:5">
      <c r="E12" t="str">
        <v>Junior Software Engineer</v>
      </c>
    </row>
    <row r="13" spans="1:5">
      <c r="E13" t="str">
        <v>Engineering Manager</v>
      </c>
    </row>
    <row r="14" spans="1:5">
      <c r="E14" t="str">
        <v>Product Analyst</v>
      </c>
    </row>
    <row r="15" spans="1:5">
      <c r="E15" t="str">
        <v>Growth Marketer</v>
      </c>
    </row>
    <row r="16" spans="1:5">
      <c r="E16" t="str">
        <v>Sales Manager</v>
      </c>
    </row>
    <row r="17" spans="5:5">
      <c r="E17" t="str">
        <v>Senior Product Manager</v>
      </c>
    </row>
    <row r="18" spans="5:5">
      <c r="E18" t="str">
        <v>Supply Chain Analyst</v>
      </c>
    </row>
    <row r="19" spans="5:5">
      <c r="E19" t="str">
        <v>SEO Specialist</v>
      </c>
    </row>
    <row r="20" spans="5:5">
      <c r="E20" t="str">
        <v>Recruiter</v>
      </c>
    </row>
    <row r="21" spans="5:5">
      <c r="E21" t="str">
        <v>Senior Software Engineer</v>
      </c>
    </row>
    <row r="22" spans="5:5">
      <c r="E22" t="str">
        <v>Support Associate</v>
      </c>
    </row>
    <row r="23" spans="5:5">
      <c r="E23" t="str">
        <v>Associate Product Manager</v>
      </c>
    </row>
    <row r="24" spans="5:5">
      <c r="E24" t="str">
        <v>Accounts Executive</v>
      </c>
    </row>
    <row r="25" spans="5:5">
      <c r="E25" t="str">
        <v>Account Executive</v>
      </c>
    </row>
    <row r="26" spans="5:5">
      <c r="E26" t="str">
        <v>Marketing Associate</v>
      </c>
    </row>
    <row r="27" spans="5:5">
      <c r="E27" t="str">
        <v>Marketing Manager</v>
      </c>
    </row>
    <row r="28" spans="5:5">
      <c r="E28" t="str">
        <v>HR Manager</v>
      </c>
    </row>
    <row r="29" spans="5:5">
      <c r="E29" t="str">
        <v>Senior Account Executive</v>
      </c>
    </row>
    <row r="30" spans="5:5">
      <c r="E30" t="str">
        <v>Operations Associate</v>
      </c>
    </row>
    <row r="31" spans="5:5">
      <c r="E31" t="str">
        <v>Senior Financial Analyst</v>
      </c>
    </row>
    <row r="32" spans="5:5">
      <c r="E32" t="str">
        <v>Product Manager</v>
      </c>
    </row>
    <row r="33" spans="5:5">
      <c r="E33" t="str">
        <v>Content Specialist</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J24" sqref="J24"/>
    </sheetView>
  </sheetViews>
  <sheetFormatPr defaultColWidth="9.14285714285714" defaultRowHeight="15" outlineLevelCol="1"/>
  <cols>
    <col min="1" max="1" width="18.1428571428571"/>
    <col min="2" max="3" width="18"/>
  </cols>
  <sheetData>
    <row r="1" spans="1:2">
      <c r="A1" t="s">
        <v>1654</v>
      </c>
    </row>
    <row r="3" spans="1:2">
      <c r="A3" t="s">
        <v>3</v>
      </c>
      <c r="B3" t="s">
        <v>1671</v>
      </c>
    </row>
    <row r="4" spans="1:2">
      <c r="A4" t="s">
        <v>20</v>
      </c>
      <c r="B4">
        <v>100</v>
      </c>
    </row>
    <row r="5" spans="1:2">
      <c r="A5" t="s">
        <v>38</v>
      </c>
      <c r="B5">
        <v>238</v>
      </c>
    </row>
    <row r="6" spans="1:2">
      <c r="A6" t="s">
        <v>26</v>
      </c>
      <c r="B6">
        <v>86</v>
      </c>
    </row>
    <row r="7" spans="1:2">
      <c r="A7" t="s">
        <v>32</v>
      </c>
      <c r="B7">
        <v>90</v>
      </c>
    </row>
    <row r="8" spans="1:2">
      <c r="A8" t="s">
        <v>92</v>
      </c>
      <c r="B8">
        <v>119</v>
      </c>
    </row>
    <row r="9" spans="1:2">
      <c r="A9" t="s">
        <v>52</v>
      </c>
      <c r="B9">
        <v>126</v>
      </c>
    </row>
    <row r="10" spans="1:2">
      <c r="A10" t="s">
        <v>87</v>
      </c>
      <c r="B10">
        <v>94</v>
      </c>
    </row>
    <row r="11" spans="1:2">
      <c r="A11" t="s">
        <v>13</v>
      </c>
      <c r="B11">
        <v>147</v>
      </c>
    </row>
    <row r="12" spans="1:2">
      <c r="A12" t="s">
        <v>1672</v>
      </c>
    </row>
    <row r="13" spans="1:2">
      <c r="A13" t="s">
        <v>1673</v>
      </c>
      <c r="B13">
        <v>1000</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7"/>
  <sheetViews>
    <sheetView workbookViewId="0">
      <selection activeCell="B5" sqref="B5"/>
    </sheetView>
  </sheetViews>
  <sheetFormatPr defaultColWidth="9.14285714285714" defaultRowHeight="15" outlineLevelRow="6" outlineLevelCol="1"/>
  <cols>
    <col min="1" max="1" width="21"/>
    <col min="2" max="2" width="35.1428571428571" customWidth="1"/>
  </cols>
  <sheetData>
    <row r="2" spans="1:2">
      <c r="A2" s="6" t="s">
        <v>1656</v>
      </c>
    </row>
    <row r="3" spans="1:2">
      <c r="A3" t="s">
        <v>5</v>
      </c>
      <c r="B3" t="s">
        <v>1674</v>
      </c>
    </row>
    <row r="4" spans="1:2">
      <c r="A4" t="s">
        <v>48</v>
      </c>
      <c r="B4">
        <v>120</v>
      </c>
    </row>
    <row r="5" spans="1:2">
      <c r="A5" t="s">
        <v>15</v>
      </c>
      <c r="B5">
        <v>832</v>
      </c>
    </row>
    <row r="6" spans="1:2">
      <c r="A6" t="s">
        <v>22</v>
      </c>
      <c r="B6">
        <v>48</v>
      </c>
    </row>
    <row r="7" spans="1:2">
      <c r="A7" t="s">
        <v>1673</v>
      </c>
      <c r="B7">
        <v>1000</v>
      </c>
    </row>
  </sheetData>
  <mergeCells count="1">
    <mergeCell ref="A2:B2"/>
  </mergeCells>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0"/>
  <sheetViews>
    <sheetView workbookViewId="0">
      <selection activeCell="B14" sqref="B14"/>
    </sheetView>
  </sheetViews>
  <sheetFormatPr defaultColWidth="9.14285714285714" defaultRowHeight="15" outlineLevelCol="1"/>
  <cols>
    <col min="1" max="1" width="12.1428571428571"/>
    <col min="2" max="2" width="17.5714285714286"/>
  </cols>
  <sheetData>
    <row r="3" spans="1:2">
      <c r="A3" t="s">
        <v>6</v>
      </c>
      <c r="B3" t="s">
        <v>1675</v>
      </c>
    </row>
    <row r="4" spans="1:2">
      <c r="A4" t="s">
        <v>62</v>
      </c>
      <c r="B4">
        <v>175</v>
      </c>
    </row>
    <row r="5" spans="1:2">
      <c r="A5" s="5" t="s">
        <v>40</v>
      </c>
      <c r="B5" s="5">
        <v>179</v>
      </c>
    </row>
    <row r="6" spans="1:2">
      <c r="A6" t="s">
        <v>16</v>
      </c>
      <c r="B6">
        <v>173</v>
      </c>
    </row>
    <row r="7" spans="1:2">
      <c r="A7" t="s">
        <v>94</v>
      </c>
      <c r="B7">
        <v>155</v>
      </c>
    </row>
    <row r="8" spans="1:2">
      <c r="A8" t="s">
        <v>28</v>
      </c>
      <c r="B8">
        <v>174</v>
      </c>
    </row>
    <row r="9" spans="1:2">
      <c r="A9" t="s">
        <v>34</v>
      </c>
      <c r="B9">
        <v>144</v>
      </c>
    </row>
    <row r="10" spans="1:2">
      <c r="A10" t="s">
        <v>1673</v>
      </c>
      <c r="B10">
        <v>1000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B9" sqref="B9"/>
    </sheetView>
  </sheetViews>
  <sheetFormatPr defaultColWidth="9.14285714285714" defaultRowHeight="15" outlineLevelCol="2"/>
  <cols>
    <col min="1" max="1" width="18.1428571428571"/>
    <col min="2" max="4" width="31.5714285714286"/>
  </cols>
  <sheetData>
    <row r="1" spans="1:3">
      <c r="C1" s="3" t="s">
        <v>1657</v>
      </c>
    </row>
    <row r="3" spans="1:3">
      <c r="A3" t="s">
        <v>3</v>
      </c>
      <c r="B3" t="s">
        <v>1676</v>
      </c>
      <c r="C3" s="3" t="s">
        <v>1658</v>
      </c>
    </row>
    <row r="4" spans="1:3">
      <c r="A4" t="s">
        <v>20</v>
      </c>
      <c r="B4">
        <v>99688.61</v>
      </c>
    </row>
    <row r="5" spans="1:3">
      <c r="A5" t="s">
        <v>38</v>
      </c>
      <c r="B5">
        <v>160669.970588235</v>
      </c>
    </row>
    <row r="6" spans="1:3">
      <c r="A6" t="s">
        <v>26</v>
      </c>
      <c r="B6">
        <v>162531.941860465</v>
      </c>
    </row>
    <row r="7" spans="1:3">
      <c r="A7" s="4" t="s">
        <v>32</v>
      </c>
      <c r="B7" s="4">
        <v>102747.155555556</v>
      </c>
    </row>
    <row r="8" spans="1:3">
      <c r="A8" t="s">
        <v>92</v>
      </c>
      <c r="B8">
        <v>126445.067226891</v>
      </c>
    </row>
    <row r="9" spans="1:3">
      <c r="A9" t="s">
        <v>52</v>
      </c>
      <c r="B9">
        <v>116932.30952381</v>
      </c>
    </row>
    <row r="10" spans="1:3">
      <c r="A10" s="5" t="s">
        <v>87</v>
      </c>
      <c r="B10" s="5">
        <v>210305.563829787</v>
      </c>
    </row>
    <row r="11" spans="1:3">
      <c r="A11" t="s">
        <v>13</v>
      </c>
      <c r="B11">
        <v>142930.265306122</v>
      </c>
    </row>
    <row r="12" spans="1:3">
      <c r="A12" t="s">
        <v>1672</v>
      </c>
    </row>
    <row r="13" spans="1:3">
      <c r="A13" t="s">
        <v>1673</v>
      </c>
      <c r="B13">
        <v>141993.211</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4"/>
  <sheetViews>
    <sheetView workbookViewId="0">
      <selection activeCell="B6" sqref="B6"/>
    </sheetView>
  </sheetViews>
  <sheetFormatPr defaultColWidth="9.14285714285714" defaultRowHeight="15" outlineLevelCol="1"/>
  <cols>
    <col min="1" max="1" width="27.2857142857143"/>
    <col min="2" max="2" width="21.2857142857143"/>
    <col min="3" max="3" width="18"/>
  </cols>
  <sheetData>
    <row r="3" spans="1:2">
      <c r="A3" t="s">
        <v>4</v>
      </c>
      <c r="B3" t="s">
        <v>1677</v>
      </c>
    </row>
    <row r="4" spans="1:2">
      <c r="A4" t="s">
        <v>156</v>
      </c>
      <c r="B4">
        <v>18</v>
      </c>
    </row>
    <row r="5" spans="1:2">
      <c r="A5" t="s">
        <v>70</v>
      </c>
      <c r="B5">
        <v>32</v>
      </c>
    </row>
    <row r="6" spans="1:2">
      <c r="A6" t="s">
        <v>84</v>
      </c>
      <c r="B6">
        <v>19</v>
      </c>
    </row>
    <row r="7" spans="1:2">
      <c r="A7" t="s">
        <v>27</v>
      </c>
      <c r="B7">
        <v>11</v>
      </c>
    </row>
    <row r="8" spans="1:2">
      <c r="A8" t="s">
        <v>208</v>
      </c>
      <c r="B8">
        <v>20</v>
      </c>
    </row>
    <row r="9" spans="1:2">
      <c r="A9" t="s">
        <v>193</v>
      </c>
      <c r="B9">
        <v>16</v>
      </c>
    </row>
    <row r="10" spans="1:2">
      <c r="A10" s="2" t="s">
        <v>53</v>
      </c>
      <c r="B10" s="2">
        <v>33</v>
      </c>
    </row>
    <row r="11" spans="1:2">
      <c r="A11" t="s">
        <v>349</v>
      </c>
      <c r="B11">
        <v>20</v>
      </c>
    </row>
    <row r="12" spans="1:2">
      <c r="A12" t="s">
        <v>98</v>
      </c>
      <c r="B12">
        <v>25</v>
      </c>
    </row>
    <row r="13" spans="1:2">
      <c r="A13" t="s">
        <v>111</v>
      </c>
      <c r="B13">
        <v>25</v>
      </c>
    </row>
    <row r="14" spans="1:2">
      <c r="A14" t="s">
        <v>1673</v>
      </c>
      <c r="B14">
        <v>219</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45"/>
  <sheetViews>
    <sheetView workbookViewId="0">
      <selection activeCell="D9" sqref="D9"/>
    </sheetView>
  </sheetViews>
  <sheetFormatPr defaultColWidth="9.14285714285714" defaultRowHeight="15" outlineLevelCol="3"/>
  <cols>
    <col min="1" max="1" width="18.1428571428571"/>
    <col min="2" max="2" width="27.2857142857143"/>
    <col min="3" max="4" width="21.4285714285714"/>
  </cols>
  <sheetData>
    <row r="3" spans="1:4">
      <c r="A3" t="s">
        <v>3</v>
      </c>
      <c r="B3" t="s">
        <v>4</v>
      </c>
      <c r="C3" t="s">
        <v>1678</v>
      </c>
      <c r="D3" t="s">
        <v>1679</v>
      </c>
    </row>
    <row r="4" spans="1:4">
      <c r="A4" t="s">
        <v>20</v>
      </c>
      <c r="B4"/>
      <c r="C4">
        <v>4.63</v>
      </c>
      <c r="D4">
        <v>100</v>
      </c>
    </row>
    <row r="5" spans="1:4">
      <c r="B5" t="s">
        <v>70</v>
      </c>
      <c r="C5">
        <v>4.82352941176471</v>
      </c>
      <c r="D5">
        <v>34</v>
      </c>
    </row>
    <row r="6" spans="1:4">
      <c r="B6" t="s">
        <v>147</v>
      </c>
      <c r="C6">
        <v>4.15151515151515</v>
      </c>
      <c r="D6">
        <v>33</v>
      </c>
    </row>
    <row r="7" spans="1:4">
      <c r="B7" t="s">
        <v>21</v>
      </c>
      <c r="C7">
        <v>4.90909090909091</v>
      </c>
      <c r="D7">
        <v>33</v>
      </c>
    </row>
    <row r="8" spans="1:4">
      <c r="A8" t="s">
        <v>38</v>
      </c>
      <c r="B8"/>
      <c r="C8">
        <v>5.10084033613445</v>
      </c>
      <c r="D8">
        <v>238</v>
      </c>
    </row>
    <row r="9" spans="1:4">
      <c r="B9" t="s">
        <v>39</v>
      </c>
      <c r="C9">
        <v>4.54838709677419</v>
      </c>
      <c r="D9">
        <v>31</v>
      </c>
    </row>
    <row r="10" spans="1:4">
      <c r="B10" t="s">
        <v>84</v>
      </c>
      <c r="C10">
        <v>3.59090909090909</v>
      </c>
      <c r="D10">
        <v>22</v>
      </c>
    </row>
    <row r="11" spans="1:4">
      <c r="B11" t="s">
        <v>77</v>
      </c>
      <c r="C11">
        <v>5.30357142857143</v>
      </c>
      <c r="D11">
        <v>56</v>
      </c>
    </row>
    <row r="12" spans="1:4">
      <c r="B12" t="s">
        <v>44</v>
      </c>
      <c r="C12">
        <v>5.225</v>
      </c>
      <c r="D12">
        <v>40</v>
      </c>
    </row>
    <row r="13" spans="1:4">
      <c r="B13" t="s">
        <v>140</v>
      </c>
      <c r="C13">
        <v>5.60526315789474</v>
      </c>
      <c r="D13">
        <v>38</v>
      </c>
    </row>
    <row r="14" spans="1:4">
      <c r="B14" t="s">
        <v>66</v>
      </c>
      <c r="C14">
        <v>5.3921568627451</v>
      </c>
      <c r="D14">
        <v>51</v>
      </c>
    </row>
    <row r="15" spans="1:4">
      <c r="A15" t="s">
        <v>26</v>
      </c>
      <c r="B15"/>
      <c r="C15">
        <v>4.72093023255814</v>
      </c>
      <c r="D15">
        <v>86</v>
      </c>
    </row>
    <row r="16" spans="1:4">
      <c r="B16" t="s">
        <v>162</v>
      </c>
      <c r="C16">
        <v>4.17391304347826</v>
      </c>
      <c r="D16">
        <v>23</v>
      </c>
    </row>
    <row r="17" spans="1:4">
      <c r="B17" t="s">
        <v>27</v>
      </c>
      <c r="C17">
        <v>5.33333333333333</v>
      </c>
      <c r="D17">
        <v>12</v>
      </c>
    </row>
    <row r="18" spans="1:4">
      <c r="B18" t="s">
        <v>61</v>
      </c>
      <c r="C18">
        <v>4.95833333333333</v>
      </c>
      <c r="D18">
        <v>24</v>
      </c>
    </row>
    <row r="19" spans="1:4">
      <c r="B19" t="s">
        <v>294</v>
      </c>
      <c r="C19">
        <v>4.7037037037037</v>
      </c>
      <c r="D19">
        <v>27</v>
      </c>
    </row>
    <row r="20" spans="1:4">
      <c r="A20" t="s">
        <v>32</v>
      </c>
      <c r="B20"/>
      <c r="C20">
        <v>4.46666666666667</v>
      </c>
      <c r="D20">
        <v>90</v>
      </c>
    </row>
    <row r="21" spans="1:4">
      <c r="B21" t="s">
        <v>57</v>
      </c>
      <c r="C21">
        <v>4.44444444444444</v>
      </c>
      <c r="D21">
        <v>27</v>
      </c>
    </row>
    <row r="22" spans="1:4">
      <c r="B22" t="s">
        <v>33</v>
      </c>
      <c r="C22">
        <v>4.4375</v>
      </c>
      <c r="D22">
        <v>16</v>
      </c>
    </row>
    <row r="23" spans="1:4">
      <c r="B23" t="s">
        <v>208</v>
      </c>
      <c r="C23">
        <v>4.68181818181818</v>
      </c>
      <c r="D23">
        <v>22</v>
      </c>
    </row>
    <row r="24" spans="1:4">
      <c r="B24" t="s">
        <v>130</v>
      </c>
      <c r="C24">
        <v>4.32</v>
      </c>
      <c r="D24">
        <v>25</v>
      </c>
    </row>
    <row r="25" spans="1:4">
      <c r="A25" t="s">
        <v>92</v>
      </c>
      <c r="B25"/>
      <c r="C25">
        <v>5.12605042016807</v>
      </c>
      <c r="D25">
        <v>119</v>
      </c>
    </row>
    <row r="26" spans="1:4">
      <c r="B26" t="s">
        <v>391</v>
      </c>
      <c r="C26">
        <v>4.51515151515152</v>
      </c>
      <c r="D26">
        <v>33</v>
      </c>
    </row>
    <row r="27" spans="1:4">
      <c r="B27" t="s">
        <v>93</v>
      </c>
      <c r="C27">
        <v>5.13636363636364</v>
      </c>
      <c r="D27">
        <v>22</v>
      </c>
    </row>
    <row r="28" spans="1:4">
      <c r="B28" t="s">
        <v>189</v>
      </c>
      <c r="C28">
        <v>5.16666666666667</v>
      </c>
      <c r="D28">
        <v>30</v>
      </c>
    </row>
    <row r="29" spans="1:4">
      <c r="B29" t="s">
        <v>193</v>
      </c>
      <c r="C29">
        <v>5.05555555555556</v>
      </c>
      <c r="D29">
        <v>18</v>
      </c>
    </row>
    <row r="30" spans="1:4">
      <c r="B30" t="s">
        <v>126</v>
      </c>
      <c r="C30">
        <v>6.375</v>
      </c>
      <c r="D30">
        <v>16</v>
      </c>
    </row>
    <row r="31" spans="1:4">
      <c r="A31" t="s">
        <v>52</v>
      </c>
      <c r="B31"/>
      <c r="C31">
        <v>4.5952380952381</v>
      </c>
      <c r="D31">
        <v>126</v>
      </c>
    </row>
    <row r="32" spans="1:4">
      <c r="B32" t="s">
        <v>246</v>
      </c>
      <c r="C32">
        <v>4.30952380952381</v>
      </c>
      <c r="D32">
        <v>42</v>
      </c>
    </row>
    <row r="33" spans="1:4">
      <c r="B33" t="s">
        <v>53</v>
      </c>
      <c r="C33">
        <v>5.24324324324324</v>
      </c>
      <c r="D33">
        <v>37</v>
      </c>
    </row>
    <row r="34" spans="1:4">
      <c r="B34" t="s">
        <v>120</v>
      </c>
      <c r="C34">
        <v>4.34042553191489</v>
      </c>
      <c r="D34">
        <v>47</v>
      </c>
    </row>
    <row r="35" spans="1:4">
      <c r="A35" t="s">
        <v>87</v>
      </c>
      <c r="B35"/>
      <c r="C35">
        <v>4.61702127659575</v>
      </c>
      <c r="D35">
        <v>94</v>
      </c>
    </row>
    <row r="36" spans="1:4">
      <c r="B36" t="s">
        <v>156</v>
      </c>
      <c r="C36">
        <v>5.18181818181818</v>
      </c>
      <c r="D36">
        <v>22</v>
      </c>
    </row>
    <row r="37" spans="1:4">
      <c r="B37" t="s">
        <v>88</v>
      </c>
      <c r="C37">
        <v>4.73076923076923</v>
      </c>
      <c r="D37">
        <v>26</v>
      </c>
    </row>
    <row r="38" spans="1:4">
      <c r="B38" t="s">
        <v>349</v>
      </c>
      <c r="C38">
        <v>4.14285714285714</v>
      </c>
      <c r="D38">
        <v>21</v>
      </c>
    </row>
    <row r="39" spans="1:4">
      <c r="B39" t="s">
        <v>111</v>
      </c>
      <c r="C39">
        <v>4.4</v>
      </c>
      <c r="D39">
        <v>25</v>
      </c>
    </row>
    <row r="40" spans="1:4">
      <c r="A40" t="s">
        <v>13</v>
      </c>
      <c r="C40">
        <v>4.99319727891156</v>
      </c>
      <c r="D40">
        <v>147</v>
      </c>
    </row>
    <row r="41" spans="1:4">
      <c r="B41" t="s">
        <v>165</v>
      </c>
      <c r="C41">
        <v>5.45945945945946</v>
      </c>
      <c r="D41">
        <v>37</v>
      </c>
    </row>
    <row r="42" spans="1:4">
      <c r="B42" t="s">
        <v>14</v>
      </c>
      <c r="C42">
        <v>4.48837209302326</v>
      </c>
      <c r="D42">
        <v>43</v>
      </c>
    </row>
    <row r="43" spans="1:4">
      <c r="B43" t="s">
        <v>98</v>
      </c>
      <c r="C43">
        <v>4.78571428571429</v>
      </c>
      <c r="D43">
        <v>28</v>
      </c>
    </row>
    <row r="44" spans="1:4">
      <c r="B44" t="s">
        <v>223</v>
      </c>
      <c r="C44">
        <v>5.25641025641026</v>
      </c>
      <c r="D44">
        <v>39</v>
      </c>
    </row>
    <row r="45" spans="1:4">
      <c r="A45" t="s">
        <v>1673</v>
      </c>
      <c r="B45"/>
      <c r="C45">
        <v>4.842</v>
      </c>
      <c r="D45">
        <v>1000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2"/>
  <sheetViews>
    <sheetView workbookViewId="0">
      <selection activeCell="B3" sqref="B3"/>
    </sheetView>
  </sheetViews>
  <sheetFormatPr defaultColWidth="9.14285714285714" defaultRowHeight="15" outlineLevelCol="1"/>
  <cols>
    <col min="1" max="1" width="18.1428571428571"/>
    <col min="2" max="2" width="15"/>
  </cols>
  <sheetData>
    <row r="3" spans="1:2">
      <c r="A3" t="s">
        <v>3</v>
      </c>
      <c r="B3" t="s">
        <v>1680</v>
      </c>
    </row>
    <row r="4" spans="1:2">
      <c r="A4" t="s">
        <v>20</v>
      </c>
      <c r="B4">
        <v>463</v>
      </c>
    </row>
    <row r="5" spans="1:2">
      <c r="A5" t="s">
        <v>38</v>
      </c>
      <c r="B5">
        <v>1214</v>
      </c>
    </row>
    <row r="6" spans="1:2">
      <c r="A6" t="s">
        <v>26</v>
      </c>
      <c r="B6">
        <v>406</v>
      </c>
    </row>
    <row r="7" spans="1:2">
      <c r="A7" t="s">
        <v>32</v>
      </c>
      <c r="B7">
        <v>402</v>
      </c>
    </row>
    <row r="8" spans="1:2">
      <c r="A8" t="s">
        <v>92</v>
      </c>
      <c r="B8">
        <v>610</v>
      </c>
    </row>
    <row r="9" spans="1:2">
      <c r="A9" t="s">
        <v>52</v>
      </c>
      <c r="B9">
        <v>579</v>
      </c>
    </row>
    <row r="10" spans="1:2">
      <c r="A10" t="s">
        <v>87</v>
      </c>
      <c r="B10">
        <v>434</v>
      </c>
    </row>
    <row r="11" spans="1:2">
      <c r="A11" t="s">
        <v>13</v>
      </c>
      <c r="B11">
        <v>734</v>
      </c>
    </row>
    <row r="12" spans="1:2">
      <c r="A12" t="s">
        <v>1673</v>
      </c>
      <c r="B12">
        <v>4842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XFD40"/>
  <sheetViews>
    <sheetView topLeftCell="A11" workbookViewId="0">
      <selection activeCell="A40" sqref="A40"/>
    </sheetView>
  </sheetViews>
  <sheetFormatPr defaultColWidth="9.14285714285714" defaultRowHeight="15"/>
  <cols>
    <col min="1" max="1" width="18.1428571428571"/>
    <col min="2" max="2" width="16.8571428571429"/>
    <col min="3" max="3" width="23.8571428571429"/>
  </cols>
  <sheetData>
    <row r="3" spans="1:3">
      <c r="A3" t="s">
        <v>3</v>
      </c>
      <c r="B3" t="s">
        <v>1646</v>
      </c>
      <c r="C3" t="s">
        <v>1681</v>
      </c>
    </row>
    <row r="4" spans="1:3">
      <c r="A4" t="s">
        <v>20</v>
      </c>
      <c r="B4"/>
      <c r="C4">
        <v>100</v>
      </c>
    </row>
    <row r="5" spans="1:3">
      <c r="B5" t="s">
        <v>1682</v>
      </c>
      <c r="C5">
        <v>39</v>
      </c>
    </row>
    <row r="6" spans="1:3">
      <c r="B6" t="s">
        <v>1683</v>
      </c>
      <c r="C6">
        <v>34</v>
      </c>
    </row>
    <row r="7" spans="1:3">
      <c r="B7" t="s">
        <v>1684</v>
      </c>
      <c r="C7">
        <v>27</v>
      </c>
    </row>
    <row r="8" spans="1:3">
      <c r="A8" t="s">
        <v>38</v>
      </c>
      <c r="B8"/>
      <c r="C8">
        <v>238</v>
      </c>
    </row>
    <row r="9" spans="1:3">
      <c r="B9" t="s">
        <v>1682</v>
      </c>
      <c r="C9">
        <v>117</v>
      </c>
    </row>
    <row r="10" spans="1:3">
      <c r="B10" t="s">
        <v>1683</v>
      </c>
      <c r="C10">
        <v>61</v>
      </c>
    </row>
    <row r="11" spans="1:3">
      <c r="B11" t="s">
        <v>1684</v>
      </c>
      <c r="C11">
        <v>60</v>
      </c>
    </row>
    <row r="12" spans="1:3">
      <c r="A12" t="s">
        <v>26</v>
      </c>
      <c r="B12"/>
      <c r="C12">
        <v>86</v>
      </c>
    </row>
    <row r="13" spans="1:3">
      <c r="B13" t="s">
        <v>1682</v>
      </c>
      <c r="C13">
        <v>35</v>
      </c>
    </row>
    <row r="14" spans="1:3">
      <c r="B14" t="s">
        <v>1683</v>
      </c>
      <c r="C14">
        <v>30</v>
      </c>
    </row>
    <row r="15" spans="1:3">
      <c r="B15" t="s">
        <v>1684</v>
      </c>
      <c r="C15">
        <v>21</v>
      </c>
    </row>
    <row r="16" spans="1:3">
      <c r="A16" t="s">
        <v>32</v>
      </c>
      <c r="B16"/>
      <c r="C16">
        <v>90</v>
      </c>
    </row>
    <row r="17" spans="1:3">
      <c r="B17" t="s">
        <v>1682</v>
      </c>
      <c r="C17">
        <v>33</v>
      </c>
    </row>
    <row r="18" spans="1:3">
      <c r="B18" t="s">
        <v>1683</v>
      </c>
      <c r="C18">
        <v>28</v>
      </c>
    </row>
    <row r="19" spans="1:3">
      <c r="B19" t="s">
        <v>1684</v>
      </c>
      <c r="C19">
        <v>29</v>
      </c>
    </row>
    <row r="20" spans="1:3">
      <c r="A20" t="s">
        <v>92</v>
      </c>
      <c r="B20"/>
      <c r="C20">
        <v>119</v>
      </c>
    </row>
    <row r="21" spans="1:3">
      <c r="B21" t="s">
        <v>1682</v>
      </c>
      <c r="C21">
        <v>55</v>
      </c>
    </row>
    <row r="22" spans="1:3">
      <c r="B22" t="s">
        <v>1683</v>
      </c>
      <c r="C22">
        <v>43</v>
      </c>
    </row>
    <row r="23" spans="1:3">
      <c r="B23" t="s">
        <v>1684</v>
      </c>
      <c r="C23">
        <v>21</v>
      </c>
    </row>
    <row r="24" spans="1:3">
      <c r="A24" t="s">
        <v>52</v>
      </c>
      <c r="C24">
        <v>126</v>
      </c>
    </row>
    <row r="25" spans="1:3">
      <c r="B25" t="s">
        <v>1682</v>
      </c>
      <c r="C25">
        <v>51</v>
      </c>
    </row>
    <row r="26" spans="1:3">
      <c r="B26" t="s">
        <v>1683</v>
      </c>
      <c r="C26">
        <v>39</v>
      </c>
    </row>
    <row r="27" spans="1:3">
      <c r="B27" t="s">
        <v>1684</v>
      </c>
      <c r="C27">
        <v>36</v>
      </c>
    </row>
    <row r="28" spans="1:3">
      <c r="A28" t="s">
        <v>87</v>
      </c>
      <c r="C28">
        <v>94</v>
      </c>
    </row>
    <row r="29" spans="1:3">
      <c r="B29" t="s">
        <v>1682</v>
      </c>
      <c r="C29">
        <v>36</v>
      </c>
    </row>
    <row r="30" spans="1:3">
      <c r="B30" t="s">
        <v>1683</v>
      </c>
      <c r="C30">
        <v>31</v>
      </c>
    </row>
    <row r="31" spans="1:3">
      <c r="B31" t="s">
        <v>1684</v>
      </c>
      <c r="C31">
        <v>27</v>
      </c>
    </row>
    <row r="32" spans="1:3">
      <c r="A32" t="s">
        <v>13</v>
      </c>
      <c r="C32">
        <v>147</v>
      </c>
    </row>
    <row r="33" spans="1:3">
      <c r="B33" t="s">
        <v>1682</v>
      </c>
      <c r="C33">
        <v>67</v>
      </c>
    </row>
    <row r="34" spans="1:3">
      <c r="B34" t="s">
        <v>1683</v>
      </c>
      <c r="C34">
        <v>43</v>
      </c>
    </row>
    <row r="35" spans="1:3">
      <c r="B35" t="s">
        <v>1684</v>
      </c>
      <c r="C35">
        <v>37</v>
      </c>
    </row>
    <row r="36" spans="1:3">
      <c r="A36" t="s">
        <v>1673</v>
      </c>
      <c r="C36">
        <v>1000</v>
      </c>
    </row>
    <row r="38" s="1" customFormat="1" spans="1:3">
      <c r="A38" s="1" t="s">
        <v>1685</v>
      </c>
    </row>
    <row r="39" spans="1:3">
      <c r="A39" t="s">
        <v>1686</v>
      </c>
    </row>
    <row r="40" spans="1:3">
      <c r="A40" t="s">
        <v>1687</v>
      </c>
    </row>
  </sheetData>
  <mergeCells count="1">
    <mergeCell ref="A38:XFD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12</vt:i4>
      </vt:variant>
    </vt:vector>
  </HeadingPairs>
  <TitlesOfParts>
    <vt:vector size="12" baseType="lpstr">
      <vt:lpstr>Original data data</vt:lpstr>
      <vt:lpstr>abc_inc_employees_master</vt:lpstr>
      <vt:lpstr>Requirements</vt:lpstr>
      <vt:lpstr>List</vt:lpstr>
      <vt:lpstr>distribution </vt:lpstr>
      <vt:lpstr>Sheet5</vt:lpstr>
      <vt:lpstr>Sheet6</vt:lpstr>
      <vt:lpstr>Sheet8</vt:lpstr>
      <vt:lpstr>Sheet11</vt:lpstr>
      <vt:lpstr>Sheet13</vt:lpstr>
      <vt:lpstr>Sheet14</vt:lpstr>
      <vt:lpstr>Sheet15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WPS_1773154647</cp:lastModifiedBy>
  <dcterms:created xsi:type="dcterms:W3CDTF">2026-03-16T14:26:00Z</dcterms:created>
  <dcterms:modified xsi:type="dcterms:W3CDTF">2026-03-17T11:48:05Z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DD8661E9FB604DBB8F8C7845B176A3B4_13</vt:lpwstr>
  </property>
  <property fmtid="{D5CDD505-2E9C-101B-9397-08002B2CF9AE}" pid="3" name="KSOProductBuildVer">
    <vt:lpwstr>1033-12.1.0.25242</vt:lpwstr>
  </property>
  <property fmtid="{D5CDD505-2E9C-101B-9397-08002B2CF9AE}" pid="4" name="CalculationRule">
    <vt:i4>1</vt:i4>
  </property>
</Properties>
</file>