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robot\Desktop\My workfolder\"/>
    </mc:Choice>
  </mc:AlternateContent>
  <xr:revisionPtr revIDLastSave="0" documentId="13_ncr:1_{42C100D1-4AEC-4B98-AB06-B48F8142848F}" xr6:coauthVersionLast="47" xr6:coauthVersionMax="47" xr10:uidLastSave="{00000000-0000-0000-0000-000000000000}"/>
  <bookViews>
    <workbookView xWindow="-120" yWindow="-120" windowWidth="29040" windowHeight="15720" xr2:uid="{1A5F5666-BE82-F64F-A80E-7F153D5D7E43}"/>
  </bookViews>
  <sheets>
    <sheet name="Dashboard" sheetId="4" r:id="rId1"/>
    <sheet name="Support Sheet" sheetId="2" r:id="rId2"/>
    <sheet name="Sheet1" sheetId="6" r:id="rId3"/>
    <sheet name="Sheet2" sheetId="7" r:id="rId4"/>
    <sheet name="Sheet3" sheetId="8" r:id="rId5"/>
  </sheets>
  <definedNames>
    <definedName name="_xlcn.WorksheetConnection_SupportSheetB2C61" hidden="1">'Support Sheet'!$B$2:$C$6</definedName>
    <definedName name="_xlcn.WorksheetConnection_TaskManagementTracker.xlsxTable1" hidden="1">Table1[]</definedName>
    <definedName name="age">#REF!</definedName>
    <definedName name="count">#REF!</definedName>
    <definedName name="ExternalData_1" localSheetId="4" hidden="1">Sheet3!$A$3:$J$6</definedName>
    <definedName name="Slicer_Status">#N/A</definedName>
    <definedName name="Slicer_Task_Owner">#N/A</definedName>
    <definedName name="Slicer_Team">#N/A</definedName>
    <definedName name="worth">#REF!</definedName>
  </definedNames>
  <calcPr calcId="191029" iterate="1"/>
  <pivotCaches>
    <pivotCache cacheId="742" r:id="rId6"/>
    <pivotCache cacheId="746" r:id="rId7"/>
    <pivotCache cacheId="750" r:id="rId8"/>
    <pivotCache cacheId="754" r:id="rId9"/>
  </pivotCaches>
  <extLst>
    <ext xmlns:x14="http://schemas.microsoft.com/office/spreadsheetml/2009/9/main" uri="{876F7934-8845-4945-9796-88D515C7AA90}">
      <x14:pivotCaches>
        <pivotCache cacheId="741" r:id="rId10"/>
        <pivotCache cacheId="745" r:id="rId11"/>
        <pivotCache cacheId="749"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1" name="Range 1" connection="WorksheetConnection_Support Sheet!$B$2:$C$6"/>
          <x15:modelTable id="Table1" name="Table1" connection="WorksheetConnection_Task Management Tracker.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1" i="4" l="1"/>
  <c r="J21" i="4"/>
  <c r="I4" i="2"/>
  <c r="I5" i="2"/>
  <c r="I6" i="2"/>
  <c r="I3" i="2"/>
  <c r="F4" i="2"/>
  <c r="F5" i="2"/>
  <c r="F6" i="2"/>
  <c r="F7" i="2"/>
  <c r="F3" i="2"/>
  <c r="C3" i="2"/>
  <c r="C4" i="2"/>
  <c r="C5" i="2"/>
  <c r="H5" i="4"/>
  <c r="H3" i="4"/>
  <c r="H4" i="4"/>
  <c r="H6" i="4"/>
  <c r="H7" i="4"/>
  <c r="H8" i="4"/>
  <c r="H9" i="4"/>
  <c r="H10" i="4"/>
  <c r="H11" i="4"/>
  <c r="H12" i="4"/>
  <c r="H13" i="4"/>
  <c r="H14" i="4"/>
  <c r="H15" i="4"/>
  <c r="H16" i="4"/>
  <c r="H17" i="4"/>
  <c r="H18" i="4"/>
  <c r="H19" i="4"/>
  <c r="H20" i="4"/>
  <c r="J3" i="4"/>
  <c r="J4" i="4"/>
  <c r="J5" i="4"/>
  <c r="J6" i="4"/>
  <c r="J7" i="4"/>
  <c r="J8" i="4"/>
  <c r="J9" i="4"/>
  <c r="J10" i="4"/>
  <c r="J11" i="4"/>
  <c r="J12" i="4"/>
  <c r="J13" i="4"/>
  <c r="J14" i="4"/>
  <c r="J15" i="4"/>
  <c r="J16" i="4"/>
  <c r="J17" i="4"/>
  <c r="J18" i="4"/>
  <c r="J19" i="4"/>
  <c r="J20" i="4"/>
  <c r="K3" i="2" l="1"/>
  <c r="C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DA6C15-30D1-4DD8-86DF-C16747B4AED3}" keepAlive="1" name="ModelConnection_ExternalData_1" description="Data Model" type="5" refreshedVersion="8" minRefreshableVersion="5" saveData="1">
    <dbPr connection="Data Model Connection" command="DRILLTHROUGH MAXROWS 1000 SELECT FROM [Model] WHERE (([Measures].[Count of Task Duration],[Range].[Task Owner].&amp;[Emily Davis])) RETURN [$Range].[Task ID],[$Range].[Task Name],[$Range].[Team],[$Range].[Task Owner],[$Range].[Start Date],[$Range].[Due Date],[$Range].[Task Duration],[$Range].[Status],[$Range].[Overdue?],[$Range].[Comments]" commandType="4"/>
    <extLst>
      <ext xmlns:x15="http://schemas.microsoft.com/office/spreadsheetml/2010/11/main" uri="{DE250136-89BD-433C-8126-D09CA5730AF9}">
        <x15:connection id="" model="1"/>
      </ext>
    </extLst>
  </connection>
  <connection id="2" xr16:uid="{C18AF86A-F9A8-473E-BE53-8A38236BFB7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2BE4C01-F2A2-42A2-81C9-7304BF28C764}" name="WorksheetConnection_Support Sheet!$B$2:$C$6" type="102" refreshedVersion="8" minRefreshableVersion="5">
    <extLst>
      <ext xmlns:x15="http://schemas.microsoft.com/office/spreadsheetml/2010/11/main" uri="{DE250136-89BD-433C-8126-D09CA5730AF9}">
        <x15:connection id="Range 1" autoDelete="1">
          <x15:rangePr sourceName="_xlcn.WorksheetConnection_SupportSheetB2C61"/>
        </x15:connection>
      </ext>
    </extLst>
  </connection>
  <connection id="4" xr16:uid="{717D1FFD-CC05-46EE-A709-FA1C204E44D6}" name="WorksheetConnection_Task Management Tracker.xlsx!Table1" type="102" refreshedVersion="8" minRefreshableVersion="5">
    <extLst>
      <ext xmlns:x15="http://schemas.microsoft.com/office/spreadsheetml/2010/11/main" uri="{DE250136-89BD-433C-8126-D09CA5730AF9}">
        <x15:connection id="Table1" autoDelete="1">
          <x15:rangePr sourceName="_xlcn.WorksheetConnection_TaskManagementTracker.xlsxTable1"/>
        </x15:connection>
      </ext>
    </extLst>
  </connection>
</connections>
</file>

<file path=xl/sharedStrings.xml><?xml version="1.0" encoding="utf-8"?>
<sst xmlns="http://schemas.openxmlformats.org/spreadsheetml/2006/main" count="202" uniqueCount="98">
  <si>
    <t>Task Name</t>
  </si>
  <si>
    <t>Task ID</t>
  </si>
  <si>
    <t>Start Date</t>
  </si>
  <si>
    <t>Due Date</t>
  </si>
  <si>
    <t>Status</t>
  </si>
  <si>
    <t>Overdue?</t>
  </si>
  <si>
    <t>Task Owner</t>
  </si>
  <si>
    <t>Comments</t>
  </si>
  <si>
    <t>In Progress</t>
  </si>
  <si>
    <t>Not Started</t>
  </si>
  <si>
    <t>Owners</t>
  </si>
  <si>
    <t>Task Duration</t>
  </si>
  <si>
    <t>Overdue</t>
  </si>
  <si>
    <t>T001</t>
  </si>
  <si>
    <t>Prepare Q4 Financial Report</t>
  </si>
  <si>
    <t>Sarah Johnson</t>
  </si>
  <si>
    <t>Completed</t>
  </si>
  <si>
    <t>Submitted to CFO for review.</t>
  </si>
  <si>
    <t>T002</t>
  </si>
  <si>
    <t>David Kim</t>
  </si>
  <si>
    <t>Draft findings ready; awaiting survey data.</t>
  </si>
  <si>
    <t>T003</t>
  </si>
  <si>
    <t>Redesign Website Homepage</t>
  </si>
  <si>
    <t>Wireframes approved; development in progress.</t>
  </si>
  <si>
    <t>T004</t>
  </si>
  <si>
    <t>Update Sales Forecast for FY2026</t>
  </si>
  <si>
    <t>James Miller</t>
  </si>
  <si>
    <t>Final version shared with Sales Director.</t>
  </si>
  <si>
    <t>T005</t>
  </si>
  <si>
    <t>Implement CRM Upgrade</t>
  </si>
  <si>
    <t>Alex Chen</t>
  </si>
  <si>
    <t>Vendor confirmed delivery timeline.</t>
  </si>
  <si>
    <t>T006</t>
  </si>
  <si>
    <t>Plan Annual Company Retreat</t>
  </si>
  <si>
    <t>Emily Davis</t>
  </si>
  <si>
    <t>Venue options being shortlisted.</t>
  </si>
  <si>
    <t>T007</t>
  </si>
  <si>
    <t>Updated contracts aligned with new regulation.</t>
  </si>
  <si>
    <t>T008</t>
  </si>
  <si>
    <t>Launch Social Media Campaign</t>
  </si>
  <si>
    <t>Marketing</t>
  </si>
  <si>
    <t>Initial creatives approved, campaign scheduled.</t>
  </si>
  <si>
    <t>T009</t>
  </si>
  <si>
    <t>Recruit New Data Analyst</t>
  </si>
  <si>
    <t>First round of interviews completed.</t>
  </si>
  <si>
    <t>T010</t>
  </si>
  <si>
    <t>Survey questions finalized.</t>
  </si>
  <si>
    <t>T011</t>
  </si>
  <si>
    <t>Prepare Investor Presentation</t>
  </si>
  <si>
    <t>Draft slides ready; awaiting financial highlights.</t>
  </si>
  <si>
    <t>T012</t>
  </si>
  <si>
    <t>External consultant engagement pending.</t>
  </si>
  <si>
    <t>T013</t>
  </si>
  <si>
    <t>Evaluate Vendor Proposals for Logistics</t>
  </si>
  <si>
    <t>Three proposals shortlisted for management review.</t>
  </si>
  <si>
    <t>T014</t>
  </si>
  <si>
    <t>Draft Q1 Marketing Strategy</t>
  </si>
  <si>
    <t>Strategy</t>
  </si>
  <si>
    <t>Kick-off meeting scheduled next week.</t>
  </si>
  <si>
    <t>T015</t>
  </si>
  <si>
    <t>Audit Internal Expense Reports</t>
  </si>
  <si>
    <t>Waiting for submission of all departmental reports.</t>
  </si>
  <si>
    <t>Conduct Market Research</t>
  </si>
  <si>
    <t>Review Legal for Contracts</t>
  </si>
  <si>
    <t>Conduct Employee Survey</t>
  </si>
  <si>
    <t>Finance</t>
  </si>
  <si>
    <t>HR</t>
  </si>
  <si>
    <t>Upgrade Infrastructure</t>
  </si>
  <si>
    <t>Count</t>
  </si>
  <si>
    <t>Total</t>
  </si>
  <si>
    <t>Team</t>
  </si>
  <si>
    <t>Row Labels</t>
  </si>
  <si>
    <t>Grand Total</t>
  </si>
  <si>
    <t>Count of Task Duration</t>
  </si>
  <si>
    <t>Sum of Count</t>
  </si>
  <si>
    <t>Analysis of big data</t>
  </si>
  <si>
    <t>T016</t>
  </si>
  <si>
    <t>Waiting  for the permission to access the clients data</t>
  </si>
  <si>
    <t>T017</t>
  </si>
  <si>
    <t>Submitted the reports and the names of selected data analysts</t>
  </si>
  <si>
    <t>T018</t>
  </si>
  <si>
    <t>Recruit Interns</t>
  </si>
  <si>
    <t>The interviews are still on going</t>
  </si>
  <si>
    <t>Count of Task ID</t>
  </si>
  <si>
    <t>Range[Task ID]</t>
  </si>
  <si>
    <t>Range[Task Name]</t>
  </si>
  <si>
    <t>Range[Team]</t>
  </si>
  <si>
    <t>Range[Task Owner]</t>
  </si>
  <si>
    <t>Range[Start Date]</t>
  </si>
  <si>
    <t>Range[Due Date]</t>
  </si>
  <si>
    <t>Range[Task Duration]</t>
  </si>
  <si>
    <t>Range[Status]</t>
  </si>
  <si>
    <t>Range[Overdue?]</t>
  </si>
  <si>
    <t>Range[Comments]</t>
  </si>
  <si>
    <t>Data returned for Count of Task Duration, Emily Davis (First 1000 rows).</t>
  </si>
  <si>
    <t>T019</t>
  </si>
  <si>
    <t>Annual financial report</t>
  </si>
  <si>
    <t>Submitted the financial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</si>
</sst>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 Days&quot;"/>
  </numFmts>
  <fonts count="9" x14ac:knownFonts="1">
    <font>
      <sz val="12"/>
      <color theme="1"/>
      <name val="Aptos Narrow"/>
      <family val="2"/>
      <scheme val="minor"/>
    </font>
    <font>
      <b/>
      <sz val="12"/>
      <color theme="0"/>
      <name val="Aptos Narrow"/>
      <family val="2"/>
      <scheme val="minor"/>
    </font>
    <font>
      <sz val="11"/>
      <color theme="1"/>
      <name val="Aptos Narrow"/>
      <family val="2"/>
      <scheme val="minor"/>
    </font>
    <font>
      <b/>
      <sz val="11"/>
      <color theme="0"/>
      <name val="Aptos Narrow"/>
      <family val="2"/>
      <scheme val="minor"/>
    </font>
    <font>
      <sz val="12"/>
      <color theme="1"/>
      <name val="Aptos Narrow"/>
      <family val="2"/>
      <scheme val="minor"/>
    </font>
    <font>
      <u/>
      <sz val="12"/>
      <color theme="10"/>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s>
  <fills count="3">
    <fill>
      <patternFill patternType="none"/>
    </fill>
    <fill>
      <patternFill patternType="gray125"/>
    </fill>
    <fill>
      <patternFill patternType="solid">
        <fgColor rgb="FF22577A"/>
        <bgColor indexed="64"/>
      </patternFill>
    </fill>
  </fills>
  <borders count="1">
    <border>
      <left/>
      <right/>
      <top/>
      <bottom/>
      <diagonal/>
    </border>
  </borders>
  <cellStyleXfs count="4">
    <xf numFmtId="0" fontId="0" fillId="0" borderId="0"/>
    <xf numFmtId="0" fontId="2" fillId="0" borderId="0"/>
    <xf numFmtId="0" fontId="4" fillId="0" borderId="0"/>
    <xf numFmtId="0" fontId="5" fillId="0" borderId="0" applyNumberFormat="0" applyFill="0" applyBorder="0" applyAlignment="0" applyProtection="0"/>
  </cellStyleXfs>
  <cellXfs count="22">
    <xf numFmtId="0" fontId="0" fillId="0" borderId="0" xfId="0"/>
    <xf numFmtId="0" fontId="0" fillId="0" borderId="0" xfId="0" applyAlignment="1">
      <alignment horizontal="center"/>
    </xf>
    <xf numFmtId="14" fontId="0" fillId="0" borderId="0" xfId="0" applyNumberFormat="1" applyAlignment="1">
      <alignment horizontal="center"/>
    </xf>
    <xf numFmtId="0" fontId="3" fillId="2" borderId="0" xfId="1" applyFont="1" applyFill="1" applyAlignment="1">
      <alignment horizontal="center"/>
    </xf>
    <xf numFmtId="0" fontId="1" fillId="2" borderId="0" xfId="0" applyFont="1" applyFill="1" applyAlignment="1">
      <alignment horizontal="center"/>
    </xf>
    <xf numFmtId="0" fontId="0" fillId="0" borderId="0" xfId="0" applyAlignment="1">
      <alignment horizontal="center"/>
    </xf>
    <xf numFmtId="0" fontId="6" fillId="0" borderId="0" xfId="0" applyFont="1"/>
    <xf numFmtId="0" fontId="0" fillId="0" borderId="0" xfId="0" applyFont="1" applyAlignment="1">
      <alignment horizontal="center"/>
    </xf>
    <xf numFmtId="0" fontId="4" fillId="0" borderId="0" xfId="0" applyFont="1" applyAlignment="1">
      <alignment horizontal="center"/>
    </xf>
    <xf numFmtId="0" fontId="4" fillId="0" borderId="0" xfId="0" applyFont="1"/>
    <xf numFmtId="14" fontId="4" fillId="0" borderId="0" xfId="0" applyNumberFormat="1" applyFont="1" applyAlignment="1">
      <alignment horizontal="center"/>
    </xf>
    <xf numFmtId="165" fontId="4" fillId="0" borderId="0" xfId="0" applyNumberFormat="1" applyFont="1" applyAlignment="1">
      <alignment horizontal="center"/>
    </xf>
    <xf numFmtId="0" fontId="0" fillId="0" borderId="0" xfId="0" pivotButton="1"/>
    <xf numFmtId="0" fontId="0" fillId="0" borderId="0" xfId="0" applyAlignment="1">
      <alignment horizontal="left"/>
    </xf>
    <xf numFmtId="0" fontId="7" fillId="0" borderId="0" xfId="0" applyFont="1"/>
    <xf numFmtId="0" fontId="0" fillId="0" borderId="0" xfId="0" applyNumberFormat="1"/>
    <xf numFmtId="0" fontId="0" fillId="0" borderId="0" xfId="0" applyFont="1"/>
    <xf numFmtId="14" fontId="0" fillId="0" borderId="0" xfId="0" applyNumberFormat="1"/>
    <xf numFmtId="14" fontId="3" fillId="2" borderId="0" xfId="1" applyNumberFormat="1" applyFont="1" applyFill="1" applyAlignment="1">
      <alignment horizontal="center"/>
    </xf>
    <xf numFmtId="14" fontId="0" fillId="0" borderId="0" xfId="0" applyNumberFormat="1" applyFont="1" applyAlignment="1">
      <alignment horizontal="center"/>
    </xf>
    <xf numFmtId="165" fontId="0" fillId="0" borderId="0" xfId="0" applyNumberFormat="1" applyFont="1" applyAlignment="1">
      <alignment horizontal="center"/>
    </xf>
    <xf numFmtId="0" fontId="0" fillId="0" borderId="0" xfId="0" applyNumberFormat="1" applyFont="1" applyAlignment="1">
      <alignment horizontal="center"/>
    </xf>
  </cellXfs>
  <cellStyles count="4">
    <cellStyle name="Hyperlink 2" xfId="3" xr:uid="{D116B123-67C6-344C-8E97-773FA34E970D}"/>
    <cellStyle name="Normal" xfId="0" builtinId="0"/>
    <cellStyle name="Normal 2" xfId="1" xr:uid="{A1221B63-1151-9945-AD17-D34A8F7994D7}"/>
    <cellStyle name="Normal 2 2" xfId="2" xr:uid="{6371BA46-78D2-CF43-B416-26A12EFA2F80}"/>
  </cellStyles>
  <dxfs count="21">
    <dxf>
      <fill>
        <patternFill>
          <bgColor rgb="FFFFFF00"/>
        </patternFill>
      </fill>
    </dxf>
    <dxf>
      <fill>
        <patternFill>
          <bgColor rgb="FF00B0F0"/>
        </patternFill>
      </fill>
    </dxf>
    <dxf>
      <fill>
        <patternFill>
          <bgColor rgb="FFFF0000"/>
        </patternFill>
      </fill>
    </dxf>
    <dxf>
      <font>
        <color rgb="FF9C0006"/>
      </font>
      <fill>
        <patternFill>
          <bgColor rgb="FFFFFF00"/>
        </patternFill>
      </fill>
    </dxf>
    <dxf>
      <numFmt numFmtId="19" formatCode="dd/mm/yyyy"/>
    </dxf>
    <dxf>
      <numFmt numFmtId="19" formatCode="dd/mm/yyyy"/>
    </dxf>
    <dxf>
      <font>
        <b val="0"/>
        <i val="0"/>
        <strike val="0"/>
        <condense val="0"/>
        <extend val="0"/>
        <outline val="0"/>
        <shadow val="0"/>
        <u val="none"/>
        <vertAlign val="baseline"/>
        <sz val="12"/>
        <color theme="1"/>
        <name val="Aptos Narrow"/>
        <family val="2"/>
        <scheme val="minor"/>
      </font>
      <numFmt numFmtId="165" formatCode="#&quot; Days&quo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0" formatCode="General"/>
      <alignment horizontal="center" vertical="bottom" textRotation="0" wrapText="0" indent="0" justifyLastLine="0" shrinkToFit="0" readingOrder="0"/>
    </dxf>
    <dxf>
      <font>
        <color rgb="FF9C0006"/>
      </font>
      <fill>
        <patternFill>
          <bgColor rgb="FFFFFF00"/>
        </patternFill>
      </fill>
    </dxf>
    <dxf>
      <fill>
        <patternFill>
          <bgColor rgb="FFFFFF00"/>
        </patternFill>
      </fill>
    </dxf>
    <dxf>
      <fill>
        <patternFill>
          <bgColor rgb="FF00B0F0"/>
        </patternFill>
      </fill>
    </dxf>
    <dxf>
      <fill>
        <patternFill>
          <bgColor rgb="FFFF0000"/>
        </patternFill>
      </fill>
    </dxf>
    <dxf>
      <font>
        <b/>
        <i val="0"/>
        <strike val="0"/>
        <condense val="0"/>
        <extend val="0"/>
        <outline val="0"/>
        <shadow val="0"/>
        <u val="none"/>
        <vertAlign val="baseline"/>
        <sz val="11"/>
        <color theme="0"/>
        <name val="Aptos Narrow"/>
        <family val="2"/>
        <scheme val="minor"/>
      </font>
      <fill>
        <patternFill patternType="solid">
          <fgColor indexed="64"/>
          <bgColor rgb="FF22577A"/>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s>
  <tableStyles count="0" defaultTableStyle="TableStyleMedium2" defaultPivotStyle="PivotStyleLight16"/>
  <colors>
    <mruColors>
      <color rgb="FF60EC60"/>
      <color rgb="FF073673"/>
      <color rgb="FF80ED99"/>
      <color rgb="FF57CC99"/>
      <color rgb="FF22577A"/>
      <color rgb="FFC7F9CC"/>
      <color rgb="FFC0E6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[Task Management Tracker.xlsx]Sheet1!PivotTable11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solidFill>
              </a:rPr>
              <a:t>No of tasks per team</a:t>
            </a:r>
          </a:p>
        </c:rich>
      </c:tx>
      <c:layout>
        <c:manualLayout>
          <c:xMode val="edge"/>
          <c:yMode val="edge"/>
          <c:x val="0.38256252787343087"/>
          <c:y val="4.84656399082190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08136482939631"/>
          <c:y val="0.25865522018081066"/>
          <c:w val="0.71136307961504808"/>
          <c:h val="0.68578922426363376"/>
        </c:manualLayout>
      </c:layout>
      <c:barChart>
        <c:barDir val="bar"/>
        <c:grouping val="clustered"/>
        <c:varyColors val="0"/>
        <c:ser>
          <c:idx val="0"/>
          <c:order val="0"/>
          <c:tx>
            <c:strRef>
              <c:f>Sheet1!$B$2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Sheet1!$A$3:$A$7</c:f>
              <c:strCache>
                <c:ptCount val="4"/>
                <c:pt idx="0">
                  <c:v>Finance</c:v>
                </c:pt>
                <c:pt idx="1">
                  <c:v>HR</c:v>
                </c:pt>
                <c:pt idx="2">
                  <c:v>Marketing</c:v>
                </c:pt>
                <c:pt idx="3">
                  <c:v>Strategy</c:v>
                </c:pt>
              </c:strCache>
            </c:strRef>
          </c:cat>
          <c:val>
            <c:numRef>
              <c:f>Sheet1!$B$3:$B$7</c:f>
              <c:numCache>
                <c:formatCode>General</c:formatCode>
                <c:ptCount val="4"/>
                <c:pt idx="0">
                  <c:v>6</c:v>
                </c:pt>
                <c:pt idx="1">
                  <c:v>6</c:v>
                </c:pt>
                <c:pt idx="2">
                  <c:v>1</c:v>
                </c:pt>
                <c:pt idx="3">
                  <c:v>6</c:v>
                </c:pt>
              </c:numCache>
            </c:numRef>
          </c:val>
          <c:extLst>
            <c:ext xmlns:c16="http://schemas.microsoft.com/office/drawing/2014/chart" uri="{C3380CC4-5D6E-409C-BE32-E72D297353CC}">
              <c16:uniqueId val="{00000001-5386-41D1-816C-C7ACD804DD27}"/>
            </c:ext>
          </c:extLst>
        </c:ser>
        <c:dLbls>
          <c:showLegendKey val="0"/>
          <c:showVal val="0"/>
          <c:showCatName val="0"/>
          <c:showSerName val="0"/>
          <c:showPercent val="0"/>
          <c:showBubbleSize val="0"/>
        </c:dLbls>
        <c:gapWidth val="182"/>
        <c:axId val="742257231"/>
        <c:axId val="742259631"/>
      </c:barChart>
      <c:catAx>
        <c:axId val="7422572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742259631"/>
        <c:crosses val="autoZero"/>
        <c:auto val="1"/>
        <c:lblAlgn val="ctr"/>
        <c:lblOffset val="100"/>
        <c:noMultiLvlLbl val="0"/>
      </c:catAx>
      <c:valAx>
        <c:axId val="742259631"/>
        <c:scaling>
          <c:orientation val="minMax"/>
        </c:scaling>
        <c:delete val="1"/>
        <c:axPos val="b"/>
        <c:numFmt formatCode="General" sourceLinked="1"/>
        <c:majorTickMark val="out"/>
        <c:minorTickMark val="none"/>
        <c:tickLblPos val="nextTo"/>
        <c:crossAx val="742257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[Task Management Tracker.xlsx]Sheet1!PivotTable13</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No of Tasks by owners</a:t>
            </a:r>
          </a:p>
        </c:rich>
      </c:tx>
      <c:layout>
        <c:manualLayout>
          <c:xMode val="edge"/>
          <c:yMode val="edge"/>
          <c:x val="0.30934033245844267"/>
          <c:y val="0.1059464341150904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Sheet1!$D$3:$D$8</c:f>
              <c:strCache>
                <c:ptCount val="5"/>
                <c:pt idx="0">
                  <c:v>Alex Chen</c:v>
                </c:pt>
                <c:pt idx="1">
                  <c:v>David Kim</c:v>
                </c:pt>
                <c:pt idx="2">
                  <c:v>Emily Davis</c:v>
                </c:pt>
                <c:pt idx="3">
                  <c:v>James Miller</c:v>
                </c:pt>
                <c:pt idx="4">
                  <c:v>Sarah Johnson</c:v>
                </c:pt>
              </c:strCache>
            </c:strRef>
          </c:cat>
          <c:val>
            <c:numRef>
              <c:f>Sheet1!$E$3:$E$8</c:f>
              <c:numCache>
                <c:formatCode>General</c:formatCode>
                <c:ptCount val="5"/>
                <c:pt idx="0">
                  <c:v>4</c:v>
                </c:pt>
                <c:pt idx="1">
                  <c:v>5</c:v>
                </c:pt>
                <c:pt idx="2">
                  <c:v>3</c:v>
                </c:pt>
                <c:pt idx="3">
                  <c:v>1</c:v>
                </c:pt>
                <c:pt idx="4">
                  <c:v>6</c:v>
                </c:pt>
              </c:numCache>
            </c:numRef>
          </c:val>
          <c:extLst>
            <c:ext xmlns:c16="http://schemas.microsoft.com/office/drawing/2014/chart" uri="{C3380CC4-5D6E-409C-BE32-E72D297353CC}">
              <c16:uniqueId val="{00000004-5E21-4261-BFC1-C4A0F675D024}"/>
            </c:ext>
          </c:extLst>
        </c:ser>
        <c:dLbls>
          <c:dLblPos val="outEnd"/>
          <c:showLegendKey val="0"/>
          <c:showVal val="1"/>
          <c:showCatName val="0"/>
          <c:showSerName val="0"/>
          <c:showPercent val="0"/>
          <c:showBubbleSize val="0"/>
        </c:dLbls>
        <c:gapWidth val="100"/>
        <c:axId val="1459080879"/>
        <c:axId val="1459079919"/>
      </c:barChart>
      <c:catAx>
        <c:axId val="1459080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59079919"/>
        <c:crosses val="autoZero"/>
        <c:auto val="1"/>
        <c:lblAlgn val="ctr"/>
        <c:lblOffset val="100"/>
        <c:noMultiLvlLbl val="0"/>
      </c:catAx>
      <c:valAx>
        <c:axId val="1459079919"/>
        <c:scaling>
          <c:orientation val="minMax"/>
        </c:scaling>
        <c:delete val="1"/>
        <c:axPos val="b"/>
        <c:numFmt formatCode="General" sourceLinked="1"/>
        <c:majorTickMark val="none"/>
        <c:minorTickMark val="none"/>
        <c:tickLblPos val="nextTo"/>
        <c:crossAx val="1459080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[Task Management Tracker.xlsx]Sheet1!PivotTable8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Status</a:t>
            </a:r>
          </a:p>
        </c:rich>
      </c:tx>
      <c:layout>
        <c:manualLayout>
          <c:xMode val="edge"/>
          <c:yMode val="edge"/>
          <c:x val="0.35381382541906187"/>
          <c:y val="6.82689908172161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Sheet1!$B$26</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Sheet1!$A$27:$A$30</c:f>
              <c:strCache>
                <c:ptCount val="4"/>
                <c:pt idx="0">
                  <c:v>Completed</c:v>
                </c:pt>
                <c:pt idx="1">
                  <c:v>In Progress</c:v>
                </c:pt>
                <c:pt idx="2">
                  <c:v>Not Started</c:v>
                </c:pt>
                <c:pt idx="3">
                  <c:v>Total</c:v>
                </c:pt>
              </c:strCache>
            </c:strRef>
          </c:cat>
          <c:val>
            <c:numRef>
              <c:f>Sheet1!$B$27:$B$30</c:f>
              <c:numCache>
                <c:formatCode>General</c:formatCode>
                <c:ptCount val="4"/>
                <c:pt idx="0">
                  <c:v>11</c:v>
                </c:pt>
                <c:pt idx="1">
                  <c:v>6</c:v>
                </c:pt>
                <c:pt idx="2">
                  <c:v>2</c:v>
                </c:pt>
                <c:pt idx="3">
                  <c:v>19</c:v>
                </c:pt>
              </c:numCache>
            </c:numRef>
          </c:val>
          <c:extLst>
            <c:ext xmlns:c16="http://schemas.microsoft.com/office/drawing/2014/chart" uri="{C3380CC4-5D6E-409C-BE32-E72D297353CC}">
              <c16:uniqueId val="{00000000-0D4D-47A7-9FE5-CE5AE40182A8}"/>
            </c:ext>
          </c:extLst>
        </c:ser>
        <c:dLbls>
          <c:showLegendKey val="0"/>
          <c:showVal val="0"/>
          <c:showCatName val="0"/>
          <c:showSerName val="0"/>
          <c:showPercent val="0"/>
          <c:showBubbleSize val="0"/>
        </c:dLbls>
        <c:gapWidth val="182"/>
        <c:axId val="97445664"/>
        <c:axId val="150142640"/>
      </c:barChart>
      <c:catAx>
        <c:axId val="974456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0142640"/>
        <c:crosses val="autoZero"/>
        <c:auto val="1"/>
        <c:lblAlgn val="ctr"/>
        <c:lblOffset val="100"/>
        <c:noMultiLvlLbl val="0"/>
      </c:catAx>
      <c:valAx>
        <c:axId val="150142640"/>
        <c:scaling>
          <c:orientation val="minMax"/>
        </c:scaling>
        <c:delete val="1"/>
        <c:axPos val="b"/>
        <c:numFmt formatCode="General" sourceLinked="1"/>
        <c:majorTickMark val="out"/>
        <c:minorTickMark val="none"/>
        <c:tickLblPos val="nextTo"/>
        <c:crossAx val="97445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tasks by Teams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500458212333689"/>
          <c:y val="0.2034358336786849"/>
          <c:w val="0.83942782152230966"/>
          <c:h val="0.79139604917806328"/>
        </c:manualLayout>
      </c:layout>
      <c:barChart>
        <c:barDir val="bar"/>
        <c:grouping val="clustered"/>
        <c:varyColors val="0"/>
        <c:ser>
          <c:idx val="0"/>
          <c:order val="0"/>
          <c:tx>
            <c:strRef>
              <c:f>'Support Sheet'!$I$2</c:f>
              <c:strCache>
                <c:ptCount val="1"/>
                <c:pt idx="0">
                  <c:v>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'Support Sheet'!$H$3:$H$6</c:f>
              <c:strCache>
                <c:ptCount val="4"/>
                <c:pt idx="0">
                  <c:v>Finance</c:v>
                </c:pt>
                <c:pt idx="1">
                  <c:v>Strategy</c:v>
                </c:pt>
                <c:pt idx="2">
                  <c:v>HR</c:v>
                </c:pt>
                <c:pt idx="3">
                  <c:v>Marketing</c:v>
                </c:pt>
              </c:strCache>
            </c:strRef>
          </c:cat>
          <c:val>
            <c:numRef>
              <c:f>'Support Sheet'!$I$3:$I$6</c:f>
              <c:numCache>
                <c:formatCode>General</c:formatCode>
                <c:ptCount val="4"/>
                <c:pt idx="0">
                  <c:v>6</c:v>
                </c:pt>
                <c:pt idx="1">
                  <c:v>6</c:v>
                </c:pt>
                <c:pt idx="2">
                  <c:v>6</c:v>
                </c:pt>
                <c:pt idx="3">
                  <c:v>1</c:v>
                </c:pt>
              </c:numCache>
            </c:numRef>
          </c:val>
          <c:extLst>
            <c:ext xmlns:c16="http://schemas.microsoft.com/office/drawing/2014/chart" uri="{C3380CC4-5D6E-409C-BE32-E72D297353CC}">
              <c16:uniqueId val="{00000000-5984-4DA7-8FAB-76E4681061D0}"/>
            </c:ext>
          </c:extLst>
        </c:ser>
        <c:dLbls>
          <c:showLegendKey val="0"/>
          <c:showVal val="0"/>
          <c:showCatName val="0"/>
          <c:showSerName val="0"/>
          <c:showPercent val="0"/>
          <c:showBubbleSize val="0"/>
        </c:dLbls>
        <c:gapWidth val="115"/>
        <c:overlap val="-20"/>
        <c:axId val="1654175567"/>
        <c:axId val="1654172207"/>
      </c:barChart>
      <c:catAx>
        <c:axId val="16541755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4172207"/>
        <c:crosses val="autoZero"/>
        <c:auto val="1"/>
        <c:lblAlgn val="ctr"/>
        <c:lblOffset val="100"/>
        <c:noMultiLvlLbl val="0"/>
      </c:catAx>
      <c:valAx>
        <c:axId val="1654172207"/>
        <c:scaling>
          <c:orientation val="minMax"/>
        </c:scaling>
        <c:delete val="1"/>
        <c:axPos val="b"/>
        <c:numFmt formatCode="General" sourceLinked="1"/>
        <c:majorTickMark val="none"/>
        <c:minorTickMark val="none"/>
        <c:tickLblPos val="nextTo"/>
        <c:crossAx val="1654175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Tasks by owners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stacked"/>
        <c:varyColors val="0"/>
        <c:ser>
          <c:idx val="0"/>
          <c:order val="0"/>
          <c:tx>
            <c:strRef>
              <c:f>'Support Sheet'!$F$2</c:f>
              <c:strCache>
                <c:ptCount val="1"/>
                <c:pt idx="0">
                  <c:v>Count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0">
              <a:solidFill>
                <a:schemeClr val="accent1">
                  <a:shade val="15000"/>
                </a:schemeClr>
              </a:solidFill>
            </a:ln>
            <a:effectLst>
              <a:outerShdw blurRad="57150" dist="19050" dir="5400000" algn="ctr" rotWithShape="0">
                <a:srgbClr val="000000">
                  <a:alpha val="63000"/>
                </a:srgbClr>
              </a:outerShdw>
            </a:effectLst>
          </c:spPr>
          <c:invertIfNegative val="0"/>
          <c:dLbls>
            <c:dLbl>
              <c:idx val="0"/>
              <c:layout>
                <c:manualLayout>
                  <c:x val="0.36111111111111099"/>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271-476A-96E2-D60CB5AB47A7}"/>
                </c:ext>
              </c:extLst>
            </c:dLbl>
            <c:dLbl>
              <c:idx val="1"/>
              <c:layout>
                <c:manualLayout>
                  <c:x val="0.19166666666666668"/>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71-476A-96E2-D60CB5AB47A7}"/>
                </c:ext>
              </c:extLst>
            </c:dLbl>
            <c:dLbl>
              <c:idx val="2"/>
              <c:layout>
                <c:manualLayout>
                  <c:x val="7.7777777777777779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71-476A-96E2-D60CB5AB47A7}"/>
                </c:ext>
              </c:extLst>
            </c:dLbl>
            <c:dLbl>
              <c:idx val="3"/>
              <c:layout>
                <c:manualLayout>
                  <c:x val="0.13888888888888895"/>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71-476A-96E2-D60CB5AB47A7}"/>
                </c:ext>
              </c:extLst>
            </c:dLbl>
            <c:dLbl>
              <c:idx val="4"/>
              <c:layout>
                <c:manualLayout>
                  <c:x val="0.1888888888888888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271-476A-96E2-D60CB5AB47A7}"/>
                </c:ext>
              </c:extLst>
            </c:dLbl>
            <c:spPr>
              <a:solidFill>
                <a:schemeClr val="lt1"/>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'Support Sheet'!$E$3:$E$7</c:f>
              <c:strCache>
                <c:ptCount val="5"/>
                <c:pt idx="0">
                  <c:v>Sarah Johnson</c:v>
                </c:pt>
                <c:pt idx="1">
                  <c:v>David Kim</c:v>
                </c:pt>
                <c:pt idx="2">
                  <c:v>James Miller</c:v>
                </c:pt>
                <c:pt idx="3">
                  <c:v>Alex Chen</c:v>
                </c:pt>
                <c:pt idx="4">
                  <c:v>Emily Davis</c:v>
                </c:pt>
              </c:strCache>
            </c:strRef>
          </c:cat>
          <c:val>
            <c:numRef>
              <c:f>'Support Sheet'!$F$3:$F$7</c:f>
              <c:numCache>
                <c:formatCode>General</c:formatCode>
                <c:ptCount val="5"/>
                <c:pt idx="0">
                  <c:v>6</c:v>
                </c:pt>
                <c:pt idx="1">
                  <c:v>5</c:v>
                </c:pt>
                <c:pt idx="2">
                  <c:v>1</c:v>
                </c:pt>
                <c:pt idx="3">
                  <c:v>4</c:v>
                </c:pt>
                <c:pt idx="4">
                  <c:v>3</c:v>
                </c:pt>
              </c:numCache>
            </c:numRef>
          </c:val>
          <c:extLst>
            <c:ext xmlns:c16="http://schemas.microsoft.com/office/drawing/2014/chart" uri="{C3380CC4-5D6E-409C-BE32-E72D297353CC}">
              <c16:uniqueId val="{00000005-6271-476A-96E2-D60CB5AB47A7}"/>
            </c:ext>
          </c:extLst>
        </c:ser>
        <c:dLbls>
          <c:dLblPos val="ctr"/>
          <c:showLegendKey val="0"/>
          <c:showVal val="1"/>
          <c:showCatName val="0"/>
          <c:showSerName val="0"/>
          <c:showPercent val="0"/>
          <c:showBubbleSize val="0"/>
        </c:dLbls>
        <c:gapWidth val="100"/>
        <c:overlap val="100"/>
        <c:axId val="87164352"/>
        <c:axId val="87165312"/>
      </c:barChart>
      <c:catAx>
        <c:axId val="871643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165312"/>
        <c:crosses val="autoZero"/>
        <c:auto val="1"/>
        <c:lblAlgn val="ctr"/>
        <c:lblOffset val="100"/>
        <c:noMultiLvlLbl val="0"/>
      </c:catAx>
      <c:valAx>
        <c:axId val="87165312"/>
        <c:scaling>
          <c:orientation val="minMax"/>
        </c:scaling>
        <c:delete val="1"/>
        <c:axPos val="b"/>
        <c:numFmt formatCode="General" sourceLinked="1"/>
        <c:majorTickMark val="none"/>
        <c:minorTickMark val="none"/>
        <c:tickLblPos val="nextTo"/>
        <c:crossAx val="87164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47624</xdr:colOff>
      <xdr:row>0</xdr:row>
      <xdr:rowOff>38100</xdr:rowOff>
    </xdr:from>
    <xdr:to>
      <xdr:col>19</xdr:col>
      <xdr:colOff>152400</xdr:colOff>
      <xdr:row>0</xdr:row>
      <xdr:rowOff>742950</xdr:rowOff>
    </xdr:to>
    <xdr:sp macro="" textlink="">
      <xdr:nvSpPr>
        <xdr:cNvPr id="2" name="Rectangle: Rounded Corners 1">
          <a:extLst>
            <a:ext uri="{FF2B5EF4-FFF2-40B4-BE49-F238E27FC236}">
              <a16:creationId xmlns:a16="http://schemas.microsoft.com/office/drawing/2014/main" id="{CE74A75D-5A9F-4B23-9083-515ACE424F3F}"/>
            </a:ext>
          </a:extLst>
        </xdr:cNvPr>
        <xdr:cNvSpPr/>
      </xdr:nvSpPr>
      <xdr:spPr>
        <a:xfrm>
          <a:off x="314324" y="38100"/>
          <a:ext cx="19040476" cy="70485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t>TASK MANAGEMENT TRACKER</a:t>
          </a:r>
        </a:p>
      </xdr:txBody>
    </xdr:sp>
    <xdr:clientData/>
  </xdr:twoCellAnchor>
  <xdr:twoCellAnchor>
    <xdr:from>
      <xdr:col>0</xdr:col>
      <xdr:colOff>257175</xdr:colOff>
      <xdr:row>0</xdr:row>
      <xdr:rowOff>866775</xdr:rowOff>
    </xdr:from>
    <xdr:to>
      <xdr:col>2</xdr:col>
      <xdr:colOff>295275</xdr:colOff>
      <xdr:row>0</xdr:row>
      <xdr:rowOff>1685925</xdr:rowOff>
    </xdr:to>
    <xdr:sp macro="" textlink="">
      <xdr:nvSpPr>
        <xdr:cNvPr id="3" name="Rectangle: Rounded Corners 2">
          <a:extLst>
            <a:ext uri="{FF2B5EF4-FFF2-40B4-BE49-F238E27FC236}">
              <a16:creationId xmlns:a16="http://schemas.microsoft.com/office/drawing/2014/main" id="{902163D4-83E9-4183-96C0-0612A46B2CDD}"/>
            </a:ext>
          </a:extLst>
        </xdr:cNvPr>
        <xdr:cNvSpPr/>
      </xdr:nvSpPr>
      <xdr:spPr>
        <a:xfrm>
          <a:off x="257175" y="866775"/>
          <a:ext cx="942975" cy="81915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28575</xdr:colOff>
      <xdr:row>0</xdr:row>
      <xdr:rowOff>1847850</xdr:rowOff>
    </xdr:from>
    <xdr:to>
      <xdr:col>2</xdr:col>
      <xdr:colOff>371475</xdr:colOff>
      <xdr:row>0</xdr:row>
      <xdr:rowOff>2628900</xdr:rowOff>
    </xdr:to>
    <xdr:sp macro="" textlink="">
      <xdr:nvSpPr>
        <xdr:cNvPr id="4" name="Rectangle: Rounded Corners 3">
          <a:extLst>
            <a:ext uri="{FF2B5EF4-FFF2-40B4-BE49-F238E27FC236}">
              <a16:creationId xmlns:a16="http://schemas.microsoft.com/office/drawing/2014/main" id="{9581C7DA-68E1-47D2-A28D-C28B8676A6F9}"/>
            </a:ext>
          </a:extLst>
        </xdr:cNvPr>
        <xdr:cNvSpPr/>
      </xdr:nvSpPr>
      <xdr:spPr>
        <a:xfrm>
          <a:off x="295275" y="1847850"/>
          <a:ext cx="981075" cy="78105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352425</xdr:colOff>
      <xdr:row>0</xdr:row>
      <xdr:rowOff>885825</xdr:rowOff>
    </xdr:from>
    <xdr:to>
      <xdr:col>2</xdr:col>
      <xdr:colOff>1276350</xdr:colOff>
      <xdr:row>0</xdr:row>
      <xdr:rowOff>1695450</xdr:rowOff>
    </xdr:to>
    <xdr:sp macro="" textlink="">
      <xdr:nvSpPr>
        <xdr:cNvPr id="5" name="Rectangle: Rounded Corners 4">
          <a:extLst>
            <a:ext uri="{FF2B5EF4-FFF2-40B4-BE49-F238E27FC236}">
              <a16:creationId xmlns:a16="http://schemas.microsoft.com/office/drawing/2014/main" id="{3FAC8F9D-1CEF-4E9D-B7C9-58972017D2CE}"/>
            </a:ext>
          </a:extLst>
        </xdr:cNvPr>
        <xdr:cNvSpPr/>
      </xdr:nvSpPr>
      <xdr:spPr>
        <a:xfrm>
          <a:off x="1257300" y="885825"/>
          <a:ext cx="923925" cy="8096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381000</xdr:colOff>
      <xdr:row>0</xdr:row>
      <xdr:rowOff>1876424</xdr:rowOff>
    </xdr:from>
    <xdr:to>
      <xdr:col>2</xdr:col>
      <xdr:colOff>1076325</xdr:colOff>
      <xdr:row>0</xdr:row>
      <xdr:rowOff>2619375</xdr:rowOff>
    </xdr:to>
    <xdr:sp macro="" textlink="">
      <xdr:nvSpPr>
        <xdr:cNvPr id="6" name="Rectangle: Rounded Corners 5">
          <a:extLst>
            <a:ext uri="{FF2B5EF4-FFF2-40B4-BE49-F238E27FC236}">
              <a16:creationId xmlns:a16="http://schemas.microsoft.com/office/drawing/2014/main" id="{E1FC7708-C94B-490E-A33D-1232272EBC49}"/>
            </a:ext>
          </a:extLst>
        </xdr:cNvPr>
        <xdr:cNvSpPr/>
      </xdr:nvSpPr>
      <xdr:spPr>
        <a:xfrm>
          <a:off x="1285875" y="1876424"/>
          <a:ext cx="695325" cy="742951"/>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1304925</xdr:colOff>
      <xdr:row>0</xdr:row>
      <xdr:rowOff>904875</xdr:rowOff>
    </xdr:from>
    <xdr:to>
      <xdr:col>5</xdr:col>
      <xdr:colOff>800100</xdr:colOff>
      <xdr:row>0</xdr:row>
      <xdr:rowOff>2609850</xdr:rowOff>
    </xdr:to>
    <xdr:sp macro="" textlink="">
      <xdr:nvSpPr>
        <xdr:cNvPr id="7" name="Rectangle: Rounded Corners 6">
          <a:extLst>
            <a:ext uri="{FF2B5EF4-FFF2-40B4-BE49-F238E27FC236}">
              <a16:creationId xmlns:a16="http://schemas.microsoft.com/office/drawing/2014/main" id="{94844947-9070-42B5-83DE-3BB1ADCC9D5D}"/>
            </a:ext>
          </a:extLst>
        </xdr:cNvPr>
        <xdr:cNvSpPr/>
      </xdr:nvSpPr>
      <xdr:spPr>
        <a:xfrm>
          <a:off x="2209800" y="904875"/>
          <a:ext cx="3619500" cy="170497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809625</xdr:colOff>
      <xdr:row>0</xdr:row>
      <xdr:rowOff>866774</xdr:rowOff>
    </xdr:from>
    <xdr:to>
      <xdr:col>9</xdr:col>
      <xdr:colOff>790575</xdr:colOff>
      <xdr:row>0</xdr:row>
      <xdr:rowOff>2609849</xdr:rowOff>
    </xdr:to>
    <xdr:sp macro="" textlink="">
      <xdr:nvSpPr>
        <xdr:cNvPr id="9" name="Rectangle: Rounded Corners 8">
          <a:extLst>
            <a:ext uri="{FF2B5EF4-FFF2-40B4-BE49-F238E27FC236}">
              <a16:creationId xmlns:a16="http://schemas.microsoft.com/office/drawing/2014/main" id="{A90DF153-7962-48ED-B43B-98490A4AA9B3}"/>
            </a:ext>
          </a:extLst>
        </xdr:cNvPr>
        <xdr:cNvSpPr/>
      </xdr:nvSpPr>
      <xdr:spPr>
        <a:xfrm>
          <a:off x="5838825" y="866774"/>
          <a:ext cx="3619500" cy="174307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9524</xdr:colOff>
      <xdr:row>0</xdr:row>
      <xdr:rowOff>885825</xdr:rowOff>
    </xdr:from>
    <xdr:to>
      <xdr:col>10</xdr:col>
      <xdr:colOff>1600199</xdr:colOff>
      <xdr:row>0</xdr:row>
      <xdr:rowOff>2600325</xdr:rowOff>
    </xdr:to>
    <xdr:sp macro="" textlink="">
      <xdr:nvSpPr>
        <xdr:cNvPr id="10" name="Rectangle: Rounded Corners 9">
          <a:extLst>
            <a:ext uri="{FF2B5EF4-FFF2-40B4-BE49-F238E27FC236}">
              <a16:creationId xmlns:a16="http://schemas.microsoft.com/office/drawing/2014/main" id="{FF5215E7-2F9D-48DF-9AF5-9ECA6AE914E5}"/>
            </a:ext>
          </a:extLst>
        </xdr:cNvPr>
        <xdr:cNvSpPr/>
      </xdr:nvSpPr>
      <xdr:spPr>
        <a:xfrm>
          <a:off x="9524999" y="885825"/>
          <a:ext cx="1590675" cy="171450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57150</xdr:colOff>
      <xdr:row>0</xdr:row>
      <xdr:rowOff>923925</xdr:rowOff>
    </xdr:from>
    <xdr:to>
      <xdr:col>2</xdr:col>
      <xdr:colOff>457200</xdr:colOff>
      <xdr:row>0</xdr:row>
      <xdr:rowOff>1209675</xdr:rowOff>
    </xdr:to>
    <xdr:sp macro="" textlink="">
      <xdr:nvSpPr>
        <xdr:cNvPr id="11" name="TextBox 10">
          <a:extLst>
            <a:ext uri="{FF2B5EF4-FFF2-40B4-BE49-F238E27FC236}">
              <a16:creationId xmlns:a16="http://schemas.microsoft.com/office/drawing/2014/main" id="{9124AC46-AC05-8816-C44C-0ADEFA37D1D8}"/>
            </a:ext>
          </a:extLst>
        </xdr:cNvPr>
        <xdr:cNvSpPr txBox="1"/>
      </xdr:nvSpPr>
      <xdr:spPr>
        <a:xfrm>
          <a:off x="323850" y="923925"/>
          <a:ext cx="10382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Complete</a:t>
          </a:r>
        </a:p>
      </xdr:txBody>
    </xdr:sp>
    <xdr:clientData/>
  </xdr:twoCellAnchor>
  <xdr:twoCellAnchor>
    <xdr:from>
      <xdr:col>0</xdr:col>
      <xdr:colOff>257175</xdr:colOff>
      <xdr:row>0</xdr:row>
      <xdr:rowOff>1095375</xdr:rowOff>
    </xdr:from>
    <xdr:to>
      <xdr:col>2</xdr:col>
      <xdr:colOff>0</xdr:colOff>
      <xdr:row>0</xdr:row>
      <xdr:rowOff>1657350</xdr:rowOff>
    </xdr:to>
    <xdr:sp macro="" textlink="'Support Sheet'!C3">
      <xdr:nvSpPr>
        <xdr:cNvPr id="12" name="TextBox 11">
          <a:extLst>
            <a:ext uri="{FF2B5EF4-FFF2-40B4-BE49-F238E27FC236}">
              <a16:creationId xmlns:a16="http://schemas.microsoft.com/office/drawing/2014/main" id="{AA059E97-15BB-B8F1-A6FF-579782A71EA1}"/>
            </a:ext>
          </a:extLst>
        </xdr:cNvPr>
        <xdr:cNvSpPr txBox="1"/>
      </xdr:nvSpPr>
      <xdr:spPr>
        <a:xfrm>
          <a:off x="257175" y="1095375"/>
          <a:ext cx="64770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8BFDD6-9B0C-42E3-9FED-D06DBF4310EF}" type="TxLink">
            <a:rPr lang="en-US" sz="3600" b="1" i="0" u="none" strike="noStrike">
              <a:solidFill>
                <a:schemeClr val="bg1"/>
              </a:solidFill>
              <a:latin typeface="Aptos Narrow"/>
            </a:rPr>
            <a:t>11</a:t>
          </a:fld>
          <a:endParaRPr lang="en-US" sz="3600" b="1">
            <a:solidFill>
              <a:schemeClr val="bg1"/>
            </a:solidFill>
          </a:endParaRPr>
        </a:p>
      </xdr:txBody>
    </xdr:sp>
    <xdr:clientData/>
  </xdr:twoCellAnchor>
  <xdr:twoCellAnchor>
    <xdr:from>
      <xdr:col>2</xdr:col>
      <xdr:colOff>285750</xdr:colOff>
      <xdr:row>0</xdr:row>
      <xdr:rowOff>942975</xdr:rowOff>
    </xdr:from>
    <xdr:to>
      <xdr:col>2</xdr:col>
      <xdr:colOff>1362075</xdr:colOff>
      <xdr:row>0</xdr:row>
      <xdr:rowOff>1228725</xdr:rowOff>
    </xdr:to>
    <xdr:sp macro="" textlink="">
      <xdr:nvSpPr>
        <xdr:cNvPr id="13" name="TextBox 12">
          <a:extLst>
            <a:ext uri="{FF2B5EF4-FFF2-40B4-BE49-F238E27FC236}">
              <a16:creationId xmlns:a16="http://schemas.microsoft.com/office/drawing/2014/main" id="{AD04D090-A640-4148-A3BF-FEBE045CE413}"/>
            </a:ext>
          </a:extLst>
        </xdr:cNvPr>
        <xdr:cNvSpPr txBox="1"/>
      </xdr:nvSpPr>
      <xdr:spPr>
        <a:xfrm>
          <a:off x="1190625" y="942975"/>
          <a:ext cx="10763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Not Started</a:t>
          </a:r>
        </a:p>
      </xdr:txBody>
    </xdr:sp>
    <xdr:clientData/>
  </xdr:twoCellAnchor>
  <xdr:twoCellAnchor>
    <xdr:from>
      <xdr:col>2</xdr:col>
      <xdr:colOff>438150</xdr:colOff>
      <xdr:row>0</xdr:row>
      <xdr:rowOff>1047750</xdr:rowOff>
    </xdr:from>
    <xdr:to>
      <xdr:col>2</xdr:col>
      <xdr:colOff>962025</xdr:colOff>
      <xdr:row>0</xdr:row>
      <xdr:rowOff>1628775</xdr:rowOff>
    </xdr:to>
    <xdr:sp macro="" textlink="'Support Sheet'!C5">
      <xdr:nvSpPr>
        <xdr:cNvPr id="14" name="TextBox 13">
          <a:extLst>
            <a:ext uri="{FF2B5EF4-FFF2-40B4-BE49-F238E27FC236}">
              <a16:creationId xmlns:a16="http://schemas.microsoft.com/office/drawing/2014/main" id="{86A3C182-3A93-4F20-942D-D8E1B65AAF1F}"/>
            </a:ext>
          </a:extLst>
        </xdr:cNvPr>
        <xdr:cNvSpPr txBox="1"/>
      </xdr:nvSpPr>
      <xdr:spPr>
        <a:xfrm>
          <a:off x="1343025" y="1047750"/>
          <a:ext cx="523875"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399B5C5-D537-4AD3-9453-1F5EB3BDEF09}" type="TxLink">
            <a:rPr lang="en-US" sz="4000" b="1" i="0" u="none" strike="noStrike">
              <a:solidFill>
                <a:schemeClr val="bg2"/>
              </a:solidFill>
              <a:latin typeface="Aptos Narrow"/>
            </a:rPr>
            <a:t>2</a:t>
          </a:fld>
          <a:endParaRPr lang="en-US" sz="4000" b="1">
            <a:solidFill>
              <a:schemeClr val="bg2"/>
            </a:solidFill>
          </a:endParaRPr>
        </a:p>
      </xdr:txBody>
    </xdr:sp>
    <xdr:clientData/>
  </xdr:twoCellAnchor>
  <xdr:twoCellAnchor>
    <xdr:from>
      <xdr:col>1</xdr:col>
      <xdr:colOff>28575</xdr:colOff>
      <xdr:row>0</xdr:row>
      <xdr:rowOff>1905000</xdr:rowOff>
    </xdr:from>
    <xdr:to>
      <xdr:col>2</xdr:col>
      <xdr:colOff>514350</xdr:colOff>
      <xdr:row>0</xdr:row>
      <xdr:rowOff>2190750</xdr:rowOff>
    </xdr:to>
    <xdr:sp macro="" textlink="">
      <xdr:nvSpPr>
        <xdr:cNvPr id="15" name="TextBox 14">
          <a:extLst>
            <a:ext uri="{FF2B5EF4-FFF2-40B4-BE49-F238E27FC236}">
              <a16:creationId xmlns:a16="http://schemas.microsoft.com/office/drawing/2014/main" id="{415BDDFA-FCE0-4CC3-8DEE-811209F2CF19}"/>
            </a:ext>
          </a:extLst>
        </xdr:cNvPr>
        <xdr:cNvSpPr txBox="1"/>
      </xdr:nvSpPr>
      <xdr:spPr>
        <a:xfrm>
          <a:off x="295275" y="1905000"/>
          <a:ext cx="11239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In Progress</a:t>
          </a:r>
        </a:p>
      </xdr:txBody>
    </xdr:sp>
    <xdr:clientData/>
  </xdr:twoCellAnchor>
  <xdr:twoCellAnchor>
    <xdr:from>
      <xdr:col>0</xdr:col>
      <xdr:colOff>238125</xdr:colOff>
      <xdr:row>0</xdr:row>
      <xdr:rowOff>2028825</xdr:rowOff>
    </xdr:from>
    <xdr:to>
      <xdr:col>1</xdr:col>
      <xdr:colOff>495300</xdr:colOff>
      <xdr:row>0</xdr:row>
      <xdr:rowOff>2590799</xdr:rowOff>
    </xdr:to>
    <xdr:sp macro="" textlink="'Support Sheet'!C4">
      <xdr:nvSpPr>
        <xdr:cNvPr id="16" name="TextBox 15">
          <a:extLst>
            <a:ext uri="{FF2B5EF4-FFF2-40B4-BE49-F238E27FC236}">
              <a16:creationId xmlns:a16="http://schemas.microsoft.com/office/drawing/2014/main" id="{EFE415A6-F36C-472E-9DF6-64BB901D6F2C}"/>
            </a:ext>
          </a:extLst>
        </xdr:cNvPr>
        <xdr:cNvSpPr txBox="1"/>
      </xdr:nvSpPr>
      <xdr:spPr>
        <a:xfrm>
          <a:off x="238125" y="2028825"/>
          <a:ext cx="523875" cy="561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1D594A-8FD0-4EEF-AC06-FF9F99B5447C}" type="TxLink">
            <a:rPr lang="en-US" sz="4000" b="1" i="0" u="none" strike="noStrike">
              <a:solidFill>
                <a:schemeClr val="bg1"/>
              </a:solidFill>
              <a:latin typeface="Aptos Narrow"/>
            </a:rPr>
            <a:t>6</a:t>
          </a:fld>
          <a:endParaRPr lang="en-US" sz="4000" b="1">
            <a:solidFill>
              <a:schemeClr val="bg1"/>
            </a:solidFill>
          </a:endParaRPr>
        </a:p>
      </xdr:txBody>
    </xdr:sp>
    <xdr:clientData/>
  </xdr:twoCellAnchor>
  <xdr:twoCellAnchor>
    <xdr:from>
      <xdr:col>2</xdr:col>
      <xdr:colOff>333375</xdr:colOff>
      <xdr:row>0</xdr:row>
      <xdr:rowOff>1876424</xdr:rowOff>
    </xdr:from>
    <xdr:to>
      <xdr:col>2</xdr:col>
      <xdr:colOff>1162050</xdr:colOff>
      <xdr:row>0</xdr:row>
      <xdr:rowOff>2162174</xdr:rowOff>
    </xdr:to>
    <xdr:sp macro="" textlink="">
      <xdr:nvSpPr>
        <xdr:cNvPr id="17" name="TextBox 16">
          <a:extLst>
            <a:ext uri="{FF2B5EF4-FFF2-40B4-BE49-F238E27FC236}">
              <a16:creationId xmlns:a16="http://schemas.microsoft.com/office/drawing/2014/main" id="{E8272E03-E649-4C0F-828B-8D3795273D35}"/>
            </a:ext>
          </a:extLst>
        </xdr:cNvPr>
        <xdr:cNvSpPr txBox="1"/>
      </xdr:nvSpPr>
      <xdr:spPr>
        <a:xfrm>
          <a:off x="1238250" y="1876424"/>
          <a:ext cx="8286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Total</a:t>
          </a:r>
        </a:p>
      </xdr:txBody>
    </xdr:sp>
    <xdr:clientData/>
  </xdr:twoCellAnchor>
  <xdr:twoCellAnchor>
    <xdr:from>
      <xdr:col>2</xdr:col>
      <xdr:colOff>342901</xdr:colOff>
      <xdr:row>0</xdr:row>
      <xdr:rowOff>2066924</xdr:rowOff>
    </xdr:from>
    <xdr:to>
      <xdr:col>2</xdr:col>
      <xdr:colOff>1047751</xdr:colOff>
      <xdr:row>0</xdr:row>
      <xdr:rowOff>2638425</xdr:rowOff>
    </xdr:to>
    <xdr:sp macro="" textlink="'Support Sheet'!C6">
      <xdr:nvSpPr>
        <xdr:cNvPr id="18" name="TextBox 17">
          <a:extLst>
            <a:ext uri="{FF2B5EF4-FFF2-40B4-BE49-F238E27FC236}">
              <a16:creationId xmlns:a16="http://schemas.microsoft.com/office/drawing/2014/main" id="{BB655601-A0EB-41D6-BD3E-E6AFE50B0B6E}"/>
            </a:ext>
          </a:extLst>
        </xdr:cNvPr>
        <xdr:cNvSpPr txBox="1"/>
      </xdr:nvSpPr>
      <xdr:spPr>
        <a:xfrm>
          <a:off x="1247776" y="2066924"/>
          <a:ext cx="704850" cy="571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347D72-3D7D-459A-A0D5-6E83679E1D41}" type="TxLink">
            <a:rPr lang="en-US" sz="3600" b="1" i="0" u="none" strike="noStrike">
              <a:solidFill>
                <a:schemeClr val="bg1"/>
              </a:solidFill>
              <a:latin typeface="Aptos Narrow"/>
            </a:rPr>
            <a:t>19</a:t>
          </a:fld>
          <a:endParaRPr lang="en-US" sz="3600" b="1">
            <a:solidFill>
              <a:schemeClr val="bg1"/>
            </a:solidFill>
          </a:endParaRPr>
        </a:p>
      </xdr:txBody>
    </xdr:sp>
    <xdr:clientData/>
  </xdr:twoCellAnchor>
  <xdr:twoCellAnchor>
    <xdr:from>
      <xdr:col>10</xdr:col>
      <xdr:colOff>228600</xdr:colOff>
      <xdr:row>0</xdr:row>
      <xdr:rowOff>1076325</xdr:rowOff>
    </xdr:from>
    <xdr:to>
      <xdr:col>10</xdr:col>
      <xdr:colOff>1647825</xdr:colOff>
      <xdr:row>0</xdr:row>
      <xdr:rowOff>1352550</xdr:rowOff>
    </xdr:to>
    <xdr:sp macro="" textlink="">
      <xdr:nvSpPr>
        <xdr:cNvPr id="23" name="TextBox 22">
          <a:extLst>
            <a:ext uri="{FF2B5EF4-FFF2-40B4-BE49-F238E27FC236}">
              <a16:creationId xmlns:a16="http://schemas.microsoft.com/office/drawing/2014/main" id="{83872C3D-095F-9DE8-487E-916582978EB1}"/>
            </a:ext>
          </a:extLst>
        </xdr:cNvPr>
        <xdr:cNvSpPr txBox="1"/>
      </xdr:nvSpPr>
      <xdr:spPr>
        <a:xfrm>
          <a:off x="9744075" y="1076325"/>
          <a:ext cx="14192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2"/>
              </a:solidFill>
            </a:rPr>
            <a:t>OVERDUE</a:t>
          </a:r>
        </a:p>
      </xdr:txBody>
    </xdr:sp>
    <xdr:clientData/>
  </xdr:twoCellAnchor>
  <xdr:twoCellAnchor>
    <xdr:from>
      <xdr:col>10</xdr:col>
      <xdr:colOff>428626</xdr:colOff>
      <xdr:row>0</xdr:row>
      <xdr:rowOff>1495425</xdr:rowOff>
    </xdr:from>
    <xdr:to>
      <xdr:col>10</xdr:col>
      <xdr:colOff>1352550</xdr:colOff>
      <xdr:row>0</xdr:row>
      <xdr:rowOff>2238375</xdr:rowOff>
    </xdr:to>
    <xdr:sp macro="" textlink="'Support Sheet'!K3">
      <xdr:nvSpPr>
        <xdr:cNvPr id="24" name="TextBox 23">
          <a:extLst>
            <a:ext uri="{FF2B5EF4-FFF2-40B4-BE49-F238E27FC236}">
              <a16:creationId xmlns:a16="http://schemas.microsoft.com/office/drawing/2014/main" id="{E68D957B-874B-8794-BA0E-ECDED49EFC6D}"/>
            </a:ext>
          </a:extLst>
        </xdr:cNvPr>
        <xdr:cNvSpPr txBox="1"/>
      </xdr:nvSpPr>
      <xdr:spPr>
        <a:xfrm>
          <a:off x="9944101" y="1495425"/>
          <a:ext cx="923924"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76318935-DD3D-4C7A-BB60-CF8905A52D31}" type="TxLink">
            <a:rPr lang="en-US" sz="3600" b="1" i="0" u="none" strike="noStrike">
              <a:solidFill>
                <a:schemeClr val="bg1"/>
              </a:solidFill>
              <a:latin typeface="Aptos Narrow"/>
            </a:rPr>
            <a:t>8</a:t>
          </a:fld>
          <a:endParaRPr lang="en-US" sz="3600" b="1">
            <a:solidFill>
              <a:schemeClr val="bg1"/>
            </a:solidFill>
          </a:endParaRPr>
        </a:p>
      </xdr:txBody>
    </xdr:sp>
    <xdr:clientData/>
  </xdr:twoCellAnchor>
  <xdr:twoCellAnchor>
    <xdr:from>
      <xdr:col>5</xdr:col>
      <xdr:colOff>809626</xdr:colOff>
      <xdr:row>0</xdr:row>
      <xdr:rowOff>866776</xdr:rowOff>
    </xdr:from>
    <xdr:to>
      <xdr:col>9</xdr:col>
      <xdr:colOff>809626</xdr:colOff>
      <xdr:row>0</xdr:row>
      <xdr:rowOff>2628900</xdr:rowOff>
    </xdr:to>
    <xdr:graphicFrame macro="">
      <xdr:nvGraphicFramePr>
        <xdr:cNvPr id="30" name="Chart 4">
          <a:extLst>
            <a:ext uri="{FF2B5EF4-FFF2-40B4-BE49-F238E27FC236}">
              <a16:creationId xmlns:a16="http://schemas.microsoft.com/office/drawing/2014/main" id="{908A25D7-B23D-124A-E7B6-A390D69A22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1314451</xdr:colOff>
      <xdr:row>0</xdr:row>
      <xdr:rowOff>923925</xdr:rowOff>
    </xdr:from>
    <xdr:to>
      <xdr:col>5</xdr:col>
      <xdr:colOff>809626</xdr:colOff>
      <xdr:row>0</xdr:row>
      <xdr:rowOff>2600325</xdr:rowOff>
    </xdr:to>
    <xdr:graphicFrame macro="">
      <xdr:nvGraphicFramePr>
        <xdr:cNvPr id="31" name="Chart 5">
          <a:extLst>
            <a:ext uri="{FF2B5EF4-FFF2-40B4-BE49-F238E27FC236}">
              <a16:creationId xmlns:a16="http://schemas.microsoft.com/office/drawing/2014/main" id="{4B604142-3EC4-4D1D-B4C8-DF10383421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1666875</xdr:colOff>
      <xdr:row>0</xdr:row>
      <xdr:rowOff>895351</xdr:rowOff>
    </xdr:from>
    <xdr:to>
      <xdr:col>13</xdr:col>
      <xdr:colOff>19050</xdr:colOff>
      <xdr:row>1</xdr:row>
      <xdr:rowOff>38101</xdr:rowOff>
    </xdr:to>
    <xdr:sp macro="" textlink="">
      <xdr:nvSpPr>
        <xdr:cNvPr id="35" name="Rectangle: Rounded Corners 34">
          <a:extLst>
            <a:ext uri="{FF2B5EF4-FFF2-40B4-BE49-F238E27FC236}">
              <a16:creationId xmlns:a16="http://schemas.microsoft.com/office/drawing/2014/main" id="{5EE684A6-1268-4D33-8D89-ADE1CD4FFFD4}"/>
            </a:ext>
          </a:extLst>
        </xdr:cNvPr>
        <xdr:cNvSpPr/>
      </xdr:nvSpPr>
      <xdr:spPr>
        <a:xfrm>
          <a:off x="11182350" y="895351"/>
          <a:ext cx="2952750" cy="182880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1676400</xdr:colOff>
      <xdr:row>0</xdr:row>
      <xdr:rowOff>885826</xdr:rowOff>
    </xdr:from>
    <xdr:to>
      <xdr:col>13</xdr:col>
      <xdr:colOff>47625</xdr:colOff>
      <xdr:row>1</xdr:row>
      <xdr:rowOff>19050</xdr:rowOff>
    </xdr:to>
    <xdr:graphicFrame macro="">
      <xdr:nvGraphicFramePr>
        <xdr:cNvPr id="36" name="Chart 6">
          <a:extLst>
            <a:ext uri="{FF2B5EF4-FFF2-40B4-BE49-F238E27FC236}">
              <a16:creationId xmlns:a16="http://schemas.microsoft.com/office/drawing/2014/main" id="{957D1E78-FA2E-0EB1-7F64-AD6F0B096B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47625</xdr:colOff>
      <xdr:row>0</xdr:row>
      <xdr:rowOff>19051</xdr:rowOff>
    </xdr:from>
    <xdr:to>
      <xdr:col>2</xdr:col>
      <xdr:colOff>1238250</xdr:colOff>
      <xdr:row>0</xdr:row>
      <xdr:rowOff>723901</xdr:rowOff>
    </xdr:to>
    <mc:AlternateContent xmlns:mc="http://schemas.openxmlformats.org/markup-compatibility/2006">
      <mc:Choice xmlns:a14="http://schemas.microsoft.com/office/drawing/2010/main" Requires="a14">
        <xdr:graphicFrame macro="">
          <xdr:nvGraphicFramePr>
            <xdr:cNvPr id="39" name="Task Owner">
              <a:extLst>
                <a:ext uri="{FF2B5EF4-FFF2-40B4-BE49-F238E27FC236}">
                  <a16:creationId xmlns:a16="http://schemas.microsoft.com/office/drawing/2014/main" id="{36C0C30A-B562-0F64-5A0F-97D5C49E51C2}"/>
                </a:ext>
              </a:extLst>
            </xdr:cNvPr>
            <xdr:cNvGraphicFramePr/>
          </xdr:nvGraphicFramePr>
          <xdr:xfrm>
            <a:off x="0" y="0"/>
            <a:ext cx="0" cy="0"/>
          </xdr:xfrm>
          <a:graphic>
            <a:graphicData uri="http://schemas.microsoft.com/office/drawing/2010/slicer">
              <sle:slicer xmlns:sle="http://schemas.microsoft.com/office/drawing/2010/slicer" name="Task Owner"/>
            </a:graphicData>
          </a:graphic>
        </xdr:graphicFrame>
      </mc:Choice>
      <mc:Fallback>
        <xdr:sp macro="" textlink="">
          <xdr:nvSpPr>
            <xdr:cNvPr id="0" name=""/>
            <xdr:cNvSpPr>
              <a:spLocks noTextEdit="1"/>
            </xdr:cNvSpPr>
          </xdr:nvSpPr>
          <xdr:spPr>
            <a:xfrm>
              <a:off x="314325" y="19051"/>
              <a:ext cx="1828800" cy="70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1238250</xdr:colOff>
      <xdr:row>0</xdr:row>
      <xdr:rowOff>9525</xdr:rowOff>
    </xdr:from>
    <xdr:to>
      <xdr:col>4</xdr:col>
      <xdr:colOff>19050</xdr:colOff>
      <xdr:row>0</xdr:row>
      <xdr:rowOff>733425</xdr:rowOff>
    </xdr:to>
    <mc:AlternateContent xmlns:mc="http://schemas.openxmlformats.org/markup-compatibility/2006">
      <mc:Choice xmlns:a14="http://schemas.microsoft.com/office/drawing/2010/main" Requires="a14">
        <xdr:graphicFrame macro="">
          <xdr:nvGraphicFramePr>
            <xdr:cNvPr id="40" name="Team">
              <a:extLst>
                <a:ext uri="{FF2B5EF4-FFF2-40B4-BE49-F238E27FC236}">
                  <a16:creationId xmlns:a16="http://schemas.microsoft.com/office/drawing/2014/main" id="{2C33BF51-E376-4BCA-90C0-9C1ABDEDCD68}"/>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dr:sp macro="" textlink="">
          <xdr:nvSpPr>
            <xdr:cNvPr id="0" name=""/>
            <xdr:cNvSpPr>
              <a:spLocks noTextEdit="1"/>
            </xdr:cNvSpPr>
          </xdr:nvSpPr>
          <xdr:spPr>
            <a:xfrm>
              <a:off x="2143125" y="9525"/>
              <a:ext cx="182880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19050</xdr:colOff>
      <xdr:row>0</xdr:row>
      <xdr:rowOff>19050</xdr:rowOff>
    </xdr:from>
    <xdr:to>
      <xdr:col>5</xdr:col>
      <xdr:colOff>771525</xdr:colOff>
      <xdr:row>0</xdr:row>
      <xdr:rowOff>714375</xdr:rowOff>
    </xdr:to>
    <mc:AlternateContent xmlns:mc="http://schemas.openxmlformats.org/markup-compatibility/2006">
      <mc:Choice xmlns:a14="http://schemas.microsoft.com/office/drawing/2010/main" Requires="a14">
        <xdr:graphicFrame macro="">
          <xdr:nvGraphicFramePr>
            <xdr:cNvPr id="41" name="Status">
              <a:extLst>
                <a:ext uri="{FF2B5EF4-FFF2-40B4-BE49-F238E27FC236}">
                  <a16:creationId xmlns:a16="http://schemas.microsoft.com/office/drawing/2014/main" id="{CC81664F-F494-0188-D115-5683E8F19D8B}"/>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3971925" y="19050"/>
              <a:ext cx="1828800" cy="695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190500</xdr:colOff>
      <xdr:row>9</xdr:row>
      <xdr:rowOff>74544</xdr:rowOff>
    </xdr:from>
    <xdr:to>
      <xdr:col>3</xdr:col>
      <xdr:colOff>33130</xdr:colOff>
      <xdr:row>15</xdr:row>
      <xdr:rowOff>82826</xdr:rowOff>
    </xdr:to>
    <xdr:sp macro="" textlink="">
      <xdr:nvSpPr>
        <xdr:cNvPr id="3" name="Rectangle: Rounded Corners 2">
          <a:extLst>
            <a:ext uri="{FF2B5EF4-FFF2-40B4-BE49-F238E27FC236}">
              <a16:creationId xmlns:a16="http://schemas.microsoft.com/office/drawing/2014/main" id="{157128FC-5B89-9056-BE86-AFE68990235B}"/>
            </a:ext>
          </a:extLst>
        </xdr:cNvPr>
        <xdr:cNvSpPr/>
      </xdr:nvSpPr>
      <xdr:spPr>
        <a:xfrm>
          <a:off x="447261" y="1863587"/>
          <a:ext cx="1151282" cy="1200978"/>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566943</xdr:colOff>
      <xdr:row>15</xdr:row>
      <xdr:rowOff>192985</xdr:rowOff>
    </xdr:from>
    <xdr:to>
      <xdr:col>12</xdr:col>
      <xdr:colOff>227357</xdr:colOff>
      <xdr:row>25</xdr:row>
      <xdr:rowOff>14909</xdr:rowOff>
    </xdr:to>
    <xdr:graphicFrame macro="">
      <xdr:nvGraphicFramePr>
        <xdr:cNvPr id="6" name="Chart 4">
          <a:extLst>
            <a:ext uri="{FF2B5EF4-FFF2-40B4-BE49-F238E27FC236}">
              <a16:creationId xmlns:a16="http://schemas.microsoft.com/office/drawing/2014/main" id="{F4AF92C1-524A-C6A6-3B74-C7D578A9E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182219</xdr:rowOff>
    </xdr:from>
    <xdr:to>
      <xdr:col>6</xdr:col>
      <xdr:colOff>5674</xdr:colOff>
      <xdr:row>24</xdr:row>
      <xdr:rowOff>186359</xdr:rowOff>
    </xdr:to>
    <xdr:graphicFrame macro="">
      <xdr:nvGraphicFramePr>
        <xdr:cNvPr id="7" name="Chart 3">
          <a:extLst>
            <a:ext uri="{FF2B5EF4-FFF2-40B4-BE49-F238E27FC236}">
              <a16:creationId xmlns:a16="http://schemas.microsoft.com/office/drawing/2014/main" id="{46B79457-799B-C89C-4997-FF1FB85247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5.980546643521" backgroundQuery="1" createdVersion="8" refreshedVersion="8" minRefreshableVersion="3" recordCount="0" supportSubquery="1" supportAdvancedDrill="1" xr:uid="{0DCE0EEB-44A7-460D-A58C-BA9ADC0A0C45}">
  <cacheSource type="external" connectionId="2"/>
  <cacheFields count="3">
    <cacheField name="[Range 1].[Status].[Status]" caption="Status" numFmtId="0" level="1">
      <sharedItems count="4">
        <s v="Completed"/>
        <s v="In Progress"/>
        <s v="Not Started"/>
        <s v="Total"/>
      </sharedItems>
    </cacheField>
    <cacheField name="[Measures].[Sum of Count]" caption="Sum of Count" numFmtId="0" hierarchy="15" level="32767"/>
    <cacheField name="[Range 1].[Count].[Count]" caption="Count" numFmtId="0" hierarchy="1" level="1">
      <sharedItems containsSemiMixedTypes="0" containsNonDate="0" containsString="0"/>
    </cacheField>
  </cacheFields>
  <cacheHierarchies count="19">
    <cacheHierarchy uniqueName="[Range 1].[Status]" caption="Status" attribute="1" defaultMemberUniqueName="[Range 1].[Status].[All]" allUniqueName="[Range 1].[Status].[All]" dimensionUniqueName="[Range 1]" displayFolder="" count="2" memberValueDatatype="130" unbalanced="0">
      <fieldsUsage count="2">
        <fieldUsage x="-1"/>
        <fieldUsage x="0"/>
      </fieldsUsage>
    </cacheHierarchy>
    <cacheHierarchy uniqueName="[Range 1].[Count]" caption="Count" attribute="1" defaultMemberUniqueName="[Range 1].[Count].[All]" allUniqueName="[Range 1].[Count].[All]" dimensionUniqueName="[Range 1]" displayFolder="" count="2" memberValueDatatype="20" unbalanced="0">
      <fieldsUsage count="2">
        <fieldUsage x="-1"/>
        <fieldUsage x="2"/>
      </fieldsUsage>
    </cacheHierarchy>
    <cacheHierarchy uniqueName="[Table1].[Task ID]" caption="Task ID" attribute="1" defaultMemberUniqueName="[Table1].[Task ID].[All]" allUniqueName="[Table1].[Task ID].[All]" dimensionUniqueName="[Table1]" displayFolder="" count="0" memberValueDatatype="130" unbalanced="0"/>
    <cacheHierarchy uniqueName="[Table1].[Task Name]" caption="Task Name" attribute="1" defaultMemberUniqueName="[Table1].[Task Name].[All]" allUniqueName="[Table1].[Task Name].[All]" dimensionUniqueName="[Table1]" displayFolder="" count="0" memberValueDatatype="130" unbalanced="0"/>
    <cacheHierarchy uniqueName="[Table1].[Team]" caption="Team" attribute="1" defaultMemberUniqueName="[Table1].[Team].[All]" allUniqueName="[Table1].[Team].[All]" dimensionUniqueName="[Table1]" displayFolder="" count="0" memberValueDatatype="130" unbalanced="0"/>
    <cacheHierarchy uniqueName="[Table1].[Task Owner]" caption="Task Owner" attribute="1" defaultMemberUniqueName="[Table1].[Task Owner].[All]" allUniqueName="[Table1].[Task Owner].[All]" dimensionUniqueName="[Table1]" displayFolder="" count="0" memberValueDatatype="130" unbalanced="0"/>
    <cacheHierarchy uniqueName="[Table1].[Start Date]" caption="Start Date" attribute="1" time="1" defaultMemberUniqueName="[Table1].[Start Date].[All]" allUniqueName="[Table1].[Start Date].[All]" dimensionUniqueName="[Table1]" displayFolder="" count="0" memberValueDatatype="7" unbalanced="0"/>
    <cacheHierarchy uniqueName="[Table1].[Due Date]" caption="Due Date" attribute="1" time="1" defaultMemberUniqueName="[Table1].[Due Date].[All]" allUniqueName="[Table1].[Due Date].[All]" dimensionUniqueName="[Table1]" displayFolder="" count="0" memberValueDatatype="7" unbalanced="0"/>
    <cacheHierarchy uniqueName="[Table1].[Task Duration]" caption="Task Duration" attribute="1" defaultMemberUniqueName="[Table1].[Task Duration].[All]" allUniqueName="[Table1].[Task Duration].[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verdue?]" caption="Overdue?" attribute="1" defaultMemberUniqueName="[Table1].[Overdue?].[All]" allUniqueName="[Table1].[Overdue?].[All]" dimensionUniqueName="[Table1]" displayFolder="" count="0" memberValueDatatype="11" unbalanced="0"/>
    <cacheHierarchy uniqueName="[Table1].[Comments]" caption="Comments" attribute="1" defaultMemberUniqueName="[Table1].[Comments].[All]" allUniqueName="[Table1].[Comments].[All]" dimensionUniqueName="[Table1]" displayFolder="" count="0" memberValueDatatype="130" unbalanced="0"/>
    <cacheHierarchy uniqueName="[Measures].[__XL_Count Range 1]" caption="__XL_Count Range 1" measure="1" displayFolder="" measureGroup="Range 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ount]" caption="Sum of Count" measure="1" displayFolder="" measureGroup="Range 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ount]" caption="Count of Count" measure="1" displayFolder="" measureGroup="Range 1" count="0" hidden="1">
      <extLst>
        <ext xmlns:x15="http://schemas.microsoft.com/office/spreadsheetml/2010/11/main" uri="{B97F6D7D-B522-45F9-BDA1-12C45D357490}">
          <x15:cacheHierarchy aggregatedColumn="1"/>
        </ext>
      </extLst>
    </cacheHierarchy>
    <cacheHierarchy uniqueName="[Measures].[Sum of Task Duration 2]" caption="Sum of Task Duration 2" measure="1" displayFolder="" measureGroup="Table1" count="0" hidden="1">
      <extLst>
        <ext xmlns:x15="http://schemas.microsoft.com/office/spreadsheetml/2010/11/main" uri="{B97F6D7D-B522-45F9-BDA1-12C45D357490}">
          <x15:cacheHierarchy aggregatedColumn="8"/>
        </ext>
      </extLst>
    </cacheHierarchy>
    <cacheHierarchy uniqueName="[Measures].[Count of Task Duration 2]" caption="Count of Task Duration 2" measure="1" displayFolder="" measureGroup="Table1"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1" uniqueName="[Range 1]" caption="Range 1"/>
    <dimension name="Table1" uniqueName="[Table1]" caption="Table1"/>
  </dimensions>
  <measureGroups count="2">
    <measureGroup name="Range 1" caption="Range 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HP" refreshedDate="46135.980566550927" backgroundQuery="1" createdVersion="8" refreshedVersion="8" minRefreshableVersion="3" recordCount="0" supportSubquery="1" supportAdvancedDrill="1" xr:uid="{9D91AFFE-FADB-48D0-9EA3-BE8802377153}">
  <cacheSource type="external" connectionId="2"/>
  <cacheFields count="2">
    <cacheField name="[Table1].[Task Owner].[Task Owner]" caption="Task Owner" numFmtId="0" hierarchy="5" level="1">
      <sharedItems count="5">
        <s v="Alex Chen"/>
        <s v="David Kim"/>
        <s v="Emily Davis"/>
        <s v="James Miller"/>
        <s v="Sarah Johnson"/>
      </sharedItems>
    </cacheField>
    <cacheField name="[Measures].[Count of Task Duration 2]" caption="Count of Task Duration 2" numFmtId="0" hierarchy="18" level="32767"/>
  </cacheFields>
  <cacheHierarchies count="19">
    <cacheHierarchy uniqueName="[Range 1].[Status]" caption="Status" attribute="1" defaultMemberUniqueName="[Range 1].[Status].[All]" allUniqueName="[Range 1].[Status].[All]" dimensionUniqueName="[Range 1]" displayFolder="" count="0" memberValueDatatype="130" unbalanced="0"/>
    <cacheHierarchy uniqueName="[Range 1].[Count]" caption="Count" attribute="1" defaultMemberUniqueName="[Range 1].[Count].[All]" allUniqueName="[Range 1].[Count].[All]" dimensionUniqueName="[Range 1]" displayFolder="" count="0" memberValueDatatype="20" unbalanced="0"/>
    <cacheHierarchy uniqueName="[Table1].[Task ID]" caption="Task ID" attribute="1" defaultMemberUniqueName="[Table1].[Task ID].[All]" allUniqueName="[Table1].[Task ID].[All]" dimensionUniqueName="[Table1]" displayFolder="" count="0" memberValueDatatype="130" unbalanced="0"/>
    <cacheHierarchy uniqueName="[Table1].[Task Name]" caption="Task Name" attribute="1" defaultMemberUniqueName="[Table1].[Task Name].[All]" allUniqueName="[Table1].[Task Name].[All]" dimensionUniqueName="[Table1]" displayFolder="" count="0" memberValueDatatype="130" unbalanced="0"/>
    <cacheHierarchy uniqueName="[Table1].[Team]" caption="Team" attribute="1" defaultMemberUniqueName="[Table1].[Team].[All]" allUniqueName="[Table1].[Team].[All]" dimensionUniqueName="[Table1]" displayFolder="" count="0" memberValueDatatype="130" unbalanced="0"/>
    <cacheHierarchy uniqueName="[Table1].[Task Owner]" caption="Task Owner" attribute="1" defaultMemberUniqueName="[Table1].[Task Owner].[All]" allUniqueName="[Table1].[Task Owner].[All]" dimensionUniqueName="[Table1]" displayFolder="" count="2" memberValueDatatype="130" unbalanced="0">
      <fieldsUsage count="2">
        <fieldUsage x="-1"/>
        <fieldUsage x="0"/>
      </fieldsUsage>
    </cacheHierarchy>
    <cacheHierarchy uniqueName="[Table1].[Start Date]" caption="Start Date" attribute="1" time="1" defaultMemberUniqueName="[Table1].[Start Date].[All]" allUniqueName="[Table1].[Start Date].[All]" dimensionUniqueName="[Table1]" displayFolder="" count="0" memberValueDatatype="7" unbalanced="0"/>
    <cacheHierarchy uniqueName="[Table1].[Due Date]" caption="Due Date" attribute="1" time="1" defaultMemberUniqueName="[Table1].[Due Date].[All]" allUniqueName="[Table1].[Due Date].[All]" dimensionUniqueName="[Table1]" displayFolder="" count="0" memberValueDatatype="7" unbalanced="0"/>
    <cacheHierarchy uniqueName="[Table1].[Task Duration]" caption="Task Duration" attribute="1" defaultMemberUniqueName="[Table1].[Task Duration].[All]" allUniqueName="[Table1].[Task Duration].[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verdue?]" caption="Overdue?" attribute="1" defaultMemberUniqueName="[Table1].[Overdue?].[All]" allUniqueName="[Table1].[Overdue?].[All]" dimensionUniqueName="[Table1]" displayFolder="" count="0" memberValueDatatype="11" unbalanced="0"/>
    <cacheHierarchy uniqueName="[Table1].[Comments]" caption="Comments" attribute="1" defaultMemberUniqueName="[Table1].[Comments].[All]" allUniqueName="[Table1].[Comments].[All]" dimensionUniqueName="[Table1]" displayFolder="" count="0" memberValueDatatype="130" unbalanced="0"/>
    <cacheHierarchy uniqueName="[Measures].[__XL_Count Range 1]" caption="__XL_Count Range 1" measure="1" displayFolder="" measureGroup="Range 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ount]" caption="Sum of Count" measure="1" displayFolder="" measureGroup="Range 1" count="0" hidden="1">
      <extLst>
        <ext xmlns:x15="http://schemas.microsoft.com/office/spreadsheetml/2010/11/main" uri="{B97F6D7D-B522-45F9-BDA1-12C45D357490}">
          <x15:cacheHierarchy aggregatedColumn="1"/>
        </ext>
      </extLst>
    </cacheHierarchy>
    <cacheHierarchy uniqueName="[Measures].[Count of Count]" caption="Count of Count" measure="1" displayFolder="" measureGroup="Range 1" count="0" hidden="1">
      <extLst>
        <ext xmlns:x15="http://schemas.microsoft.com/office/spreadsheetml/2010/11/main" uri="{B97F6D7D-B522-45F9-BDA1-12C45D357490}">
          <x15:cacheHierarchy aggregatedColumn="1"/>
        </ext>
      </extLst>
    </cacheHierarchy>
    <cacheHierarchy uniqueName="[Measures].[Sum of Task Duration 2]" caption="Sum of Task Duration 2" measure="1" displayFolder="" measureGroup="Table1" count="0" hidden="1">
      <extLst>
        <ext xmlns:x15="http://schemas.microsoft.com/office/spreadsheetml/2010/11/main" uri="{B97F6D7D-B522-45F9-BDA1-12C45D357490}">
          <x15:cacheHierarchy aggregatedColumn="8"/>
        </ext>
      </extLst>
    </cacheHierarchy>
    <cacheHierarchy uniqueName="[Measures].[Count of Task Duration 2]" caption="Count of Task Duration 2"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1" uniqueName="[Range 1]" caption="Range 1"/>
    <dimension name="Table1" uniqueName="[Table1]" caption="Table1"/>
  </dimensions>
  <measureGroups count="2">
    <measureGroup name="Range 1" caption="Range 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5.980571990738" backgroundQuery="1" createdVersion="8" refreshedVersion="8" minRefreshableVersion="3" recordCount="0" supportSubquery="1" supportAdvancedDrill="1" xr:uid="{FA671656-E824-4FB0-B488-83EA8AD58BD6}">
  <cacheSource type="external" connectionId="2"/>
  <cacheFields count="2">
    <cacheField name="[Table1].[Team].[Team]" caption="Team" numFmtId="0" hierarchy="4" level="1">
      <sharedItems count="4">
        <s v="Finance"/>
        <s v="HR"/>
        <s v="Marketing"/>
        <s v="Strategy"/>
      </sharedItems>
    </cacheField>
    <cacheField name="[Measures].[Count of Task Duration 2]" caption="Count of Task Duration 2" numFmtId="0" hierarchy="18" level="32767"/>
  </cacheFields>
  <cacheHierarchies count="19">
    <cacheHierarchy uniqueName="[Range 1].[Status]" caption="Status" attribute="1" defaultMemberUniqueName="[Range 1].[Status].[All]" allUniqueName="[Range 1].[Status].[All]" dimensionUniqueName="[Range 1]" displayFolder="" count="0" memberValueDatatype="130" unbalanced="0"/>
    <cacheHierarchy uniqueName="[Range 1].[Count]" caption="Count" attribute="1" defaultMemberUniqueName="[Range 1].[Count].[All]" allUniqueName="[Range 1].[Count].[All]" dimensionUniqueName="[Range 1]" displayFolder="" count="0" memberValueDatatype="20" unbalanced="0"/>
    <cacheHierarchy uniqueName="[Table1].[Task ID]" caption="Task ID" attribute="1" defaultMemberUniqueName="[Table1].[Task ID].[All]" allUniqueName="[Table1].[Task ID].[All]" dimensionUniqueName="[Table1]" displayFolder="" count="0" memberValueDatatype="130" unbalanced="0"/>
    <cacheHierarchy uniqueName="[Table1].[Task Name]" caption="Task Name" attribute="1" defaultMemberUniqueName="[Table1].[Task Name].[All]" allUniqueName="[Table1].[Task Name].[All]" dimensionUniqueName="[Table1]" displayFolder="" count="0" memberValueDatatype="130" unbalanced="0"/>
    <cacheHierarchy uniqueName="[Table1].[Team]" caption="Team" attribute="1" defaultMemberUniqueName="[Table1].[Team].[All]" allUniqueName="[Table1].[Team].[All]" dimensionUniqueName="[Table1]" displayFolder="" count="2" memberValueDatatype="130" unbalanced="0">
      <fieldsUsage count="2">
        <fieldUsage x="-1"/>
        <fieldUsage x="0"/>
      </fieldsUsage>
    </cacheHierarchy>
    <cacheHierarchy uniqueName="[Table1].[Task Owner]" caption="Task Owner" attribute="1" defaultMemberUniqueName="[Table1].[Task Owner].[All]" allUniqueName="[Table1].[Task Owner].[All]" dimensionUniqueName="[Table1]" displayFolder="" count="0" memberValueDatatype="130" unbalanced="0"/>
    <cacheHierarchy uniqueName="[Table1].[Start Date]" caption="Start Date" attribute="1" time="1" defaultMemberUniqueName="[Table1].[Start Date].[All]" allUniqueName="[Table1].[Start Date].[All]" dimensionUniqueName="[Table1]" displayFolder="" count="0" memberValueDatatype="7" unbalanced="0"/>
    <cacheHierarchy uniqueName="[Table1].[Due Date]" caption="Due Date" attribute="1" time="1" defaultMemberUniqueName="[Table1].[Due Date].[All]" allUniqueName="[Table1].[Due Date].[All]" dimensionUniqueName="[Table1]" displayFolder="" count="0" memberValueDatatype="7" unbalanced="0"/>
    <cacheHierarchy uniqueName="[Table1].[Task Duration]" caption="Task Duration" attribute="1" defaultMemberUniqueName="[Table1].[Task Duration].[All]" allUniqueName="[Table1].[Task Duration].[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verdue?]" caption="Overdue?" attribute="1" defaultMemberUniqueName="[Table1].[Overdue?].[All]" allUniqueName="[Table1].[Overdue?].[All]" dimensionUniqueName="[Table1]" displayFolder="" count="0" memberValueDatatype="11" unbalanced="0"/>
    <cacheHierarchy uniqueName="[Table1].[Comments]" caption="Comments" attribute="1" defaultMemberUniqueName="[Table1].[Comments].[All]" allUniqueName="[Table1].[Comments].[All]" dimensionUniqueName="[Table1]" displayFolder="" count="0" memberValueDatatype="130" unbalanced="0"/>
    <cacheHierarchy uniqueName="[Measures].[__XL_Count Range 1]" caption="__XL_Count Range 1" measure="1" displayFolder="" measureGroup="Range 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ount]" caption="Sum of Count" measure="1" displayFolder="" measureGroup="Range 1" count="0" hidden="1">
      <extLst>
        <ext xmlns:x15="http://schemas.microsoft.com/office/spreadsheetml/2010/11/main" uri="{B97F6D7D-B522-45F9-BDA1-12C45D357490}">
          <x15:cacheHierarchy aggregatedColumn="1"/>
        </ext>
      </extLst>
    </cacheHierarchy>
    <cacheHierarchy uniqueName="[Measures].[Count of Count]" caption="Count of Count" measure="1" displayFolder="" measureGroup="Range 1" count="0" hidden="1">
      <extLst>
        <ext xmlns:x15="http://schemas.microsoft.com/office/spreadsheetml/2010/11/main" uri="{B97F6D7D-B522-45F9-BDA1-12C45D357490}">
          <x15:cacheHierarchy aggregatedColumn="1"/>
        </ext>
      </extLst>
    </cacheHierarchy>
    <cacheHierarchy uniqueName="[Measures].[Sum of Task Duration 2]" caption="Sum of Task Duration 2" measure="1" displayFolder="" measureGroup="Table1" count="0" hidden="1">
      <extLst>
        <ext xmlns:x15="http://schemas.microsoft.com/office/spreadsheetml/2010/11/main" uri="{B97F6D7D-B522-45F9-BDA1-12C45D357490}">
          <x15:cacheHierarchy aggregatedColumn="8"/>
        </ext>
      </extLst>
    </cacheHierarchy>
    <cacheHierarchy uniqueName="[Measures].[Count of Task Duration 2]" caption="Count of Task Duration 2"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1" uniqueName="[Range 1]" caption="Range 1"/>
    <dimension name="Table1" uniqueName="[Table1]" caption="Table1"/>
  </dimensions>
  <measureGroups count="2">
    <measureGroup name="Range 1" caption="Range 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5.980575462963" createdVersion="8" refreshedVersion="8" minRefreshableVersion="3" recordCount="19" xr:uid="{72F1BD64-AF31-4A76-8AA4-26AFA1320DC7}">
  <cacheSource type="worksheet">
    <worksheetSource name="Table1"/>
  </cacheSource>
  <cacheFields count="10">
    <cacheField name="Task ID" numFmtId="0">
      <sharedItems/>
    </cacheField>
    <cacheField name="Task Name" numFmtId="0">
      <sharedItems/>
    </cacheField>
    <cacheField name="Team" numFmtId="0">
      <sharedItems/>
    </cacheField>
    <cacheField name="Task Owner" numFmtId="0">
      <sharedItems count="5">
        <s v="Sarah Johnson"/>
        <s v="David Kim"/>
        <s v="James Miller"/>
        <s v="Alex Chen"/>
        <s v="Emily Davis"/>
      </sharedItems>
    </cacheField>
    <cacheField name="Start Date" numFmtId="14">
      <sharedItems containsSemiMixedTypes="0" containsNonDate="0" containsDate="1" containsString="0" minDate="2025-07-10T00:00:00" maxDate="2025-12-18T00:00:00"/>
    </cacheField>
    <cacheField name="Due Date" numFmtId="14">
      <sharedItems containsSemiMixedTypes="0" containsNonDate="0" containsDate="1" containsString="0" minDate="2025-08-05T00:00:00" maxDate="2025-12-31T00:00:00"/>
    </cacheField>
    <cacheField name="Task Duration" numFmtId="165">
      <sharedItems containsSemiMixedTypes="0" containsString="0" containsNumber="1" containsInteger="1" minValue="5" maxValue="34"/>
    </cacheField>
    <cacheField name="Status" numFmtId="0">
      <sharedItems/>
    </cacheField>
    <cacheField name="Overdue?" numFmtId="0">
      <sharedItems/>
    </cacheField>
    <cacheField name="Comments"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5.980544560189" backgroundQuery="1" createdVersion="3" refreshedVersion="8" minRefreshableVersion="3" recordCount="0" supportSubquery="1" supportAdvancedDrill="1" xr:uid="{CC105AA2-5E13-475A-BD1B-B5314187F262}">
  <cacheSource type="external" connectionId="2">
    <extLst>
      <ext xmlns:x14="http://schemas.microsoft.com/office/spreadsheetml/2009/9/main" uri="{F057638F-6D5F-4e77-A914-E7F072B9BCA8}">
        <x14:sourceConnection name="ThisWorkbookDataModel"/>
      </ext>
    </extLst>
  </cacheSource>
  <cacheFields count="0"/>
  <cacheHierarchies count="19">
    <cacheHierarchy uniqueName="[Range 1].[Status]" caption="Status" attribute="1" defaultMemberUniqueName="[Range 1].[Status].[All]" allUniqueName="[Range 1].[Status].[All]" dimensionUniqueName="[Range 1]" displayFolder="" count="2" memberValueDatatype="130" unbalanced="0"/>
    <cacheHierarchy uniqueName="[Range 1].[Count]" caption="Count" attribute="1" defaultMemberUniqueName="[Range 1].[Count].[All]" allUniqueName="[Range 1].[Count].[All]" dimensionUniqueName="[Range 1]" displayFolder="" count="0" memberValueDatatype="20" unbalanced="0"/>
    <cacheHierarchy uniqueName="[Table1].[Task ID]" caption="Task ID" attribute="1" defaultMemberUniqueName="[Table1].[Task ID].[All]" allUniqueName="[Table1].[Task ID].[All]" dimensionUniqueName="[Table1]" displayFolder="" count="0" memberValueDatatype="130" unbalanced="0"/>
    <cacheHierarchy uniqueName="[Table1].[Task Name]" caption="Task Name" attribute="1" defaultMemberUniqueName="[Table1].[Task Name].[All]" allUniqueName="[Table1].[Task Name].[All]" dimensionUniqueName="[Table1]" displayFolder="" count="0" memberValueDatatype="130" unbalanced="0"/>
    <cacheHierarchy uniqueName="[Table1].[Team]" caption="Team" attribute="1" defaultMemberUniqueName="[Table1].[Team].[All]" allUniqueName="[Table1].[Team].[All]" dimensionUniqueName="[Table1]" displayFolder="" count="0" memberValueDatatype="130" unbalanced="0"/>
    <cacheHierarchy uniqueName="[Table1].[Task Owner]" caption="Task Owner" attribute="1" defaultMemberUniqueName="[Table1].[Task Owner].[All]" allUniqueName="[Table1].[Task Owner].[All]" dimensionUniqueName="[Table1]" displayFolder="" count="0" memberValueDatatype="130" unbalanced="0"/>
    <cacheHierarchy uniqueName="[Table1].[Start Date]" caption="Start Date" attribute="1" time="1" defaultMemberUniqueName="[Table1].[Start Date].[All]" allUniqueName="[Table1].[Start Date].[All]" dimensionUniqueName="[Table1]" displayFolder="" count="0" memberValueDatatype="7" unbalanced="0"/>
    <cacheHierarchy uniqueName="[Table1].[Due Date]" caption="Due Date" attribute="1" time="1" defaultMemberUniqueName="[Table1].[Due Date].[All]" allUniqueName="[Table1].[Due Date].[All]" dimensionUniqueName="[Table1]" displayFolder="" count="0" memberValueDatatype="7" unbalanced="0"/>
    <cacheHierarchy uniqueName="[Table1].[Task Duration]" caption="Task Duration" attribute="1" defaultMemberUniqueName="[Table1].[Task Duration].[All]" allUniqueName="[Table1].[Task Duration].[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verdue?]" caption="Overdue?" attribute="1" defaultMemberUniqueName="[Table1].[Overdue?].[All]" allUniqueName="[Table1].[Overdue?].[All]" dimensionUniqueName="[Table1]" displayFolder="" count="0" memberValueDatatype="11" unbalanced="0"/>
    <cacheHierarchy uniqueName="[Table1].[Comments]" caption="Comments" attribute="1" defaultMemberUniqueName="[Table1].[Comments].[All]" allUniqueName="[Table1].[Comments].[All]" dimensionUniqueName="[Table1]" displayFolder="" count="0" memberValueDatatype="130" unbalanced="0"/>
    <cacheHierarchy uniqueName="[Measures].[__XL_Count Range 1]" caption="__XL_Count Range 1" measure="1" displayFolder="" measureGroup="Range 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ount]" caption="Sum of Count" measure="1" displayFolder="" measureGroup="Range 1" count="0" hidden="1">
      <extLst>
        <ext xmlns:x15="http://schemas.microsoft.com/office/spreadsheetml/2010/11/main" uri="{B97F6D7D-B522-45F9-BDA1-12C45D357490}">
          <x15:cacheHierarchy aggregatedColumn="1"/>
        </ext>
      </extLst>
    </cacheHierarchy>
    <cacheHierarchy uniqueName="[Measures].[Count of Count]" caption="Count of Count" measure="1" displayFolder="" measureGroup="Range 1" count="0" hidden="1">
      <extLst>
        <ext xmlns:x15="http://schemas.microsoft.com/office/spreadsheetml/2010/11/main" uri="{B97F6D7D-B522-45F9-BDA1-12C45D357490}">
          <x15:cacheHierarchy aggregatedColumn="1"/>
        </ext>
      </extLst>
    </cacheHierarchy>
    <cacheHierarchy uniqueName="[Measures].[Sum of Task Duration 2]" caption="Sum of Task Duration 2" measure="1" displayFolder="" measureGroup="Table1" count="0" hidden="1">
      <extLst>
        <ext xmlns:x15="http://schemas.microsoft.com/office/spreadsheetml/2010/11/main" uri="{B97F6D7D-B522-45F9-BDA1-12C45D357490}">
          <x15:cacheHierarchy aggregatedColumn="8"/>
        </ext>
      </extLst>
    </cacheHierarchy>
    <cacheHierarchy uniqueName="[Measures].[Count of Task Duration 2]" caption="Count of Task Duration 2" measure="1" displayFolder="" measureGroup="Table1"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716245557"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5.980564467594" backgroundQuery="1" createdVersion="3" refreshedVersion="8" minRefreshableVersion="3" recordCount="0" supportSubquery="1" supportAdvancedDrill="1" xr:uid="{18816D6F-1F39-4FA5-B78C-C57BAFD68CE1}">
  <cacheSource type="external" connectionId="2">
    <extLst>
      <ext xmlns:x14="http://schemas.microsoft.com/office/spreadsheetml/2009/9/main" uri="{F057638F-6D5F-4e77-A914-E7F072B9BCA8}">
        <x14:sourceConnection name="ThisWorkbookDataModel"/>
      </ext>
    </extLst>
  </cacheSource>
  <cacheFields count="0"/>
  <cacheHierarchies count="19">
    <cacheHierarchy uniqueName="[Range 1].[Status]" caption="Status" attribute="1" defaultMemberUniqueName="[Range 1].[Status].[All]" allUniqueName="[Range 1].[Status].[All]" dimensionUniqueName="[Range 1]" displayFolder="" count="0" memberValueDatatype="130" unbalanced="0"/>
    <cacheHierarchy uniqueName="[Range 1].[Count]" caption="Count" attribute="1" defaultMemberUniqueName="[Range 1].[Count].[All]" allUniqueName="[Range 1].[Count].[All]" dimensionUniqueName="[Range 1]" displayFolder="" count="0" memberValueDatatype="20" unbalanced="0"/>
    <cacheHierarchy uniqueName="[Table1].[Task ID]" caption="Task ID" attribute="1" defaultMemberUniqueName="[Table1].[Task ID].[All]" allUniqueName="[Table1].[Task ID].[All]" dimensionUniqueName="[Table1]" displayFolder="" count="0" memberValueDatatype="130" unbalanced="0"/>
    <cacheHierarchy uniqueName="[Table1].[Task Name]" caption="Task Name" attribute="1" defaultMemberUniqueName="[Table1].[Task Name].[All]" allUniqueName="[Table1].[Task Name].[All]" dimensionUniqueName="[Table1]" displayFolder="" count="0" memberValueDatatype="130" unbalanced="0"/>
    <cacheHierarchy uniqueName="[Table1].[Team]" caption="Team" attribute="1" defaultMemberUniqueName="[Table1].[Team].[All]" allUniqueName="[Table1].[Team].[All]" dimensionUniqueName="[Table1]" displayFolder="" count="0" memberValueDatatype="130" unbalanced="0"/>
    <cacheHierarchy uniqueName="[Table1].[Task Owner]" caption="Task Owner" attribute="1" defaultMemberUniqueName="[Table1].[Task Owner].[All]" allUniqueName="[Table1].[Task Owner].[All]" dimensionUniqueName="[Table1]" displayFolder="" count="2" memberValueDatatype="130" unbalanced="0"/>
    <cacheHierarchy uniqueName="[Table1].[Start Date]" caption="Start Date" attribute="1" time="1" defaultMemberUniqueName="[Table1].[Start Date].[All]" allUniqueName="[Table1].[Start Date].[All]" dimensionUniqueName="[Table1]" displayFolder="" count="0" memberValueDatatype="7" unbalanced="0"/>
    <cacheHierarchy uniqueName="[Table1].[Due Date]" caption="Due Date" attribute="1" time="1" defaultMemberUniqueName="[Table1].[Due Date].[All]" allUniqueName="[Table1].[Due Date].[All]" dimensionUniqueName="[Table1]" displayFolder="" count="0" memberValueDatatype="7" unbalanced="0"/>
    <cacheHierarchy uniqueName="[Table1].[Task Duration]" caption="Task Duration" attribute="1" defaultMemberUniqueName="[Table1].[Task Duration].[All]" allUniqueName="[Table1].[Task Duration].[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verdue?]" caption="Overdue?" attribute="1" defaultMemberUniqueName="[Table1].[Overdue?].[All]" allUniqueName="[Table1].[Overdue?].[All]" dimensionUniqueName="[Table1]" displayFolder="" count="0" memberValueDatatype="11" unbalanced="0"/>
    <cacheHierarchy uniqueName="[Table1].[Comments]" caption="Comments" attribute="1" defaultMemberUniqueName="[Table1].[Comments].[All]" allUniqueName="[Table1].[Comments].[All]" dimensionUniqueName="[Table1]" displayFolder="" count="0" memberValueDatatype="130" unbalanced="0"/>
    <cacheHierarchy uniqueName="[Measures].[__XL_Count Range 1]" caption="__XL_Count Range 1" measure="1" displayFolder="" measureGroup="Range 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ount]" caption="Sum of Count" measure="1" displayFolder="" measureGroup="Range 1" count="0" hidden="1">
      <extLst>
        <ext xmlns:x15="http://schemas.microsoft.com/office/spreadsheetml/2010/11/main" uri="{B97F6D7D-B522-45F9-BDA1-12C45D357490}">
          <x15:cacheHierarchy aggregatedColumn="1"/>
        </ext>
      </extLst>
    </cacheHierarchy>
    <cacheHierarchy uniqueName="[Measures].[Count of Count]" caption="Count of Count" measure="1" displayFolder="" measureGroup="Range 1" count="0" hidden="1">
      <extLst>
        <ext xmlns:x15="http://schemas.microsoft.com/office/spreadsheetml/2010/11/main" uri="{B97F6D7D-B522-45F9-BDA1-12C45D357490}">
          <x15:cacheHierarchy aggregatedColumn="1"/>
        </ext>
      </extLst>
    </cacheHierarchy>
    <cacheHierarchy uniqueName="[Measures].[Sum of Task Duration 2]" caption="Sum of Task Duration 2" measure="1" displayFolder="" measureGroup="Table1" count="0" hidden="1">
      <extLst>
        <ext xmlns:x15="http://schemas.microsoft.com/office/spreadsheetml/2010/11/main" uri="{B97F6D7D-B522-45F9-BDA1-12C45D357490}">
          <x15:cacheHierarchy aggregatedColumn="8"/>
        </ext>
      </extLst>
    </cacheHierarchy>
    <cacheHierarchy uniqueName="[Measures].[Count of Task Duration 2]" caption="Count of Task Duration 2" measure="1" displayFolder="" measureGroup="Table1"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774480143"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5.980569444444" backgroundQuery="1" createdVersion="3" refreshedVersion="8" minRefreshableVersion="3" recordCount="0" supportSubquery="1" supportAdvancedDrill="1" xr:uid="{4DD96220-D9FA-4DEA-8E79-837366B04801}">
  <cacheSource type="external" connectionId="2">
    <extLst>
      <ext xmlns:x14="http://schemas.microsoft.com/office/spreadsheetml/2009/9/main" uri="{F057638F-6D5F-4e77-A914-E7F072B9BCA8}">
        <x14:sourceConnection name="ThisWorkbookDataModel"/>
      </ext>
    </extLst>
  </cacheSource>
  <cacheFields count="0"/>
  <cacheHierarchies count="19">
    <cacheHierarchy uniqueName="[Range 1].[Status]" caption="Status" attribute="1" defaultMemberUniqueName="[Range 1].[Status].[All]" allUniqueName="[Range 1].[Status].[All]" dimensionUniqueName="[Range 1]" displayFolder="" count="0" memberValueDatatype="130" unbalanced="0"/>
    <cacheHierarchy uniqueName="[Range 1].[Count]" caption="Count" attribute="1" defaultMemberUniqueName="[Range 1].[Count].[All]" allUniqueName="[Range 1].[Count].[All]" dimensionUniqueName="[Range 1]" displayFolder="" count="0" memberValueDatatype="20" unbalanced="0"/>
    <cacheHierarchy uniqueName="[Table1].[Task ID]" caption="Task ID" attribute="1" defaultMemberUniqueName="[Table1].[Task ID].[All]" allUniqueName="[Table1].[Task ID].[All]" dimensionUniqueName="[Table1]" displayFolder="" count="0" memberValueDatatype="130" unbalanced="0"/>
    <cacheHierarchy uniqueName="[Table1].[Task Name]" caption="Task Name" attribute="1" defaultMemberUniqueName="[Table1].[Task Name].[All]" allUniqueName="[Table1].[Task Name].[All]" dimensionUniqueName="[Table1]" displayFolder="" count="0" memberValueDatatype="130" unbalanced="0"/>
    <cacheHierarchy uniqueName="[Table1].[Team]" caption="Team" attribute="1" defaultMemberUniqueName="[Table1].[Team].[All]" allUniqueName="[Table1].[Team].[All]" dimensionUniqueName="[Table1]" displayFolder="" count="2" memberValueDatatype="130" unbalanced="0"/>
    <cacheHierarchy uniqueName="[Table1].[Task Owner]" caption="Task Owner" attribute="1" defaultMemberUniqueName="[Table1].[Task Owner].[All]" allUniqueName="[Table1].[Task Owner].[All]" dimensionUniqueName="[Table1]" displayFolder="" count="0" memberValueDatatype="130" unbalanced="0"/>
    <cacheHierarchy uniqueName="[Table1].[Start Date]" caption="Start Date" attribute="1" time="1" defaultMemberUniqueName="[Table1].[Start Date].[All]" allUniqueName="[Table1].[Start Date].[All]" dimensionUniqueName="[Table1]" displayFolder="" count="0" memberValueDatatype="7" unbalanced="0"/>
    <cacheHierarchy uniqueName="[Table1].[Due Date]" caption="Due Date" attribute="1" time="1" defaultMemberUniqueName="[Table1].[Due Date].[All]" allUniqueName="[Table1].[Due Date].[All]" dimensionUniqueName="[Table1]" displayFolder="" count="0" memberValueDatatype="7" unbalanced="0"/>
    <cacheHierarchy uniqueName="[Table1].[Task Duration]" caption="Task Duration" attribute="1" defaultMemberUniqueName="[Table1].[Task Duration].[All]" allUniqueName="[Table1].[Task Duration].[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verdue?]" caption="Overdue?" attribute="1" defaultMemberUniqueName="[Table1].[Overdue?].[All]" allUniqueName="[Table1].[Overdue?].[All]" dimensionUniqueName="[Table1]" displayFolder="" count="0" memberValueDatatype="11" unbalanced="0"/>
    <cacheHierarchy uniqueName="[Table1].[Comments]" caption="Comments" attribute="1" defaultMemberUniqueName="[Table1].[Comments].[All]" allUniqueName="[Table1].[Comments].[All]" dimensionUniqueName="[Table1]" displayFolder="" count="0" memberValueDatatype="130" unbalanced="0"/>
    <cacheHierarchy uniqueName="[Measures].[__XL_Count Range 1]" caption="__XL_Count Range 1" measure="1" displayFolder="" measureGroup="Range 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ount]" caption="Sum of Count" measure="1" displayFolder="" measureGroup="Range 1" count="0" hidden="1">
      <extLst>
        <ext xmlns:x15="http://schemas.microsoft.com/office/spreadsheetml/2010/11/main" uri="{B97F6D7D-B522-45F9-BDA1-12C45D357490}">
          <x15:cacheHierarchy aggregatedColumn="1"/>
        </ext>
      </extLst>
    </cacheHierarchy>
    <cacheHierarchy uniqueName="[Measures].[Count of Count]" caption="Count of Count" measure="1" displayFolder="" measureGroup="Range 1" count="0" hidden="1">
      <extLst>
        <ext xmlns:x15="http://schemas.microsoft.com/office/spreadsheetml/2010/11/main" uri="{B97F6D7D-B522-45F9-BDA1-12C45D357490}">
          <x15:cacheHierarchy aggregatedColumn="1"/>
        </ext>
      </extLst>
    </cacheHierarchy>
    <cacheHierarchy uniqueName="[Measures].[Sum of Task Duration 2]" caption="Sum of Task Duration 2" measure="1" displayFolder="" measureGroup="Table1" count="0" hidden="1">
      <extLst>
        <ext xmlns:x15="http://schemas.microsoft.com/office/spreadsheetml/2010/11/main" uri="{B97F6D7D-B522-45F9-BDA1-12C45D357490}">
          <x15:cacheHierarchy aggregatedColumn="8"/>
        </ext>
      </extLst>
    </cacheHierarchy>
    <cacheHierarchy uniqueName="[Measures].[Count of Task Duration 2]" caption="Count of Task Duration 2" measure="1" displayFolder="" measureGroup="Table1"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02523505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s v="T001"/>
    <s v="Prepare Q4 Financial Report"/>
    <s v="Finance"/>
    <x v="0"/>
    <d v="2025-09-02T00:00:00"/>
    <d v="2025-09-20T00:00:00"/>
    <n v="18"/>
    <s v="Completed"/>
    <b v="0"/>
    <s v="Submitted to CFO for review."/>
  </r>
  <r>
    <s v="T002"/>
    <s v="Conduct Market Research"/>
    <s v="Strategy"/>
    <x v="0"/>
    <d v="2025-09-05T00:00:00"/>
    <d v="2025-09-25T00:00:00"/>
    <n v="20"/>
    <s v="Completed"/>
    <b v="0"/>
    <s v="Draft findings ready; awaiting survey data."/>
  </r>
  <r>
    <s v="T003"/>
    <s v="Redesign Website Homepage"/>
    <s v="Strategy"/>
    <x v="1"/>
    <d v="2025-07-10T00:00:00"/>
    <d v="2025-08-05T00:00:00"/>
    <n v="26"/>
    <s v="Completed"/>
    <b v="0"/>
    <s v="Wireframes approved; development in progress."/>
  </r>
  <r>
    <s v="T004"/>
    <s v="Update Sales Forecast for FY2026"/>
    <s v="Finance"/>
    <x v="0"/>
    <d v="2025-09-12T00:00:00"/>
    <d v="2025-09-30T00:00:00"/>
    <n v="18"/>
    <s v="Not Started"/>
    <b v="1"/>
    <s v="Final version shared with Sales Director."/>
  </r>
  <r>
    <s v="T005"/>
    <s v="Implement CRM Upgrade"/>
    <s v="Strategy"/>
    <x v="2"/>
    <d v="2025-09-15T00:00:00"/>
    <d v="2025-10-10T00:00:00"/>
    <n v="25"/>
    <s v="Completed"/>
    <b v="0"/>
    <s v="Vendor confirmed delivery timeline."/>
  </r>
  <r>
    <s v="T006"/>
    <s v="Plan Annual Company Retreat"/>
    <s v="HR"/>
    <x v="1"/>
    <d v="2025-09-18T00:00:00"/>
    <d v="2025-10-15T00:00:00"/>
    <n v="27"/>
    <s v="In Progress"/>
    <b v="1"/>
    <s v="Venue options being shortlisted."/>
  </r>
  <r>
    <s v="T007"/>
    <s v="Review Legal for Contracts"/>
    <s v="HR"/>
    <x v="3"/>
    <d v="2025-08-20T00:00:00"/>
    <d v="2025-08-27T00:00:00"/>
    <n v="7"/>
    <s v="Completed"/>
    <b v="0"/>
    <s v="Updated contracts aligned with new regulation."/>
  </r>
  <r>
    <s v="T008"/>
    <s v="Launch Social Media Campaign"/>
    <s v="Marketing"/>
    <x v="3"/>
    <d v="2025-09-22T00:00:00"/>
    <d v="2025-10-12T00:00:00"/>
    <n v="20"/>
    <s v="In Progress"/>
    <b v="1"/>
    <s v="Initial creatives approved, campaign scheduled."/>
  </r>
  <r>
    <s v="T009"/>
    <s v="Recruit New Data Analyst"/>
    <s v="HR"/>
    <x v="0"/>
    <d v="2025-09-23T00:00:00"/>
    <d v="2025-10-20T00:00:00"/>
    <n v="27"/>
    <s v="Completed"/>
    <b v="0"/>
    <s v="First round of interviews completed."/>
  </r>
  <r>
    <s v="T010"/>
    <s v="Conduct Employee Survey"/>
    <s v="HR"/>
    <x v="0"/>
    <d v="2025-09-24T00:00:00"/>
    <d v="2025-10-05T00:00:00"/>
    <n v="11"/>
    <s v="In Progress"/>
    <b v="1"/>
    <s v="Survey questions finalized."/>
  </r>
  <r>
    <s v="T011"/>
    <s v="Prepare Investor Presentation"/>
    <s v="Finance"/>
    <x v="1"/>
    <d v="2025-09-25T00:00:00"/>
    <d v="2025-10-02T00:00:00"/>
    <n v="7"/>
    <s v="Completed"/>
    <b v="0"/>
    <s v="Draft slides ready; awaiting financial highlights."/>
  </r>
  <r>
    <s v="T012"/>
    <s v="Upgrade Infrastructure"/>
    <s v="Strategy"/>
    <x v="0"/>
    <d v="2025-09-26T00:00:00"/>
    <d v="2025-10-30T00:00:00"/>
    <n v="34"/>
    <s v="Completed"/>
    <b v="0"/>
    <s v="External consultant engagement pending."/>
  </r>
  <r>
    <s v="T013"/>
    <s v="Evaluate Vendor Proposals for Logistics"/>
    <s v="Strategy"/>
    <x v="4"/>
    <d v="2025-09-27T00:00:00"/>
    <d v="2025-10-07T00:00:00"/>
    <n v="10"/>
    <s v="In Progress"/>
    <b v="1"/>
    <s v="Three proposals shortlisted for management review."/>
  </r>
  <r>
    <s v="T014"/>
    <s v="Draft Q1 Marketing Strategy"/>
    <s v="Strategy"/>
    <x v="4"/>
    <d v="2025-09-28T00:00:00"/>
    <d v="2025-10-18T00:00:00"/>
    <n v="20"/>
    <s v="Completed"/>
    <b v="0"/>
    <s v="Kick-off meeting scheduled next week."/>
  </r>
  <r>
    <s v="T015"/>
    <s v="Audit Internal Expense Reports"/>
    <s v="Finance"/>
    <x v="4"/>
    <d v="2025-09-29T00:00:00"/>
    <d v="2025-10-04T00:00:00"/>
    <n v="5"/>
    <s v="In Progress"/>
    <b v="1"/>
    <s v="Waiting for submission of all departmental reports."/>
  </r>
  <r>
    <s v="T016"/>
    <s v="Analysis of big data"/>
    <s v="Finance"/>
    <x v="3"/>
    <d v="2025-11-30T00:00:00"/>
    <d v="2025-12-13T00:00:00"/>
    <n v="13"/>
    <s v="Not Started"/>
    <b v="1"/>
    <s v="Waiting  for the permission to access the clients data"/>
  </r>
  <r>
    <s v="T017"/>
    <s v="Recruit New Data Analyst"/>
    <s v="HR"/>
    <x v="3"/>
    <d v="2025-12-14T00:00:00"/>
    <d v="2025-12-20T00:00:00"/>
    <n v="6"/>
    <s v="Completed"/>
    <b v="0"/>
    <s v="Submitted the reports and the names of selected data analysts"/>
  </r>
  <r>
    <s v="T018"/>
    <s v="Recruit Interns"/>
    <s v="HR"/>
    <x v="1"/>
    <d v="2025-12-16T00:00:00"/>
    <d v="2025-12-30T00:00:00"/>
    <n v="14"/>
    <s v="In Progress"/>
    <b v="1"/>
    <s v="The interviews are still on going"/>
  </r>
  <r>
    <s v="T019"/>
    <s v="Annual financial report"/>
    <s v="Finance"/>
    <x v="1"/>
    <d v="2025-12-17T00:00:00"/>
    <d v="2025-12-27T00:00:00"/>
    <n v="10"/>
    <s v="Completed"/>
    <b v="0"/>
    <s v="Submitted the financial repor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E20FAA-594A-4888-A452-84701A5AB632}" name="PivotTable13" cacheId="7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2:E8"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Task Duration" fld="1" subtotal="count" baseField="0" baseItem="0"/>
  </dataFields>
  <chartFormats count="1">
    <chartFormat chart="5" format="3"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Task Duration"/>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05B672-AA3B-45B0-BB4E-19D17AC103AF}" name="PivotTable11" cacheId="7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B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Task Duration" fld="1" subtotal="count" baseField="0" baseItem="0"/>
  </dataFields>
  <chartFormats count="1">
    <chartFormat chart="8" format="3"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Task Duration"/>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Management Tracker.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9357BA-B340-4F02-9E2E-0F5162A2C8DA}" name="PivotTable8" cacheId="742"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4">
  <location ref="A26:B3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Sum of Count" fld="1" baseField="0" baseItem="0"/>
  </dataFields>
  <chartFormats count="1">
    <chartFormat chart="3" format="6" series="1">
      <pivotArea type="data" outline="0" fieldPosition="0">
        <references count="1">
          <reference field="4294967294" count="1" selected="0">
            <x v="0"/>
          </reference>
        </references>
      </pivotArea>
    </chartFormat>
  </chartFormats>
  <pivotHierarchies count="19">
    <pivotHierarchy multipleItemSelectionAllowed="1" dragToData="1"/>
    <pivotHierarchy multipleItemSelectionAllowed="1" dragToData="1">
      <members count="1" level="1">
        <member name="[Range 1].[Count].&amp;[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Count"/>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0A7B0A-935B-4141-89BA-64DBFAF6A0D0}" name="PivotTable10" cacheId="7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0">
    <pivotField dataField="1" showAll="0"/>
    <pivotField showAll="0"/>
    <pivotField showAll="0"/>
    <pivotField axis="axisRow" showAll="0">
      <items count="6">
        <item x="3"/>
        <item x="1"/>
        <item x="4"/>
        <item x="2"/>
        <item x="0"/>
        <item t="default"/>
      </items>
    </pivotField>
    <pivotField numFmtId="14" showAll="0"/>
    <pivotField numFmtId="14" showAll="0"/>
    <pivotField numFmtId="165" showAll="0"/>
    <pivotField showAll="0"/>
    <pivotField showAll="0"/>
    <pivotField showAll="0"/>
  </pivotFields>
  <rowFields count="1">
    <field x="3"/>
  </rowFields>
  <rowItems count="6">
    <i>
      <x/>
    </i>
    <i>
      <x v="1"/>
    </i>
    <i>
      <x v="2"/>
    </i>
    <i>
      <x v="3"/>
    </i>
    <i>
      <x v="4"/>
    </i>
    <i t="grand">
      <x/>
    </i>
  </rowItems>
  <colItems count="1">
    <i/>
  </colItems>
  <dataFields count="1">
    <dataField name="Count of Task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B356791-6AFA-4525-A09F-C4A47B0F26DF}" autoFormatId="16" applyNumberFormats="0" applyBorderFormats="0" applyFontFormats="0" applyPatternFormats="0" applyAlignmentFormats="0" applyWidthHeightFormats="0">
  <queryTableRefresh nextId="11">
    <queryTableFields count="10">
      <queryTableField id="1" name="Range[Task ID]" tableColumnId="1"/>
      <queryTableField id="2" name="Range[Task Name]" tableColumnId="2"/>
      <queryTableField id="3" name="Range[Team]" tableColumnId="3"/>
      <queryTableField id="4" name="Range[Task Owner]" tableColumnId="4"/>
      <queryTableField id="5" name="Range[Start Date]" tableColumnId="5"/>
      <queryTableField id="6" name="Range[Due Date]" tableColumnId="6"/>
      <queryTableField id="7" name="Range[Task Duration]" tableColumnId="7"/>
      <queryTableField id="8" name="Range[Status]" tableColumnId="8"/>
      <queryTableField id="9" name="Range[Overdue?]" tableColumnId="9"/>
      <queryTableField id="10" name="Range[Comments]" tableColumnId="10"/>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sk_Owner" xr10:uid="{6DB7E8BC-D3B3-4E0A-A748-0E4A7681919B}" sourceName="[Table1].[Task Owner]">
  <pivotTables>
    <pivotTable tabId="6" name="PivotTable13"/>
  </pivotTables>
  <data>
    <olap pivotCacheId="1774480143">
      <levels count="2">
        <level uniqueName="[Table1].[Task Owner].[(All)]" sourceCaption="(All)" count="0"/>
        <level uniqueName="[Table1].[Task Owner].[Task Owner]" sourceCaption="Task Owner" count="5">
          <ranges>
            <range startItem="0">
              <i n="[Table1].[Task Owner].&amp;[Alex Chen]" c="Alex Chen"/>
              <i n="[Table1].[Task Owner].&amp;[David Kim]" c="David Kim"/>
              <i n="[Table1].[Task Owner].&amp;[Emily Davis]" c="Emily Davis"/>
              <i n="[Table1].[Task Owner].&amp;[James Miller]" c="James Miller"/>
              <i n="[Table1].[Task Owner].&amp;[Sarah Johnson]" c="Sarah Johnson"/>
            </range>
          </ranges>
        </level>
      </levels>
      <selections count="1">
        <selection n="[Table1].[Task Own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24F434B4-2943-45AE-858B-7289DE046DA6}" sourceName="[Table1].[Team]">
  <pivotTables>
    <pivotTable tabId="6" name="PivotTable11"/>
  </pivotTables>
  <data>
    <olap pivotCacheId="1025235052">
      <levels count="2">
        <level uniqueName="[Table1].[Team].[(All)]" sourceCaption="(All)" count="0"/>
        <level uniqueName="[Table1].[Team].[Team]" sourceCaption="Team" count="4">
          <ranges>
            <range startItem="0">
              <i n="[Table1].[Team].&amp;[Finance]" c="Finance"/>
              <i n="[Table1].[Team].&amp;[HR]" c="HR"/>
              <i n="[Table1].[Team].&amp;[Marketing]" c="Marketing"/>
              <i n="[Table1].[Team].&amp;[Strategy]" c="Strategy"/>
            </range>
          </ranges>
        </level>
      </levels>
      <selections count="1">
        <selection n="[Table1].[Team].[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180F509-2E31-4672-8BE6-3B277B3368EB}" sourceName="[Range 1].[Status]">
  <pivotTables>
    <pivotTable tabId="6" name="PivotTable8"/>
  </pivotTables>
  <data>
    <olap pivotCacheId="716245557">
      <levels count="2">
        <level uniqueName="[Range 1].[Status].[(All)]" sourceCaption="(All)" count="0"/>
        <level uniqueName="[Range 1].[Status].[Status]" sourceCaption="Status" count="4">
          <ranges>
            <range startItem="0">
              <i n="[Range 1].[Status].&amp;[Completed]" c="Completed"/>
              <i n="[Range 1].[Status].&amp;[In Progress]" c="In Progress"/>
              <i n="[Range 1].[Status].&amp;[Not Started]" c="Not Started"/>
              <i n="[Range 1].[Status].&amp;[Total]" c="Total"/>
            </range>
          </ranges>
        </level>
      </levels>
      <selections count="1">
        <selection n="[Range 1].[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sk Owner" xr10:uid="{9AA8C9F3-CAE0-4566-B611-C47457F460C5}" cache="Slicer_Task_Owner" caption="Task Owner" level="1" rowHeight="273050"/>
  <slicer name="Team" xr10:uid="{72E58076-E344-4826-9D24-9216D95E311E}" cache="Slicer_Team" caption="Team" level="1" rowHeight="273050"/>
  <slicer name="Status" xr10:uid="{9CBF9F3C-22C2-459C-8759-01D526C560BD}" cache="Slicer_Status" caption="Status" level="1" rowHeight="2730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4CF3D5-54E5-488A-8C21-92E9EE470B99}" name="Table1" displayName="Table1" ref="B2:K21" totalsRowShown="0" headerRowDxfId="12" headerRowCellStyle="Normal 2">
  <autoFilter ref="B2:K21" xr:uid="{A54CF3D5-54E5-488A-8C21-92E9EE470B99}"/>
  <tableColumns count="10">
    <tableColumn id="1" xr3:uid="{B00BC48E-4E24-4750-90C0-077AE1C12FF7}" name="Task ID" dataDxfId="20"/>
    <tableColumn id="2" xr3:uid="{9B9E3A61-8D67-48FE-8F00-8753B9F71CA3}" name="Task Name" dataDxfId="19"/>
    <tableColumn id="3" xr3:uid="{72203A49-433F-46AC-9C09-4D02E0085909}" name="Team" dataDxfId="18"/>
    <tableColumn id="4" xr3:uid="{6C89A3FD-1F72-4491-A2CC-0418BAA9E7B4}" name="Task Owner" dataDxfId="17"/>
    <tableColumn id="5" xr3:uid="{1F1E7556-BBDA-42EF-BAD5-E6ED5C58ACC5}" name="Start Date" dataDxfId="16"/>
    <tableColumn id="6" xr3:uid="{2DDFFCE4-017B-4B8B-B463-778D883C35A1}" name="Due Date" dataDxfId="15"/>
    <tableColumn id="7" xr3:uid="{A43F78D6-CE16-4916-BAFA-723B50F20389}" name="Task Duration" dataDxfId="6">
      <calculatedColumnFormula>Table1[[#This Row],[Due Date]]-Table1[[#This Row],[Start Date]]</calculatedColumnFormula>
    </tableColumn>
    <tableColumn id="8" xr3:uid="{E9055E36-D4D7-4DD2-B948-62B54F77D1E8}" name="Status" dataDxfId="14"/>
    <tableColumn id="9" xr3:uid="{723675F1-CB37-445C-966B-301EB7F53A49}" name="Overdue?" dataDxfId="7">
      <calculatedColumnFormula>AND(Table1[[#This Row],[Status]]&lt;&gt;"Completed",Table1[[#This Row],[Due Date]]&lt;TODAY())</calculatedColumnFormula>
    </tableColumn>
    <tableColumn id="10" xr3:uid="{BF0F50A7-F99E-43D3-9170-0F25B5DCDCCE}" name="Comments"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436A0B-C68F-4562-8EAC-C561394C716A}" name="Table_ExternalData_1" displayName="Table_ExternalData_1" ref="A3:J6" tableType="queryTable" totalsRowShown="0">
  <autoFilter ref="A3:J6" xr:uid="{7B436A0B-C68F-4562-8EAC-C561394C716A}"/>
  <tableColumns count="10">
    <tableColumn id="1" xr3:uid="{3B496EA9-9F7D-42BE-B093-A62C11E48AEE}" uniqueName="1" name="Range[Task ID]" queryTableFieldId="1"/>
    <tableColumn id="2" xr3:uid="{E1DB4F22-80E5-4A42-9EE8-D9AC77167054}" uniqueName="2" name="Range[Task Name]" queryTableFieldId="2"/>
    <tableColumn id="3" xr3:uid="{2E61AF62-6A31-48C8-8F50-18CE8B0AEC9A}" uniqueName="3" name="Range[Team]" queryTableFieldId="3"/>
    <tableColumn id="4" xr3:uid="{3EFE6F4D-A486-4715-9178-99CF6F1045A6}" uniqueName="4" name="Range[Task Owner]" queryTableFieldId="4"/>
    <tableColumn id="5" xr3:uid="{F25F0C66-CAF1-4B29-94B8-781ADEB57586}" uniqueName="5" name="Range[Start Date]" queryTableFieldId="5" dataDxfId="5"/>
    <tableColumn id="6" xr3:uid="{841B4E38-A65B-4DBD-9AAC-B57E15DC5784}" uniqueName="6" name="Range[Due Date]" queryTableFieldId="6" dataDxfId="4"/>
    <tableColumn id="7" xr3:uid="{814606E7-E3F1-49A5-9E78-FB14660EFC1B}" uniqueName="7" name="Range[Task Duration]" queryTableFieldId="7"/>
    <tableColumn id="8" xr3:uid="{48F73463-8959-430E-86CE-06EFD458C0D0}" uniqueName="8" name="Range[Status]" queryTableFieldId="8"/>
    <tableColumn id="9" xr3:uid="{FE05C703-9F45-4C7B-B1AF-0BE3CAC3BC06}" uniqueName="9" name="Range[Overdue?]" queryTableFieldId="9"/>
    <tableColumn id="10" xr3:uid="{18EF86C5-F118-496C-A9EE-545C4B878C58}" uniqueName="10" name="Range[Comments]" queryTableField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 dockstate="right" visibility="0" width="350"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919FBAF1-2EEA-4968-BA7C-A5C01D7F5F2D}">
  <we:reference id="wa200009404" version="1.0.0.8" store="en-US" storeType="OMEX"/>
  <we:alternateReferences>
    <we:reference id="wa200009404" version="1.0.0.8" store="en-US" storeType="OMEX"/>
  </we:alternateReferences>
  <we:properties>
    <we:property name="claude.fileId" value="&quot;d0c4438c-fad4-41fa-b7e5-657dae4708be&quot;"/>
  </we:properties>
  <we:bindings/>
  <we:snapshot xmlns:r="http://schemas.openxmlformats.org/officeDocument/2006/relationships"/>
</we:webextension>
</file>

<file path=xl/webextensions/webextension2.xml><?xml version="1.0" encoding="utf-8"?>
<we:webextension xmlns:we="http://schemas.microsoft.com/office/webextensions/webextension/2010/11" id="{DAA502CC-EFD8-402E-8868-D804E200B848}">
  <we:reference id="wa200005502" version="1.0.0.13" store="en-US" storeType="OMEX"/>
  <we:alternateReferences>
    <we:reference id="wa200005502" version="1.0.0.13" store="wa200005502" storeType="OMEX"/>
  </we:alternateReferences>
  <we:properties>
    <we:property name="docId" value="&quot;jT85gG0PIyYDcCIJQ__x7&quot;"/>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A565C-E58D-E845-893A-5E7880C6E96F}">
  <dimension ref="B1:K21"/>
  <sheetViews>
    <sheetView tabSelected="1" zoomScaleNormal="100" workbookViewId="0">
      <selection activeCell="K22" sqref="K22"/>
    </sheetView>
  </sheetViews>
  <sheetFormatPr defaultColWidth="11.125" defaultRowHeight="15.75" x14ac:dyDescent="0.25"/>
  <cols>
    <col min="1" max="1" width="3.5" customWidth="1"/>
    <col min="2" max="2" width="8.375" style="1" customWidth="1"/>
    <col min="3" max="3" width="28.875" customWidth="1"/>
    <col min="5" max="5" width="14.125" bestFit="1" customWidth="1"/>
    <col min="6" max="7" width="11.125" style="17"/>
    <col min="8" max="8" width="13.5" customWidth="1"/>
    <col min="9" max="9" width="12.125" style="1" customWidth="1"/>
    <col min="11" max="11" width="38.125" customWidth="1"/>
  </cols>
  <sheetData>
    <row r="1" spans="2:11" s="5" customFormat="1" ht="211.5" customHeight="1" x14ac:dyDescent="0.25"/>
    <row r="2" spans="2:11" s="14" customFormat="1" x14ac:dyDescent="0.25">
      <c r="B2" s="3" t="s">
        <v>1</v>
      </c>
      <c r="C2" s="3" t="s">
        <v>0</v>
      </c>
      <c r="D2" s="3" t="s">
        <v>70</v>
      </c>
      <c r="E2" s="3" t="s">
        <v>6</v>
      </c>
      <c r="F2" s="18" t="s">
        <v>2</v>
      </c>
      <c r="G2" s="18" t="s">
        <v>3</v>
      </c>
      <c r="H2" s="3" t="s">
        <v>11</v>
      </c>
      <c r="I2" s="3" t="s">
        <v>4</v>
      </c>
      <c r="J2" s="3" t="s">
        <v>5</v>
      </c>
      <c r="K2" s="3" t="s">
        <v>7</v>
      </c>
    </row>
    <row r="3" spans="2:11" x14ac:dyDescent="0.25">
      <c r="B3" s="8" t="s">
        <v>13</v>
      </c>
      <c r="C3" s="9" t="s">
        <v>14</v>
      </c>
      <c r="D3" s="9" t="s">
        <v>65</v>
      </c>
      <c r="E3" s="9" t="s">
        <v>15</v>
      </c>
      <c r="F3" s="10">
        <v>45902</v>
      </c>
      <c r="G3" s="10">
        <v>45920</v>
      </c>
      <c r="H3" s="11">
        <f>Table1[[#This Row],[Due Date]]-Table1[[#This Row],[Start Date]]</f>
        <v>18</v>
      </c>
      <c r="I3" s="8" t="s">
        <v>16</v>
      </c>
      <c r="J3" s="8" t="b">
        <f ca="1">AND(Table1[[#This Row],[Status]]&lt;&gt;"Completed",Table1[[#This Row],[Due Date]]&lt;TODAY())</f>
        <v>0</v>
      </c>
      <c r="K3" s="9" t="s">
        <v>17</v>
      </c>
    </row>
    <row r="4" spans="2:11" x14ac:dyDescent="0.25">
      <c r="B4" s="8" t="s">
        <v>18</v>
      </c>
      <c r="C4" s="9" t="s">
        <v>62</v>
      </c>
      <c r="D4" s="9" t="s">
        <v>57</v>
      </c>
      <c r="E4" s="9" t="s">
        <v>15</v>
      </c>
      <c r="F4" s="10">
        <v>45905</v>
      </c>
      <c r="G4" s="10">
        <v>45925</v>
      </c>
      <c r="H4" s="11">
        <f>Table1[[#This Row],[Due Date]]-Table1[[#This Row],[Start Date]]</f>
        <v>20</v>
      </c>
      <c r="I4" s="8" t="s">
        <v>16</v>
      </c>
      <c r="J4" s="8" t="b">
        <f ca="1">AND(Table1[[#This Row],[Status]]&lt;&gt;"Completed",Table1[[#This Row],[Due Date]]&lt;TODAY())</f>
        <v>0</v>
      </c>
      <c r="K4" s="9" t="s">
        <v>20</v>
      </c>
    </row>
    <row r="5" spans="2:11" x14ac:dyDescent="0.25">
      <c r="B5" s="8" t="s">
        <v>21</v>
      </c>
      <c r="C5" s="9" t="s">
        <v>22</v>
      </c>
      <c r="D5" s="9" t="s">
        <v>57</v>
      </c>
      <c r="E5" s="9" t="s">
        <v>19</v>
      </c>
      <c r="F5" s="10">
        <v>45848</v>
      </c>
      <c r="G5" s="10">
        <v>45874</v>
      </c>
      <c r="H5" s="11">
        <f>Table1[[#This Row],[Due Date]]-Table1[[#This Row],[Start Date]]</f>
        <v>26</v>
      </c>
      <c r="I5" s="8" t="s">
        <v>16</v>
      </c>
      <c r="J5" s="8" t="b">
        <f ca="1">AND(Table1[[#This Row],[Status]]&lt;&gt;"Completed",Table1[[#This Row],[Due Date]]&lt;TODAY())</f>
        <v>0</v>
      </c>
      <c r="K5" s="9" t="s">
        <v>23</v>
      </c>
    </row>
    <row r="6" spans="2:11" x14ac:dyDescent="0.25">
      <c r="B6" s="8" t="s">
        <v>24</v>
      </c>
      <c r="C6" s="9" t="s">
        <v>25</v>
      </c>
      <c r="D6" s="9" t="s">
        <v>65</v>
      </c>
      <c r="E6" s="9" t="s">
        <v>15</v>
      </c>
      <c r="F6" s="10">
        <v>45912</v>
      </c>
      <c r="G6" s="10">
        <v>45930</v>
      </c>
      <c r="H6" s="11">
        <f>Table1[[#This Row],[Due Date]]-Table1[[#This Row],[Start Date]]</f>
        <v>18</v>
      </c>
      <c r="I6" s="8" t="s">
        <v>9</v>
      </c>
      <c r="J6" s="8" t="b">
        <f ca="1">AND(Table1[[#This Row],[Status]]&lt;&gt;"Completed",Table1[[#This Row],[Due Date]]&lt;TODAY())</f>
        <v>1</v>
      </c>
      <c r="K6" s="9" t="s">
        <v>27</v>
      </c>
    </row>
    <row r="7" spans="2:11" x14ac:dyDescent="0.25">
      <c r="B7" s="8" t="s">
        <v>28</v>
      </c>
      <c r="C7" s="9" t="s">
        <v>29</v>
      </c>
      <c r="D7" s="9" t="s">
        <v>57</v>
      </c>
      <c r="E7" s="9" t="s">
        <v>26</v>
      </c>
      <c r="F7" s="10">
        <v>45915</v>
      </c>
      <c r="G7" s="10">
        <v>45940</v>
      </c>
      <c r="H7" s="11">
        <f>Table1[[#This Row],[Due Date]]-Table1[[#This Row],[Start Date]]</f>
        <v>25</v>
      </c>
      <c r="I7" s="8" t="s">
        <v>16</v>
      </c>
      <c r="J7" s="8" t="b">
        <f ca="1">AND(Table1[[#This Row],[Status]]&lt;&gt;"Completed",Table1[[#This Row],[Due Date]]&lt;TODAY())</f>
        <v>0</v>
      </c>
      <c r="K7" s="9" t="s">
        <v>31</v>
      </c>
    </row>
    <row r="8" spans="2:11" x14ac:dyDescent="0.25">
      <c r="B8" s="8" t="s">
        <v>32</v>
      </c>
      <c r="C8" s="9" t="s">
        <v>33</v>
      </c>
      <c r="D8" s="9" t="s">
        <v>66</v>
      </c>
      <c r="E8" s="9" t="s">
        <v>19</v>
      </c>
      <c r="F8" s="10">
        <v>45918</v>
      </c>
      <c r="G8" s="10">
        <v>45945</v>
      </c>
      <c r="H8" s="11">
        <f>Table1[[#This Row],[Due Date]]-Table1[[#This Row],[Start Date]]</f>
        <v>27</v>
      </c>
      <c r="I8" s="8" t="s">
        <v>8</v>
      </c>
      <c r="J8" s="8" t="b">
        <f ca="1">AND(Table1[[#This Row],[Status]]&lt;&gt;"Completed",Table1[[#This Row],[Due Date]]&lt;TODAY())</f>
        <v>1</v>
      </c>
      <c r="K8" s="9" t="s">
        <v>35</v>
      </c>
    </row>
    <row r="9" spans="2:11" x14ac:dyDescent="0.25">
      <c r="B9" s="8" t="s">
        <v>36</v>
      </c>
      <c r="C9" s="9" t="s">
        <v>63</v>
      </c>
      <c r="D9" s="9" t="s">
        <v>66</v>
      </c>
      <c r="E9" s="9" t="s">
        <v>30</v>
      </c>
      <c r="F9" s="10">
        <v>45889</v>
      </c>
      <c r="G9" s="10">
        <v>45896</v>
      </c>
      <c r="H9" s="11">
        <f>Table1[[#This Row],[Due Date]]-Table1[[#This Row],[Start Date]]</f>
        <v>7</v>
      </c>
      <c r="I9" s="8" t="s">
        <v>16</v>
      </c>
      <c r="J9" s="8" t="b">
        <f ca="1">AND(Table1[[#This Row],[Status]]&lt;&gt;"Completed",Table1[[#This Row],[Due Date]]&lt;TODAY())</f>
        <v>0</v>
      </c>
      <c r="K9" s="9" t="s">
        <v>37</v>
      </c>
    </row>
    <row r="10" spans="2:11" x14ac:dyDescent="0.25">
      <c r="B10" s="8" t="s">
        <v>38</v>
      </c>
      <c r="C10" s="9" t="s">
        <v>39</v>
      </c>
      <c r="D10" s="9" t="s">
        <v>40</v>
      </c>
      <c r="E10" s="9" t="s">
        <v>30</v>
      </c>
      <c r="F10" s="10">
        <v>45922</v>
      </c>
      <c r="G10" s="10">
        <v>45942</v>
      </c>
      <c r="H10" s="11">
        <f>Table1[[#This Row],[Due Date]]-Table1[[#This Row],[Start Date]]</f>
        <v>20</v>
      </c>
      <c r="I10" s="8" t="s">
        <v>8</v>
      </c>
      <c r="J10" s="8" t="b">
        <f ca="1">AND(Table1[[#This Row],[Status]]&lt;&gt;"Completed",Table1[[#This Row],[Due Date]]&lt;TODAY())</f>
        <v>1</v>
      </c>
      <c r="K10" s="9" t="s">
        <v>41</v>
      </c>
    </row>
    <row r="11" spans="2:11" x14ac:dyDescent="0.25">
      <c r="B11" s="8" t="s">
        <v>42</v>
      </c>
      <c r="C11" s="9" t="s">
        <v>43</v>
      </c>
      <c r="D11" s="9" t="s">
        <v>66</v>
      </c>
      <c r="E11" s="9" t="s">
        <v>15</v>
      </c>
      <c r="F11" s="10">
        <v>45923</v>
      </c>
      <c r="G11" s="10">
        <v>45950</v>
      </c>
      <c r="H11" s="11">
        <f>Table1[[#This Row],[Due Date]]-Table1[[#This Row],[Start Date]]</f>
        <v>27</v>
      </c>
      <c r="I11" s="8" t="s">
        <v>16</v>
      </c>
      <c r="J11" s="8" t="b">
        <f ca="1">AND(Table1[[#This Row],[Status]]&lt;&gt;"Completed",Table1[[#This Row],[Due Date]]&lt;TODAY())</f>
        <v>0</v>
      </c>
      <c r="K11" s="9" t="s">
        <v>44</v>
      </c>
    </row>
    <row r="12" spans="2:11" x14ac:dyDescent="0.25">
      <c r="B12" s="8" t="s">
        <v>45</v>
      </c>
      <c r="C12" s="9" t="s">
        <v>64</v>
      </c>
      <c r="D12" s="9" t="s">
        <v>66</v>
      </c>
      <c r="E12" s="9" t="s">
        <v>15</v>
      </c>
      <c r="F12" s="10">
        <v>45924</v>
      </c>
      <c r="G12" s="10">
        <v>45935</v>
      </c>
      <c r="H12" s="11">
        <f>Table1[[#This Row],[Due Date]]-Table1[[#This Row],[Start Date]]</f>
        <v>11</v>
      </c>
      <c r="I12" s="8" t="s">
        <v>8</v>
      </c>
      <c r="J12" s="8" t="b">
        <f ca="1">AND(Table1[[#This Row],[Status]]&lt;&gt;"Completed",Table1[[#This Row],[Due Date]]&lt;TODAY())</f>
        <v>1</v>
      </c>
      <c r="K12" s="9" t="s">
        <v>46</v>
      </c>
    </row>
    <row r="13" spans="2:11" x14ac:dyDescent="0.25">
      <c r="B13" s="8" t="s">
        <v>47</v>
      </c>
      <c r="C13" s="9" t="s">
        <v>48</v>
      </c>
      <c r="D13" s="9" t="s">
        <v>65</v>
      </c>
      <c r="E13" s="9" t="s">
        <v>19</v>
      </c>
      <c r="F13" s="10">
        <v>45925</v>
      </c>
      <c r="G13" s="10">
        <v>45932</v>
      </c>
      <c r="H13" s="11">
        <f>Table1[[#This Row],[Due Date]]-Table1[[#This Row],[Start Date]]</f>
        <v>7</v>
      </c>
      <c r="I13" s="8" t="s">
        <v>16</v>
      </c>
      <c r="J13" s="8" t="b">
        <f ca="1">AND(Table1[[#This Row],[Status]]&lt;&gt;"Completed",Table1[[#This Row],[Due Date]]&lt;TODAY())</f>
        <v>0</v>
      </c>
      <c r="K13" s="9" t="s">
        <v>49</v>
      </c>
    </row>
    <row r="14" spans="2:11" x14ac:dyDescent="0.25">
      <c r="B14" s="8" t="s">
        <v>50</v>
      </c>
      <c r="C14" s="9" t="s">
        <v>67</v>
      </c>
      <c r="D14" s="9" t="s">
        <v>57</v>
      </c>
      <c r="E14" s="9" t="s">
        <v>15</v>
      </c>
      <c r="F14" s="10">
        <v>45926</v>
      </c>
      <c r="G14" s="10">
        <v>45960</v>
      </c>
      <c r="H14" s="11">
        <f>Table1[[#This Row],[Due Date]]-Table1[[#This Row],[Start Date]]</f>
        <v>34</v>
      </c>
      <c r="I14" s="8" t="s">
        <v>16</v>
      </c>
      <c r="J14" s="8" t="b">
        <f ca="1">AND(Table1[[#This Row],[Status]]&lt;&gt;"Completed",Table1[[#This Row],[Due Date]]&lt;TODAY())</f>
        <v>0</v>
      </c>
      <c r="K14" s="9" t="s">
        <v>51</v>
      </c>
    </row>
    <row r="15" spans="2:11" x14ac:dyDescent="0.25">
      <c r="B15" s="8" t="s">
        <v>52</v>
      </c>
      <c r="C15" s="9" t="s">
        <v>53</v>
      </c>
      <c r="D15" s="9" t="s">
        <v>57</v>
      </c>
      <c r="E15" s="9" t="s">
        <v>34</v>
      </c>
      <c r="F15" s="10">
        <v>45927</v>
      </c>
      <c r="G15" s="10">
        <v>45937</v>
      </c>
      <c r="H15" s="11">
        <f>Table1[[#This Row],[Due Date]]-Table1[[#This Row],[Start Date]]</f>
        <v>10</v>
      </c>
      <c r="I15" s="8" t="s">
        <v>8</v>
      </c>
      <c r="J15" s="8" t="b">
        <f ca="1">AND(Table1[[#This Row],[Status]]&lt;&gt;"Completed",Table1[[#This Row],[Due Date]]&lt;TODAY())</f>
        <v>1</v>
      </c>
      <c r="K15" s="9" t="s">
        <v>54</v>
      </c>
    </row>
    <row r="16" spans="2:11" x14ac:dyDescent="0.25">
      <c r="B16" s="8" t="s">
        <v>55</v>
      </c>
      <c r="C16" s="9" t="s">
        <v>56</v>
      </c>
      <c r="D16" s="9" t="s">
        <v>57</v>
      </c>
      <c r="E16" s="9" t="s">
        <v>34</v>
      </c>
      <c r="F16" s="10">
        <v>45928</v>
      </c>
      <c r="G16" s="10">
        <v>45948</v>
      </c>
      <c r="H16" s="11">
        <f>Table1[[#This Row],[Due Date]]-Table1[[#This Row],[Start Date]]</f>
        <v>20</v>
      </c>
      <c r="I16" s="8" t="s">
        <v>16</v>
      </c>
      <c r="J16" s="8" t="b">
        <f ca="1">AND(Table1[[#This Row],[Status]]&lt;&gt;"Completed",Table1[[#This Row],[Due Date]]&lt;TODAY())</f>
        <v>0</v>
      </c>
      <c r="K16" s="9" t="s">
        <v>58</v>
      </c>
    </row>
    <row r="17" spans="2:11" x14ac:dyDescent="0.25">
      <c r="B17" s="8" t="s">
        <v>59</v>
      </c>
      <c r="C17" s="9" t="s">
        <v>60</v>
      </c>
      <c r="D17" s="9" t="s">
        <v>65</v>
      </c>
      <c r="E17" s="9" t="s">
        <v>34</v>
      </c>
      <c r="F17" s="10">
        <v>45929</v>
      </c>
      <c r="G17" s="10">
        <v>45934</v>
      </c>
      <c r="H17" s="11">
        <f>Table1[[#This Row],[Due Date]]-Table1[[#This Row],[Start Date]]</f>
        <v>5</v>
      </c>
      <c r="I17" s="8" t="s">
        <v>8</v>
      </c>
      <c r="J17" s="8" t="b">
        <f ca="1">AND(Table1[[#This Row],[Status]]&lt;&gt;"Completed",Table1[[#This Row],[Due Date]]&lt;TODAY())</f>
        <v>1</v>
      </c>
      <c r="K17" s="9" t="s">
        <v>61</v>
      </c>
    </row>
    <row r="18" spans="2:11" x14ac:dyDescent="0.25">
      <c r="B18" s="1" t="s">
        <v>76</v>
      </c>
      <c r="C18" s="16" t="s">
        <v>75</v>
      </c>
      <c r="D18" s="16" t="s">
        <v>65</v>
      </c>
      <c r="E18" s="16" t="s">
        <v>30</v>
      </c>
      <c r="F18" s="2">
        <v>45991</v>
      </c>
      <c r="G18" s="2">
        <v>46004</v>
      </c>
      <c r="H18" s="11">
        <f>Table1[[#This Row],[Due Date]]-Table1[[#This Row],[Start Date]]</f>
        <v>13</v>
      </c>
      <c r="I18" s="1" t="s">
        <v>9</v>
      </c>
      <c r="J18" s="7" t="b">
        <f ca="1">AND(Table1[[#This Row],[Status]]&lt;&gt;"Completed",Table1[[#This Row],[Due Date]]&lt;TODAY())</f>
        <v>1</v>
      </c>
      <c r="K18" s="16" t="s">
        <v>77</v>
      </c>
    </row>
    <row r="19" spans="2:11" x14ac:dyDescent="0.25">
      <c r="B19" s="7" t="s">
        <v>78</v>
      </c>
      <c r="C19" s="16" t="s">
        <v>43</v>
      </c>
      <c r="D19" s="16" t="s">
        <v>66</v>
      </c>
      <c r="E19" s="16" t="s">
        <v>30</v>
      </c>
      <c r="F19" s="19">
        <v>46005</v>
      </c>
      <c r="G19" s="19">
        <v>46011</v>
      </c>
      <c r="H19" s="20">
        <f>Table1[[#This Row],[Due Date]]-Table1[[#This Row],[Start Date]]</f>
        <v>6</v>
      </c>
      <c r="I19" s="7" t="s">
        <v>16</v>
      </c>
      <c r="J19" s="7" t="b">
        <f ca="1">AND(Table1[[#This Row],[Status]]&lt;&gt;"Completed",Table1[[#This Row],[Due Date]]&lt;TODAY())</f>
        <v>0</v>
      </c>
      <c r="K19" s="16" t="s">
        <v>79</v>
      </c>
    </row>
    <row r="20" spans="2:11" x14ac:dyDescent="0.25">
      <c r="B20" s="7" t="s">
        <v>80</v>
      </c>
      <c r="C20" s="16" t="s">
        <v>81</v>
      </c>
      <c r="D20" s="16" t="s">
        <v>66</v>
      </c>
      <c r="E20" s="16" t="s">
        <v>19</v>
      </c>
      <c r="F20" s="19">
        <v>46007</v>
      </c>
      <c r="G20" s="19">
        <v>46021</v>
      </c>
      <c r="H20" s="20">
        <f>Table1[[#This Row],[Due Date]]-Table1[[#This Row],[Start Date]]</f>
        <v>14</v>
      </c>
      <c r="I20" s="7" t="s">
        <v>8</v>
      </c>
      <c r="J20" s="7" t="b">
        <f ca="1">AND(Table1[[#This Row],[Status]]&lt;&gt;"Completed",Table1[[#This Row],[Due Date]]&lt;TODAY())</f>
        <v>1</v>
      </c>
      <c r="K20" s="16" t="s">
        <v>82</v>
      </c>
    </row>
    <row r="21" spans="2:11" x14ac:dyDescent="0.25">
      <c r="B21" s="7" t="s">
        <v>95</v>
      </c>
      <c r="C21" s="16" t="s">
        <v>96</v>
      </c>
      <c r="D21" s="16" t="s">
        <v>65</v>
      </c>
      <c r="E21" s="16" t="s">
        <v>19</v>
      </c>
      <c r="F21" s="19">
        <v>46008</v>
      </c>
      <c r="G21" s="19">
        <v>46018</v>
      </c>
      <c r="H21" s="20">
        <f>Table1[[#This Row],[Due Date]]-Table1[[#This Row],[Start Date]]</f>
        <v>10</v>
      </c>
      <c r="I21" s="7" t="s">
        <v>16</v>
      </c>
      <c r="J21" s="21" t="b">
        <f ca="1">AND(Table1[[#This Row],[Status]]&lt;&gt;"Completed",Table1[[#This Row],[Due Date]]&lt;TODAY())</f>
        <v>0</v>
      </c>
      <c r="K21" s="16" t="s">
        <v>97</v>
      </c>
    </row>
  </sheetData>
  <mergeCells count="1">
    <mergeCell ref="A1:XFD1"/>
  </mergeCells>
  <phoneticPr fontId="8" type="noConversion"/>
  <conditionalFormatting sqref="J3:J21">
    <cfRule type="cellIs" dxfId="8" priority="1" operator="equal">
      <formula>TRUE</formula>
    </cfRule>
  </conditionalFormatting>
  <conditionalFormatting sqref="I3:I21">
    <cfRule type="containsText" dxfId="11" priority="2" operator="containsText" text="Not Started">
      <formula>NOT(ISERROR(SEARCH("Not Started",I3)))</formula>
    </cfRule>
    <cfRule type="containsText" dxfId="10" priority="3" operator="containsText" text="In Progress">
      <formula>NOT(ISERROR(SEARCH("In Progress",I3)))</formula>
    </cfRule>
    <cfRule type="containsText" dxfId="9" priority="4" operator="containsText" text="Completed">
      <formula>NOT(ISERROR(SEARCH("Completed",I3)))</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573F0861-932D-4A78-92F9-7FC85473ED67}">
          <x14:formula1>
            <xm:f>'Support Sheet'!$E$3:$E$7</xm:f>
          </x14:formula1>
          <xm:sqref>E3:E17</xm:sqref>
        </x14:dataValidation>
        <x14:dataValidation type="list" allowBlank="1" showInputMessage="1" showErrorMessage="1" xr:uid="{BC595ABC-0CD9-42FC-9D3A-EB7F14B6AEB1}">
          <x14:formula1>
            <xm:f>'Support Sheet'!$B$3:$B$5</xm:f>
          </x14:formula1>
          <xm:sqref>I3:I17</xm:sqref>
        </x14:dataValidation>
        <x14:dataValidation type="list" allowBlank="1" showInputMessage="1" showErrorMessage="1" xr:uid="{33C31D17-DA9B-458D-BB3D-EDD57BCDBAB4}">
          <x14:formula1>
            <xm:f>'Support Sheet'!$H$3:$H$6</xm:f>
          </x14:formula1>
          <xm:sqref>D3:D17</xm:sqref>
        </x14:dataValidation>
      </x14:dataValidations>
    </ex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76006-6B40-364D-90DA-E56E32DD5F29}">
  <dimension ref="B2:K10"/>
  <sheetViews>
    <sheetView zoomScale="115" zoomScaleNormal="115" workbookViewId="0">
      <selection activeCell="K3" sqref="K3"/>
    </sheetView>
  </sheetViews>
  <sheetFormatPr defaultColWidth="11.125" defaultRowHeight="15.75" x14ac:dyDescent="0.25"/>
  <cols>
    <col min="1" max="1" width="3.375" customWidth="1"/>
    <col min="3" max="3" width="6.125" bestFit="1" customWidth="1"/>
    <col min="4" max="4" width="7.875" customWidth="1"/>
    <col min="5" max="5" width="14.125" bestFit="1" customWidth="1"/>
    <col min="6" max="6" width="6.125" style="1" bestFit="1" customWidth="1"/>
    <col min="7" max="7" width="7.875" customWidth="1"/>
    <col min="9" max="9" width="6.125" bestFit="1" customWidth="1"/>
    <col min="10" max="10" width="7.875" customWidth="1"/>
    <col min="11" max="11" width="8" bestFit="1" customWidth="1"/>
  </cols>
  <sheetData>
    <row r="2" spans="2:11" x14ac:dyDescent="0.25">
      <c r="B2" s="4" t="s">
        <v>4</v>
      </c>
      <c r="C2" s="4" t="s">
        <v>68</v>
      </c>
      <c r="E2" s="4" t="s">
        <v>10</v>
      </c>
      <c r="F2" s="4" t="s">
        <v>68</v>
      </c>
      <c r="H2" s="4" t="s">
        <v>70</v>
      </c>
      <c r="I2" s="4" t="s">
        <v>68</v>
      </c>
      <c r="K2" s="4" t="s">
        <v>12</v>
      </c>
    </row>
    <row r="3" spans="2:11" x14ac:dyDescent="0.25">
      <c r="B3" t="s">
        <v>16</v>
      </c>
      <c r="C3" s="1">
        <f>COUNTIF(Table1[Status],'Support Sheet'!B3)</f>
        <v>11</v>
      </c>
      <c r="E3" t="s">
        <v>15</v>
      </c>
      <c r="F3" s="1">
        <f>COUNTIF(Table1[Task Owner],'Support Sheet'!E3)</f>
        <v>6</v>
      </c>
      <c r="H3" t="s">
        <v>65</v>
      </c>
      <c r="I3" s="1">
        <f>COUNTIF(Table1[Team],'Support Sheet'!H3)</f>
        <v>6</v>
      </c>
      <c r="K3" s="1">
        <f ca="1">COUNTIF(Table1[Overdue?],TRUE)</f>
        <v>8</v>
      </c>
    </row>
    <row r="4" spans="2:11" x14ac:dyDescent="0.25">
      <c r="B4" t="s">
        <v>8</v>
      </c>
      <c r="C4" s="1">
        <f>COUNTIF(Table1[Status],'Support Sheet'!B4)</f>
        <v>6</v>
      </c>
      <c r="E4" t="s">
        <v>19</v>
      </c>
      <c r="F4" s="1">
        <f>COUNTIF(Table1[Task Owner],'Support Sheet'!E4)</f>
        <v>5</v>
      </c>
      <c r="H4" t="s">
        <v>57</v>
      </c>
      <c r="I4" s="1">
        <f>COUNTIF(Table1[Team],'Support Sheet'!H4)</f>
        <v>6</v>
      </c>
    </row>
    <row r="5" spans="2:11" x14ac:dyDescent="0.25">
      <c r="B5" t="s">
        <v>9</v>
      </c>
      <c r="C5" s="1">
        <f>COUNTIF(Table1[Status],'Support Sheet'!B5)</f>
        <v>2</v>
      </c>
      <c r="E5" t="s">
        <v>26</v>
      </c>
      <c r="F5" s="1">
        <f>COUNTIF(Table1[Task Owner],'Support Sheet'!E5)</f>
        <v>1</v>
      </c>
      <c r="H5" t="s">
        <v>66</v>
      </c>
      <c r="I5" s="1">
        <f>COUNTIF(Table1[Team],'Support Sheet'!H5)</f>
        <v>6</v>
      </c>
    </row>
    <row r="6" spans="2:11" x14ac:dyDescent="0.25">
      <c r="B6" s="6" t="s">
        <v>69</v>
      </c>
      <c r="C6" s="1">
        <f>SUM(C3:C5)</f>
        <v>19</v>
      </c>
      <c r="E6" t="s">
        <v>30</v>
      </c>
      <c r="F6" s="1">
        <f>COUNTIF(Table1[Task Owner],'Support Sheet'!E6)</f>
        <v>4</v>
      </c>
      <c r="H6" t="s">
        <v>40</v>
      </c>
      <c r="I6" s="1">
        <f>COUNTIF(Table1[Team],'Support Sheet'!H6)</f>
        <v>1</v>
      </c>
    </row>
    <row r="7" spans="2:11" x14ac:dyDescent="0.25">
      <c r="E7" t="s">
        <v>34</v>
      </c>
      <c r="F7" s="1">
        <f>COUNTIF(Table1[Task Owner],'Support Sheet'!E7)</f>
        <v>3</v>
      </c>
      <c r="I7" s="1"/>
    </row>
    <row r="10" spans="2:11" x14ac:dyDescent="0.25">
      <c r="E10" s="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1ABFF-0DE2-490D-B696-580F4F407556}">
  <dimension ref="A2:E30"/>
  <sheetViews>
    <sheetView workbookViewId="0">
      <selection activeCell="B22" sqref="B22"/>
    </sheetView>
  </sheetViews>
  <sheetFormatPr defaultRowHeight="15.75" x14ac:dyDescent="0.25"/>
  <cols>
    <col min="1" max="1" width="12" bestFit="1" customWidth="1"/>
    <col min="2" max="2" width="19.5" bestFit="1" customWidth="1"/>
    <col min="3" max="3" width="11.875" bestFit="1" customWidth="1"/>
    <col min="4" max="4" width="12.375" bestFit="1" customWidth="1"/>
    <col min="5" max="5" width="19.5" bestFit="1" customWidth="1"/>
    <col min="6" max="6" width="12.5" bestFit="1" customWidth="1"/>
    <col min="7" max="7" width="10.125" bestFit="1" customWidth="1"/>
  </cols>
  <sheetData>
    <row r="2" spans="1:5" x14ac:dyDescent="0.25">
      <c r="A2" s="12" t="s">
        <v>71</v>
      </c>
      <c r="B2" t="s">
        <v>73</v>
      </c>
      <c r="D2" s="12" t="s">
        <v>71</v>
      </c>
      <c r="E2" t="s">
        <v>73</v>
      </c>
    </row>
    <row r="3" spans="1:5" x14ac:dyDescent="0.25">
      <c r="A3" s="13" t="s">
        <v>65</v>
      </c>
      <c r="B3" s="15">
        <v>6</v>
      </c>
      <c r="D3" s="13" t="s">
        <v>30</v>
      </c>
      <c r="E3" s="15">
        <v>4</v>
      </c>
    </row>
    <row r="4" spans="1:5" x14ac:dyDescent="0.25">
      <c r="A4" s="13" t="s">
        <v>66</v>
      </c>
      <c r="B4" s="15">
        <v>6</v>
      </c>
      <c r="D4" s="13" t="s">
        <v>19</v>
      </c>
      <c r="E4" s="15">
        <v>5</v>
      </c>
    </row>
    <row r="5" spans="1:5" x14ac:dyDescent="0.25">
      <c r="A5" s="13" t="s">
        <v>40</v>
      </c>
      <c r="B5" s="15">
        <v>1</v>
      </c>
      <c r="D5" s="13" t="s">
        <v>34</v>
      </c>
      <c r="E5" s="15">
        <v>3</v>
      </c>
    </row>
    <row r="6" spans="1:5" x14ac:dyDescent="0.25">
      <c r="A6" s="13" t="s">
        <v>57</v>
      </c>
      <c r="B6" s="15">
        <v>6</v>
      </c>
      <c r="D6" s="13" t="s">
        <v>26</v>
      </c>
      <c r="E6" s="15">
        <v>1</v>
      </c>
    </row>
    <row r="7" spans="1:5" x14ac:dyDescent="0.25">
      <c r="A7" s="13" t="s">
        <v>72</v>
      </c>
      <c r="B7" s="15">
        <v>19</v>
      </c>
      <c r="D7" s="13" t="s">
        <v>15</v>
      </c>
      <c r="E7" s="15">
        <v>6</v>
      </c>
    </row>
    <row r="8" spans="1:5" x14ac:dyDescent="0.25">
      <c r="D8" s="13" t="s">
        <v>72</v>
      </c>
      <c r="E8" s="15">
        <v>19</v>
      </c>
    </row>
    <row r="26" spans="1:2" x14ac:dyDescent="0.25">
      <c r="A26" s="12" t="s">
        <v>71</v>
      </c>
      <c r="B26" t="s">
        <v>74</v>
      </c>
    </row>
    <row r="27" spans="1:2" x14ac:dyDescent="0.25">
      <c r="A27" s="13" t="s">
        <v>16</v>
      </c>
      <c r="B27" s="15">
        <v>11</v>
      </c>
    </row>
    <row r="28" spans="1:2" x14ac:dyDescent="0.25">
      <c r="A28" s="13" t="s">
        <v>8</v>
      </c>
      <c r="B28" s="15">
        <v>6</v>
      </c>
    </row>
    <row r="29" spans="1:2" x14ac:dyDescent="0.25">
      <c r="A29" s="13" t="s">
        <v>9</v>
      </c>
      <c r="B29" s="15">
        <v>2</v>
      </c>
    </row>
    <row r="30" spans="1:2" x14ac:dyDescent="0.25">
      <c r="A30" s="13" t="s">
        <v>69</v>
      </c>
      <c r="B30" s="15">
        <v>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D97B7-8BB5-454A-BB5A-E17E60A17A49}">
  <dimension ref="A3:B9"/>
  <sheetViews>
    <sheetView workbookViewId="0">
      <selection activeCell="B34" sqref="B34"/>
    </sheetView>
  </sheetViews>
  <sheetFormatPr defaultRowHeight="15.75" x14ac:dyDescent="0.25"/>
  <cols>
    <col min="1" max="1" width="12.375" bestFit="1" customWidth="1"/>
    <col min="2" max="2" width="14.125" bestFit="1" customWidth="1"/>
  </cols>
  <sheetData>
    <row r="3" spans="1:2" x14ac:dyDescent="0.25">
      <c r="A3" s="12" t="s">
        <v>71</v>
      </c>
      <c r="B3" t="s">
        <v>83</v>
      </c>
    </row>
    <row r="4" spans="1:2" x14ac:dyDescent="0.25">
      <c r="A4" s="13" t="s">
        <v>30</v>
      </c>
      <c r="B4" s="15">
        <v>4</v>
      </c>
    </row>
    <row r="5" spans="1:2" x14ac:dyDescent="0.25">
      <c r="A5" s="13" t="s">
        <v>19</v>
      </c>
      <c r="B5" s="15">
        <v>5</v>
      </c>
    </row>
    <row r="6" spans="1:2" x14ac:dyDescent="0.25">
      <c r="A6" s="13" t="s">
        <v>34</v>
      </c>
      <c r="B6" s="15">
        <v>3</v>
      </c>
    </row>
    <row r="7" spans="1:2" x14ac:dyDescent="0.25">
      <c r="A7" s="13" t="s">
        <v>26</v>
      </c>
      <c r="B7" s="15">
        <v>1</v>
      </c>
    </row>
    <row r="8" spans="1:2" x14ac:dyDescent="0.25">
      <c r="A8" s="13" t="s">
        <v>15</v>
      </c>
      <c r="B8" s="15">
        <v>6</v>
      </c>
    </row>
    <row r="9" spans="1:2" x14ac:dyDescent="0.25">
      <c r="A9" s="13" t="s">
        <v>72</v>
      </c>
      <c r="B9" s="15">
        <v>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C8C9-E282-4C51-8F27-747FA9A0C3E4}">
  <dimension ref="A1:J6"/>
  <sheetViews>
    <sheetView workbookViewId="0"/>
  </sheetViews>
  <sheetFormatPr defaultRowHeight="15.75" x14ac:dyDescent="0.25"/>
  <cols>
    <col min="1" max="1" width="15.125" bestFit="1" customWidth="1"/>
    <col min="2" max="2" width="32.875" bestFit="1" customWidth="1"/>
    <col min="3" max="3" width="13.625" bestFit="1" customWidth="1"/>
    <col min="4" max="4" width="18.75" bestFit="1" customWidth="1"/>
    <col min="5" max="5" width="17.5" bestFit="1" customWidth="1"/>
    <col min="6" max="6" width="16.75" bestFit="1" customWidth="1"/>
    <col min="7" max="7" width="20.5" bestFit="1" customWidth="1"/>
    <col min="8" max="8" width="14.375" bestFit="1" customWidth="1"/>
    <col min="9" max="9" width="17" bestFit="1" customWidth="1"/>
    <col min="10" max="10" width="43.5" bestFit="1" customWidth="1"/>
  </cols>
  <sheetData>
    <row r="1" spans="1:10" x14ac:dyDescent="0.25">
      <c r="A1" s="6" t="s">
        <v>94</v>
      </c>
    </row>
    <row r="3" spans="1:10" x14ac:dyDescent="0.25">
      <c r="A3" t="s">
        <v>84</v>
      </c>
      <c r="B3" t="s">
        <v>85</v>
      </c>
      <c r="C3" t="s">
        <v>86</v>
      </c>
      <c r="D3" t="s">
        <v>87</v>
      </c>
      <c r="E3" t="s">
        <v>88</v>
      </c>
      <c r="F3" t="s">
        <v>89</v>
      </c>
      <c r="G3" t="s">
        <v>90</v>
      </c>
      <c r="H3" t="s">
        <v>91</v>
      </c>
      <c r="I3" t="s">
        <v>92</v>
      </c>
      <c r="J3" t="s">
        <v>93</v>
      </c>
    </row>
    <row r="4" spans="1:10" x14ac:dyDescent="0.25">
      <c r="A4" t="s">
        <v>52</v>
      </c>
      <c r="B4" t="s">
        <v>53</v>
      </c>
      <c r="C4" t="s">
        <v>57</v>
      </c>
      <c r="D4" t="s">
        <v>34</v>
      </c>
      <c r="E4" s="17">
        <v>45927</v>
      </c>
      <c r="F4" s="17">
        <v>45937</v>
      </c>
      <c r="G4">
        <v>10</v>
      </c>
      <c r="H4" t="s">
        <v>8</v>
      </c>
      <c r="I4" t="b">
        <v>1</v>
      </c>
      <c r="J4" t="s">
        <v>54</v>
      </c>
    </row>
    <row r="5" spans="1:10" x14ac:dyDescent="0.25">
      <c r="A5" t="s">
        <v>55</v>
      </c>
      <c r="B5" t="s">
        <v>56</v>
      </c>
      <c r="C5" t="s">
        <v>57</v>
      </c>
      <c r="D5" t="s">
        <v>34</v>
      </c>
      <c r="E5" s="17">
        <v>45928</v>
      </c>
      <c r="F5" s="17">
        <v>45948</v>
      </c>
      <c r="G5">
        <v>20</v>
      </c>
      <c r="H5" t="s">
        <v>16</v>
      </c>
      <c r="I5" t="b">
        <v>0</v>
      </c>
      <c r="J5" t="s">
        <v>58</v>
      </c>
    </row>
    <row r="6" spans="1:10" x14ac:dyDescent="0.25">
      <c r="A6" t="s">
        <v>59</v>
      </c>
      <c r="B6" t="s">
        <v>60</v>
      </c>
      <c r="C6" t="s">
        <v>65</v>
      </c>
      <c r="D6" t="s">
        <v>34</v>
      </c>
      <c r="E6" s="17">
        <v>45929</v>
      </c>
      <c r="F6" s="17">
        <v>45934</v>
      </c>
      <c r="G6">
        <v>5</v>
      </c>
      <c r="H6" t="s">
        <v>8</v>
      </c>
      <c r="I6" t="b">
        <v>1</v>
      </c>
      <c r="J6" t="s">
        <v>61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DD0CEA-AD74-4AC5-9136-CD72BC32225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Support Sheet</vt: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Ann gatimu</cp:lastModifiedBy>
  <dcterms:created xsi:type="dcterms:W3CDTF">2025-09-19T00:51:58Z</dcterms:created>
  <dcterms:modified xsi:type="dcterms:W3CDTF">2026-04-23T20:33:52Z</dcterms:modified>
</cp:coreProperties>
</file>