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ot\Desktop\My workfolder\Excel\"/>
    </mc:Choice>
  </mc:AlternateContent>
  <xr:revisionPtr revIDLastSave="0" documentId="8_{4E1F605E-762D-448D-96D5-1BB26FA1468C}" xr6:coauthVersionLast="47" xr6:coauthVersionMax="47" xr10:uidLastSave="{00000000-0000-0000-0000-000000000000}"/>
  <bookViews>
    <workbookView xWindow="-120" yWindow="-120" windowWidth="29040" windowHeight="15720" xr2:uid="{3B92DB67-07DB-4020-9F2F-7836A3598211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8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C31" i="1"/>
  <c r="D5" i="1"/>
  <c r="C3" i="2"/>
  <c r="C4" i="2"/>
  <c r="C5" i="2"/>
  <c r="C6" i="2"/>
  <c r="C2" i="2"/>
  <c r="B3" i="2"/>
  <c r="K5" i="1" s="1"/>
  <c r="B4" i="2"/>
  <c r="M5" i="1" s="1"/>
  <c r="B5" i="2"/>
  <c r="O5" i="1" s="1"/>
  <c r="B6" i="2"/>
  <c r="Q5" i="1" s="1"/>
  <c r="B2" i="2"/>
  <c r="I5" i="1" s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</calcChain>
</file>

<file path=xl/sharedStrings.xml><?xml version="1.0" encoding="utf-8"?>
<sst xmlns="http://schemas.openxmlformats.org/spreadsheetml/2006/main" count="91" uniqueCount="38">
  <si>
    <t>Task</t>
  </si>
  <si>
    <t>Urgent</t>
  </si>
  <si>
    <t>Due date</t>
  </si>
  <si>
    <t>Status</t>
  </si>
  <si>
    <t>Free text</t>
  </si>
  <si>
    <t>Incoming</t>
  </si>
  <si>
    <t>To Do</t>
  </si>
  <si>
    <t>In Progress</t>
  </si>
  <si>
    <t>Completed</t>
  </si>
  <si>
    <t>On hold</t>
  </si>
  <si>
    <t>Spreadsheet Project review</t>
  </si>
  <si>
    <t>Yes</t>
  </si>
  <si>
    <t>Mile stone one spreadsheet presentation</t>
  </si>
  <si>
    <t>No</t>
  </si>
  <si>
    <t>Milestone 2 and 3 spreadsheet presentation</t>
  </si>
  <si>
    <t>Milestone 4 and 5 presentation</t>
  </si>
  <si>
    <t xml:space="preserve">Spreadsheet Report </t>
  </si>
  <si>
    <t>Large dataset project review</t>
  </si>
  <si>
    <t>Milestone 1 presentation</t>
  </si>
  <si>
    <t>Milestone 2 and 3 presentation</t>
  </si>
  <si>
    <t>Large dataset Reporting</t>
  </si>
  <si>
    <t>GIS TERM PAPER</t>
  </si>
  <si>
    <t>AI PROGRAMMING CAT</t>
  </si>
  <si>
    <t>Final year project</t>
  </si>
  <si>
    <t>R programming assignment 1</t>
  </si>
  <si>
    <t>Virtual Ai meeting</t>
  </si>
  <si>
    <t>Mongo db Physical event</t>
  </si>
  <si>
    <t>Data management online class</t>
  </si>
  <si>
    <t>Group work discussion seminar for ds</t>
  </si>
  <si>
    <t>Group visitation to a childrens home</t>
  </si>
  <si>
    <t>Tlx meeting cohort 26</t>
  </si>
  <si>
    <t>tlx project discussion</t>
  </si>
  <si>
    <t>ID</t>
  </si>
  <si>
    <t>Status no</t>
  </si>
  <si>
    <t>Count</t>
  </si>
  <si>
    <t xml:space="preserve">                           TASK BOARD</t>
  </si>
  <si>
    <t>Project Progress presentation</t>
  </si>
  <si>
    <t>Facilitators virtual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</si>
</sst>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  <xf numFmtId="0" fontId="1" fillId="13" borderId="0" applyNumberFormat="0" applyBorder="0" applyAlignment="0" applyProtection="0"/>
    <xf numFmtId="0" fontId="4" fillId="14" borderId="0" applyNumberFormat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0" fillId="0" borderId="0" xfId="0" applyFill="1"/>
    <xf numFmtId="0" fontId="0" fillId="0" borderId="0" xfId="0" applyFont="1" applyFill="1"/>
    <xf numFmtId="0" fontId="3" fillId="0" borderId="0" xfId="0" applyFont="1" applyFill="1"/>
    <xf numFmtId="0" fontId="0" fillId="0" borderId="0" xfId="0" applyAlignment="1">
      <alignment horizontal="center"/>
    </xf>
    <xf numFmtId="0" fontId="2" fillId="15" borderId="0" xfId="0" applyFont="1" applyFill="1"/>
    <xf numFmtId="0" fontId="3" fillId="16" borderId="0" xfId="0" applyFont="1" applyFill="1"/>
    <xf numFmtId="0" fontId="2" fillId="17" borderId="0" xfId="0" applyFont="1" applyFill="1"/>
    <xf numFmtId="0" fontId="3" fillId="18" borderId="0" xfId="0" applyFont="1" applyFill="1"/>
    <xf numFmtId="0" fontId="2" fillId="19" borderId="0" xfId="0" applyFont="1" applyFill="1"/>
    <xf numFmtId="0" fontId="1" fillId="6" borderId="0" xfId="5"/>
    <xf numFmtId="0" fontId="1" fillId="3" borderId="0" xfId="2"/>
    <xf numFmtId="0" fontId="1" fillId="11" borderId="0" xfId="10"/>
    <xf numFmtId="0" fontId="1" fillId="4" borderId="0" xfId="3"/>
    <xf numFmtId="0" fontId="1" fillId="13" borderId="0" xfId="12"/>
    <xf numFmtId="0" fontId="1" fillId="8" borderId="0" xfId="7"/>
    <xf numFmtId="0" fontId="6" fillId="9" borderId="0" xfId="8" applyFont="1" applyAlignment="1">
      <alignment horizontal="center"/>
    </xf>
    <xf numFmtId="0" fontId="6" fillId="5" borderId="0" xfId="4" applyFont="1" applyAlignment="1">
      <alignment horizontal="center"/>
    </xf>
    <xf numFmtId="0" fontId="7" fillId="2" borderId="0" xfId="1" applyFont="1" applyAlignment="1">
      <alignment horizontal="center"/>
    </xf>
    <xf numFmtId="0" fontId="6" fillId="10" borderId="0" xfId="9" applyFont="1" applyAlignment="1">
      <alignment horizontal="center"/>
    </xf>
    <xf numFmtId="0" fontId="6" fillId="12" borderId="0" xfId="1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4" fillId="14" borderId="0" xfId="13"/>
    <xf numFmtId="0" fontId="1" fillId="7" borderId="0" xfId="6"/>
    <xf numFmtId="165" fontId="1" fillId="13" borderId="0" xfId="12" applyNumberFormat="1"/>
    <xf numFmtId="0" fontId="0" fillId="0" borderId="0" xfId="0" applyNumberFormat="1" applyFill="1"/>
    <xf numFmtId="0" fontId="8" fillId="20" borderId="0" xfId="0" applyFont="1" applyFill="1"/>
    <xf numFmtId="0" fontId="0" fillId="20" borderId="0" xfId="0" applyFill="1"/>
  </cellXfs>
  <cellStyles count="14">
    <cellStyle name="20% - Accent1" xfId="2" builtinId="30"/>
    <cellStyle name="20% - Accent2" xfId="5" builtinId="34"/>
    <cellStyle name="20% - Accent3" xfId="7" builtinId="38"/>
    <cellStyle name="20% - Accent5" xfId="12" builtinId="46"/>
    <cellStyle name="40% - Accent2" xfId="6" builtinId="35"/>
    <cellStyle name="40% - Accent3" xfId="8" builtinId="39"/>
    <cellStyle name="40% - Accent4" xfId="10" builtinId="43"/>
    <cellStyle name="60% - Accent1" xfId="3" builtinId="32"/>
    <cellStyle name="Accent1" xfId="1" builtinId="29"/>
    <cellStyle name="Accent2" xfId="4" builtinId="33"/>
    <cellStyle name="Accent4" xfId="9" builtinId="41"/>
    <cellStyle name="Accent5" xfId="11" builtinId="45"/>
    <cellStyle name="Accent6" xfId="13" builtinId="49"/>
    <cellStyle name="Normal" xfId="0" builtinId="0"/>
  </cellStyles>
  <dxfs count="15">
    <dxf>
      <font>
        <color theme="2"/>
      </font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ont>
        <color theme="2"/>
      </font>
      <fill>
        <patternFill>
          <bgColor theme="3" tint="0.24994659260841701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ont>
        <color theme="2"/>
      </font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ont>
        <color theme="2"/>
      </font>
      <fill>
        <patternFill>
          <bgColor theme="3" tint="0.24994659260841701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Total tasks </a:t>
            </a:r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02537182852144E-2"/>
          <c:y val="0.18153671339863001"/>
          <c:w val="0.91564129483814527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E8-418F-A932-53A28290AC5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BE8-418F-A932-53A28290AC5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E8-418F-A932-53A28290AC5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BE8-418F-A932-53A28290AC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Sheet2!$A$2:$A$6</c:f>
              <c:strCache>
                <c:ptCount val="5"/>
                <c:pt idx="0">
                  <c:v>Incoming</c:v>
                </c:pt>
                <c:pt idx="1">
                  <c:v>To Do</c:v>
                </c:pt>
                <c:pt idx="2">
                  <c:v>In Progress</c:v>
                </c:pt>
                <c:pt idx="3">
                  <c:v>Completed</c:v>
                </c:pt>
                <c:pt idx="4">
                  <c:v>On hold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8-418F-A932-53A28290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335071"/>
        <c:axId val="102335551"/>
      </c:barChart>
      <c:catAx>
        <c:axId val="10233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5551"/>
        <c:crosses val="autoZero"/>
        <c:auto val="1"/>
        <c:lblAlgn val="ctr"/>
        <c:lblOffset val="100"/>
        <c:noMultiLvlLbl val="0"/>
      </c:catAx>
      <c:valAx>
        <c:axId val="102335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33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Urgent tasks</a:t>
            </a:r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Sheet2!$C$1</c:f>
              <c:strCache>
                <c:ptCount val="1"/>
                <c:pt idx="0">
                  <c:v>Urgent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2A-4EC5-9453-26F264819B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2A-4EC5-9453-26F264819B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2A-4EC5-9453-26F264819B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2A-4EC5-9453-26F264819B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02A-4EC5-9453-26F264819BB1}"/>
              </c:ext>
            </c:extLst>
          </c:dPt>
          <c:dLbls>
            <c:dLbl>
              <c:idx val="1"/>
              <c:spPr>
                <a:solidFill>
                  <a:sysClr val="windowText" lastClr="000000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02A-4EC5-9453-26F264819BB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Sheet2!$A$2:$A$6</c:f>
              <c:strCache>
                <c:ptCount val="5"/>
                <c:pt idx="0">
                  <c:v>Incoming</c:v>
                </c:pt>
                <c:pt idx="1">
                  <c:v>To Do</c:v>
                </c:pt>
                <c:pt idx="2">
                  <c:v>In Progress</c:v>
                </c:pt>
                <c:pt idx="3">
                  <c:v>Completed</c:v>
                </c:pt>
                <c:pt idx="4">
                  <c:v>On hold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2A-4EC5-9453-26F264819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tasks</a:t>
            </a:r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5973753280839895"/>
          <c:w val="0.96944444444444444"/>
          <c:h val="0.795818022747156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EF-44EF-8CFF-9FC802B8612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BEF-44EF-8CFF-9FC802B8612B}"/>
              </c:ext>
            </c:extLst>
          </c:dPt>
          <c:dLbls>
            <c:dLbl>
              <c:idx val="0"/>
              <c:layout>
                <c:manualLayout>
                  <c:x val="-4.1666666666666664E-2"/>
                  <c:y val="-0.1333333333333333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EF-44EF-8CFF-9FC802B8612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Sheet2!$A$2:$A$4</c:f>
              <c:strCache>
                <c:ptCount val="3"/>
                <c:pt idx="0">
                  <c:v>Incoming</c:v>
                </c:pt>
                <c:pt idx="1">
                  <c:v>To Do</c:v>
                </c:pt>
                <c:pt idx="2">
                  <c:v>In Progress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F-44EF-8CFF-9FC802B86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13139615"/>
        <c:axId val="213147295"/>
      </c:barChart>
      <c:catAx>
        <c:axId val="213139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147295"/>
        <c:crosses val="autoZero"/>
        <c:auto val="1"/>
        <c:lblAlgn val="ctr"/>
        <c:lblOffset val="100"/>
        <c:noMultiLvlLbl val="0"/>
      </c:catAx>
      <c:valAx>
        <c:axId val="213147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13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Inactive tasks</a:t>
            </a:r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11111111111109E-2"/>
          <c:y val="0.2081944444444444"/>
          <c:w val="0.93888888888888888"/>
          <c:h val="0.6986654272382618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A14-430A-814F-9C14F8B9B9D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14-430A-814F-9C14F8B9B9DE}"/>
              </c:ext>
            </c:extLst>
          </c:dPt>
          <c:dLbls>
            <c:spPr>
              <a:solidFill>
                <a:srgbClr val="E8E8E8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Sheet2!$A$5:$A$6</c:f>
              <c:strCache>
                <c:ptCount val="2"/>
                <c:pt idx="0">
                  <c:v>Completed</c:v>
                </c:pt>
                <c:pt idx="1">
                  <c:v>On hold</c:v>
                </c:pt>
              </c:strCache>
            </c:strRef>
          </c:cat>
          <c:val>
            <c:numRef>
              <c:f>Sheet2!$B$5:$B$6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4-430A-814F-9C14F8B9B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876857423"/>
        <c:axId val="1876859823"/>
      </c:barChart>
      <c:catAx>
        <c:axId val="18768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859823"/>
        <c:crosses val="autoZero"/>
        <c:auto val="1"/>
        <c:lblAlgn val="ctr"/>
        <c:lblOffset val="100"/>
        <c:noMultiLvlLbl val="0"/>
      </c:catAx>
      <c:valAx>
        <c:axId val="18768598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685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2</xdr:row>
      <xdr:rowOff>9524</xdr:rowOff>
    </xdr:from>
    <xdr:to>
      <xdr:col>9</xdr:col>
      <xdr:colOff>504825</xdr:colOff>
      <xdr:row>3</xdr:row>
      <xdr:rowOff>2952749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B3370-9621-46EB-9FE6-27103E2C7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576262</xdr:colOff>
      <xdr:row>2</xdr:row>
      <xdr:rowOff>9525</xdr:rowOff>
    </xdr:from>
    <xdr:to>
      <xdr:col>12</xdr:col>
      <xdr:colOff>714375</xdr:colOff>
      <xdr:row>3</xdr:row>
      <xdr:rowOff>2952750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8A0F0A-5936-4306-9D15-04C10B054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781050</xdr:colOff>
      <xdr:row>2</xdr:row>
      <xdr:rowOff>0</xdr:rowOff>
    </xdr:from>
    <xdr:to>
      <xdr:col>14</xdr:col>
      <xdr:colOff>1695450</xdr:colOff>
      <xdr:row>3</xdr:row>
      <xdr:rowOff>2952750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945347-BB33-45AD-97AF-2CF9C870B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1771649</xdr:colOff>
      <xdr:row>2</xdr:row>
      <xdr:rowOff>0</xdr:rowOff>
    </xdr:from>
    <xdr:to>
      <xdr:col>18</xdr:col>
      <xdr:colOff>76199</xdr:colOff>
      <xdr:row>3</xdr:row>
      <xdr:rowOff>2943225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87E005-9194-412F-A6CD-8C91A931B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ADD14-B67C-41F6-B5F0-6A94424D72A8}" name="Table1" displayName="Table1" ref="D7:G31" totalsRowShown="0" headerRowCellStyle="Accent6">
  <autoFilter ref="D7:G31" xr:uid="{6C6ADD14-B67C-41F6-B5F0-6A94424D72A8}"/>
  <tableColumns count="4">
    <tableColumn id="1" xr3:uid="{185F45A4-C043-4B1B-84B5-3A7DABECF0BB}" name="Task" dataCellStyle="40% - Accent2"/>
    <tableColumn id="2" xr3:uid="{600E5E50-F12D-42B8-AAAE-7BC61361A940}" name="Urgent" dataCellStyle="20% - Accent1"/>
    <tableColumn id="3" xr3:uid="{77B97AD1-95C5-4E4F-A489-3815BF346916}" name="Due date" dataDxfId="14" dataCellStyle="20% - Accent5"/>
    <tableColumn id="4" xr3:uid="{C58DEFC5-95F2-4EE5-8ACE-B2F3BA1BC61E}" name="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B56C18-6A10-45BF-A12A-166345464DC7}" name="Table3" displayName="Table3" ref="B7:C31" totalsRowShown="0" headerRowDxfId="10" dataDxfId="12">
  <autoFilter ref="B7:C31" xr:uid="{ADB56C18-6A10-45BF-A12A-166345464DC7}"/>
  <tableColumns count="2">
    <tableColumn id="1" xr3:uid="{A3792832-207D-4CAF-ACEF-ABFE8B55429B}" name="ID" dataDxfId="13"/>
    <tableColumn id="2" xr3:uid="{CE51BBFF-43AA-4C1F-AE0A-C88CB7B5270C}" name="Status no" dataDxfId="11">
      <calculatedColumnFormula>IF(OR(Table1[[#This Row],[Task]]="",Table1[[#This Row],[Status]]=""),"",Table1[[#This Row],[Status]]&amp;COUNTIF(INDEX(Table1[Status],1):Table1[[#This Row],[Status]],Table1[[#This Row],[Status]]))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3019-E40C-4063-B4E1-CD6F97348EB8}">
  <dimension ref="A1:Q31"/>
  <sheetViews>
    <sheetView showGridLines="0" tabSelected="1" topLeftCell="A4" workbookViewId="0">
      <selection activeCell="A4" sqref="A4:XFD4"/>
    </sheetView>
  </sheetViews>
  <sheetFormatPr defaultRowHeight="15" x14ac:dyDescent="0.25"/>
  <cols>
    <col min="2" max="2" width="5.28515625" bestFit="1" customWidth="1"/>
    <col min="3" max="3" width="11.85546875" bestFit="1" customWidth="1"/>
    <col min="4" max="4" width="37.42578125" bestFit="1" customWidth="1"/>
    <col min="6" max="6" width="11.42578125" bestFit="1" customWidth="1"/>
    <col min="7" max="7" width="10.85546875" bestFit="1" customWidth="1"/>
    <col min="9" max="9" width="40.140625" bestFit="1" customWidth="1"/>
    <col min="11" max="11" width="40.140625" bestFit="1" customWidth="1"/>
    <col min="13" max="13" width="40.140625" bestFit="1" customWidth="1"/>
    <col min="15" max="15" width="27.28515625" bestFit="1" customWidth="1"/>
    <col min="17" max="17" width="28.85546875" bestFit="1" customWidth="1"/>
  </cols>
  <sheetData>
    <row r="1" spans="1:17" s="5" customFormat="1" x14ac:dyDescent="0.25"/>
    <row r="2" spans="1:17" s="5" customFormat="1" ht="14.25" customHeight="1" x14ac:dyDescent="0.25"/>
    <row r="3" spans="1:17" s="5" customFormat="1" hidden="1" x14ac:dyDescent="0.25"/>
    <row r="4" spans="1:17" s="28" customFormat="1" ht="233.25" customHeight="1" x14ac:dyDescent="0.5">
      <c r="A4" s="27" t="s">
        <v>35</v>
      </c>
    </row>
    <row r="5" spans="1:17" ht="21" x14ac:dyDescent="0.35">
      <c r="D5" s="22">
        <f ca="1">TODAY()</f>
        <v>46150</v>
      </c>
      <c r="E5" s="22"/>
      <c r="F5" s="22"/>
      <c r="G5" s="22"/>
      <c r="I5" s="17">
        <f>Sheet2!B2</f>
        <v>9</v>
      </c>
      <c r="K5" s="18">
        <f>Sheet2!B3</f>
        <v>3</v>
      </c>
      <c r="M5" s="19">
        <f>Sheet2!B4</f>
        <v>5</v>
      </c>
      <c r="O5" s="20">
        <f>Sheet2!B5</f>
        <v>4</v>
      </c>
      <c r="Q5" s="21">
        <f>Sheet2!B6</f>
        <v>3</v>
      </c>
    </row>
    <row r="7" spans="1:17" s="1" customFormat="1" x14ac:dyDescent="0.25">
      <c r="B7" s="4" t="s">
        <v>32</v>
      </c>
      <c r="C7" s="4" t="s">
        <v>33</v>
      </c>
      <c r="D7" s="23" t="s">
        <v>0</v>
      </c>
      <c r="E7" s="23" t="s">
        <v>1</v>
      </c>
      <c r="F7" s="23" t="s">
        <v>2</v>
      </c>
      <c r="G7" s="23" t="s">
        <v>3</v>
      </c>
      <c r="I7" s="6" t="s">
        <v>5</v>
      </c>
      <c r="K7" s="7" t="s">
        <v>6</v>
      </c>
      <c r="M7" s="8" t="s">
        <v>7</v>
      </c>
      <c r="O7" s="9" t="s">
        <v>8</v>
      </c>
      <c r="Q7" s="10" t="s">
        <v>9</v>
      </c>
    </row>
    <row r="8" spans="1:17" ht="32.25" customHeight="1" x14ac:dyDescent="0.25">
      <c r="B8" s="2">
        <v>1</v>
      </c>
      <c r="C8" s="3" t="str">
        <f>IF(OR(Table1[[#This Row],[Task]]="",Table1[[#This Row],[Status]]=""),"",Table1[[#This Row],[Status]]&amp;COUNTIF(INDEX(Table1[Status],1):Table1[[#This Row],[Status]],Table1[[#This Row],[Status]]))</f>
        <v>Incoming1</v>
      </c>
      <c r="D8" s="24" t="s">
        <v>4</v>
      </c>
      <c r="E8" s="12" t="s">
        <v>11</v>
      </c>
      <c r="F8" s="25">
        <v>46134</v>
      </c>
      <c r="G8" t="s">
        <v>5</v>
      </c>
      <c r="I8" s="16" t="str">
        <f>IFERROR(VLOOKUP($I$7&amp;$B8,Table3[Status no]:Table1[Task],2,FALSE),"")</f>
        <v>Free text</v>
      </c>
      <c r="K8" s="11" t="str">
        <f>IFERROR(VLOOKUP($K$7&amp;$B8,Table3[Status no]:Table1[Task],2,FALSE),"")</f>
        <v>Mile stone one spreadsheet presentation</v>
      </c>
      <c r="M8" s="14" t="str">
        <f>IFERROR(VLOOKUP($M$7&amp;$B8,Table3[Status no]:Table1[Task],2,FALSE),"")</f>
        <v>Spreadsheet Project review</v>
      </c>
      <c r="O8" s="13" t="str">
        <f>IFERROR(VLOOKUP($O$7&amp;$B8,Table3[Status no]:Table1[Task],2,FALSE),"")</f>
        <v>Large dataset project review</v>
      </c>
      <c r="Q8" s="15" t="str">
        <f>IFERROR(VLOOKUP($Q$7&amp;$B8,Table3[Status no]:Table1[Task],2,FALSE),"")</f>
        <v xml:space="preserve">Spreadsheet Report </v>
      </c>
    </row>
    <row r="9" spans="1:17" x14ac:dyDescent="0.25">
      <c r="B9" s="2">
        <v>2</v>
      </c>
      <c r="C9" s="3" t="str">
        <f>IF(OR(Table1[[#This Row],[Task]]="",Table1[[#This Row],[Status]]=""),"",Table1[[#This Row],[Status]]&amp;COUNTIF(INDEX(Table1[Status],1):Table1[[#This Row],[Status]],Table1[[#This Row],[Status]]))</f>
        <v>In Progress1</v>
      </c>
      <c r="D9" s="24" t="s">
        <v>10</v>
      </c>
      <c r="E9" s="12" t="s">
        <v>11</v>
      </c>
      <c r="F9" s="25">
        <v>46138</v>
      </c>
      <c r="G9" t="s">
        <v>7</v>
      </c>
      <c r="I9" s="16" t="str">
        <f>IFERROR(VLOOKUP($I$7&amp;$B9,Table3[Status no]:Table1[Task],2,FALSE),"")</f>
        <v>Milestone 2 and 3 spreadsheet presentation</v>
      </c>
      <c r="K9" s="11" t="str">
        <f>IFERROR(VLOOKUP($K$7&amp;$B9,Table3[Status no]:Table1[Task],2,FALSE),"")</f>
        <v>Milestone 4 and 5 presentation</v>
      </c>
      <c r="M9" s="14" t="str">
        <f>IFERROR(VLOOKUP($M$7&amp;$B9,Table3[Status no]:Table1[Task],2,FALSE),"")</f>
        <v>Milestone 2 and 3 presentation</v>
      </c>
      <c r="O9" s="13" t="str">
        <f>IFERROR(VLOOKUP($O$7&amp;$B9,Table3[Status no]:Table1[Task],2,FALSE),"")</f>
        <v>Milestone 1 presentation</v>
      </c>
      <c r="Q9" s="15" t="str">
        <f>IFERROR(VLOOKUP($Q$7&amp;$B9,Table3[Status no]:Table1[Task],2,FALSE),"")</f>
        <v>Large dataset Reporting</v>
      </c>
    </row>
    <row r="10" spans="1:17" x14ac:dyDescent="0.25">
      <c r="B10" s="2">
        <v>3</v>
      </c>
      <c r="C10" s="3" t="str">
        <f>IF(OR(Table1[[#This Row],[Task]]="",Table1[[#This Row],[Status]]=""),"",Table1[[#This Row],[Status]]&amp;COUNTIF(INDEX(Table1[Status],1):Table1[[#This Row],[Status]],Table1[[#This Row],[Status]]))</f>
        <v>To Do1</v>
      </c>
      <c r="D10" s="24" t="s">
        <v>12</v>
      </c>
      <c r="E10" s="12" t="s">
        <v>11</v>
      </c>
      <c r="F10" s="25">
        <v>46142</v>
      </c>
      <c r="G10" t="s">
        <v>6</v>
      </c>
      <c r="I10" s="16" t="str">
        <f>IFERROR(VLOOKUP($I$7&amp;$B10,Table3[Status no]:Table1[Task],2,FALSE),"")</f>
        <v>Milestone 4 and 5 presentation</v>
      </c>
      <c r="K10" s="11" t="str">
        <f>IFERROR(VLOOKUP($K$7&amp;$B10,Table3[Status no]:Table1[Task],2,FALSE),"")</f>
        <v>Project Progress presentation</v>
      </c>
      <c r="M10" s="14" t="str">
        <f>IFERROR(VLOOKUP($M$7&amp;$B10,Table3[Status no]:Table1[Task],2,FALSE),"")</f>
        <v>GIS TERM PAPER</v>
      </c>
      <c r="O10" s="13" t="str">
        <f>IFERROR(VLOOKUP($O$7&amp;$B10,Table3[Status no]:Table1[Task],2,FALSE),"")</f>
        <v>R programming assignment 1</v>
      </c>
      <c r="Q10" s="15" t="str">
        <f>IFERROR(VLOOKUP($Q$7&amp;$B10,Table3[Status no]:Table1[Task],2,FALSE),"")</f>
        <v>Data management online class</v>
      </c>
    </row>
    <row r="11" spans="1:17" x14ac:dyDescent="0.25">
      <c r="B11" s="2">
        <v>4</v>
      </c>
      <c r="C11" s="3" t="str">
        <f>IF(OR(Table1[[#This Row],[Task]]="",Table1[[#This Row],[Status]]=""),"",Table1[[#This Row],[Status]]&amp;COUNTIF(INDEX(Table1[Status],1):Table1[[#This Row],[Status]],Table1[[#This Row],[Status]]))</f>
        <v>Incoming2</v>
      </c>
      <c r="D11" s="24" t="s">
        <v>14</v>
      </c>
      <c r="E11" s="12" t="s">
        <v>13</v>
      </c>
      <c r="F11" s="25">
        <v>46146</v>
      </c>
      <c r="G11" t="s">
        <v>5</v>
      </c>
      <c r="I11" s="16" t="str">
        <f>IFERROR(VLOOKUP($I$7&amp;$B11,Table3[Status no]:Table1[Task],2,FALSE),"")</f>
        <v>AI PROGRAMMING CAT</v>
      </c>
      <c r="K11" s="11" t="str">
        <f>IFERROR(VLOOKUP($K$7&amp;$B11,Table3[Status no]:Table1[Task],2,FALSE),"")</f>
        <v/>
      </c>
      <c r="M11" s="14" t="str">
        <f>IFERROR(VLOOKUP($M$7&amp;$B11,Table3[Status no]:Table1[Task],2,FALSE),"")</f>
        <v>Final year project</v>
      </c>
      <c r="O11" s="13" t="str">
        <f>IFERROR(VLOOKUP($O$7&amp;$B11,Table3[Status no]:Table1[Task],2,FALSE),"")</f>
        <v>Mongo db Physical event</v>
      </c>
      <c r="Q11" s="15" t="str">
        <f>IFERROR(VLOOKUP($Q$7&amp;$B11,Table3[Status no]:Table1[Task],2,FALSE),"")</f>
        <v/>
      </c>
    </row>
    <row r="12" spans="1:17" x14ac:dyDescent="0.25">
      <c r="B12" s="2">
        <v>5</v>
      </c>
      <c r="C12" s="3" t="str">
        <f>IF(OR(Table1[[#This Row],[Task]]="",Table1[[#This Row],[Status]]=""),"",Table1[[#This Row],[Status]]&amp;COUNTIF(INDEX(Table1[Status],1):Table1[[#This Row],[Status]],Table1[[#This Row],[Status]]))</f>
        <v>Incoming3</v>
      </c>
      <c r="D12" s="24" t="s">
        <v>15</v>
      </c>
      <c r="E12" s="12" t="s">
        <v>13</v>
      </c>
      <c r="F12" s="25">
        <v>46149</v>
      </c>
      <c r="G12" t="s">
        <v>5</v>
      </c>
      <c r="I12" s="16" t="str">
        <f>IFERROR(VLOOKUP($I$7&amp;$B12,Table3[Status no]:Table1[Task],2,FALSE),"")</f>
        <v>Virtual Ai meeting</v>
      </c>
      <c r="K12" s="11" t="str">
        <f>IFERROR(VLOOKUP($K$7&amp;$B12,Table3[Status no]:Table1[Task],2,FALSE),"")</f>
        <v/>
      </c>
      <c r="M12" s="14" t="str">
        <f>IFERROR(VLOOKUP($M$7&amp;$B12,Table3[Status no]:Table1[Task],2,FALSE),"")</f>
        <v>Group work discussion seminar for ds</v>
      </c>
      <c r="O12" s="13" t="str">
        <f>IFERROR(VLOOKUP($O$7&amp;$B12,Table3[Status no]:Table1[Task],2,FALSE),"")</f>
        <v/>
      </c>
      <c r="Q12" s="15" t="str">
        <f>IFERROR(VLOOKUP($Q$7&amp;$B12,Table3[Status no]:Table1[Task],2,FALSE),"")</f>
        <v/>
      </c>
    </row>
    <row r="13" spans="1:17" x14ac:dyDescent="0.25">
      <c r="B13" s="2">
        <v>6</v>
      </c>
      <c r="C13" s="3" t="str">
        <f>IF(OR(Table1[[#This Row],[Task]]="",Table1[[#This Row],[Status]]=""),"",Table1[[#This Row],[Status]]&amp;COUNTIF(INDEX(Table1[Status],1):Table1[[#This Row],[Status]],Table1[[#This Row],[Status]]))</f>
        <v>On hold1</v>
      </c>
      <c r="D13" s="24" t="s">
        <v>16</v>
      </c>
      <c r="E13" s="12" t="s">
        <v>13</v>
      </c>
      <c r="F13" s="25">
        <v>46152</v>
      </c>
      <c r="G13" t="s">
        <v>9</v>
      </c>
      <c r="I13" s="16" t="str">
        <f>IFERROR(VLOOKUP($I$7&amp;$B13,Table3[Status no]:Table1[Task],2,FALSE),"")</f>
        <v>Group visitation to a childrens home</v>
      </c>
      <c r="K13" s="11" t="str">
        <f>IFERROR(VLOOKUP($K$7&amp;$B13,Table3[Status no]:Table1[Task],2,FALSE),"")</f>
        <v/>
      </c>
      <c r="M13" s="14" t="str">
        <f>IFERROR(VLOOKUP($M$7&amp;$B13,Table3[Status no]:Table1[Task],2,FALSE),"")</f>
        <v/>
      </c>
      <c r="O13" s="13" t="str">
        <f>IFERROR(VLOOKUP($O$7&amp;$B13,Table3[Status no]:Table1[Task],2,FALSE),"")</f>
        <v/>
      </c>
      <c r="Q13" s="15" t="str">
        <f>IFERROR(VLOOKUP($Q$7&amp;$B13,Table3[Status no]:Table1[Task],2,FALSE),"")</f>
        <v/>
      </c>
    </row>
    <row r="14" spans="1:17" x14ac:dyDescent="0.25">
      <c r="B14" s="2">
        <v>7</v>
      </c>
      <c r="C14" s="3" t="str">
        <f>IF(OR(Table1[[#This Row],[Task]]="",Table1[[#This Row],[Status]]=""),"",Table1[[#This Row],[Status]]&amp;COUNTIF(INDEX(Table1[Status],1):Table1[[#This Row],[Status]],Table1[[#This Row],[Status]]))</f>
        <v>Completed1</v>
      </c>
      <c r="D14" s="24" t="s">
        <v>17</v>
      </c>
      <c r="E14" s="12" t="s">
        <v>13</v>
      </c>
      <c r="F14" s="25">
        <v>46132</v>
      </c>
      <c r="G14" t="s">
        <v>8</v>
      </c>
      <c r="I14" s="16" t="str">
        <f>IFERROR(VLOOKUP($I$7&amp;$B14,Table3[Status no]:Table1[Task],2,FALSE),"")</f>
        <v>Tlx meeting cohort 26</v>
      </c>
      <c r="K14" s="11" t="str">
        <f>IFERROR(VLOOKUP($K$7&amp;$B14,Table3[Status no]:Table1[Task],2,FALSE),"")</f>
        <v/>
      </c>
      <c r="M14" s="14" t="str">
        <f>IFERROR(VLOOKUP($M$7&amp;$B14,Table3[Status no]:Table1[Task],2,FALSE),"")</f>
        <v/>
      </c>
      <c r="O14" s="13" t="str">
        <f>IFERROR(VLOOKUP($O$7&amp;$B14,Table3[Status no]:Table1[Task],2,FALSE),"")</f>
        <v/>
      </c>
      <c r="Q14" s="15" t="str">
        <f>IFERROR(VLOOKUP($Q$7&amp;$B14,Table3[Status no]:Table1[Task],2,FALSE),"")</f>
        <v/>
      </c>
    </row>
    <row r="15" spans="1:17" x14ac:dyDescent="0.25">
      <c r="B15" s="2">
        <v>8</v>
      </c>
      <c r="C15" s="3" t="str">
        <f>IF(OR(Table1[[#This Row],[Task]]="",Table1[[#This Row],[Status]]=""),"",Table1[[#This Row],[Status]]&amp;COUNTIF(INDEX(Table1[Status],1):Table1[[#This Row],[Status]],Table1[[#This Row],[Status]]))</f>
        <v>Completed2</v>
      </c>
      <c r="D15" s="24" t="s">
        <v>18</v>
      </c>
      <c r="E15" s="12" t="s">
        <v>13</v>
      </c>
      <c r="F15" s="25">
        <v>46136</v>
      </c>
      <c r="G15" t="s">
        <v>8</v>
      </c>
      <c r="I15" s="16" t="str">
        <f>IFERROR(VLOOKUP($I$7&amp;$B15,Table3[Status no]:Table1[Task],2,FALSE),"")</f>
        <v>tlx project discussion</v>
      </c>
      <c r="K15" s="11" t="str">
        <f>IFERROR(VLOOKUP($K$7&amp;$B15,Table3[Status no]:Table1[Task],2,FALSE),"")</f>
        <v/>
      </c>
      <c r="M15" s="14" t="str">
        <f>IFERROR(VLOOKUP($M$7&amp;$B15,Table3[Status no]:Table1[Task],2,FALSE),"")</f>
        <v/>
      </c>
      <c r="O15" s="13" t="str">
        <f>IFERROR(VLOOKUP($O$7&amp;$B15,Table3[Status no]:Table1[Task],2,FALSE),"")</f>
        <v/>
      </c>
      <c r="Q15" s="15" t="str">
        <f>IFERROR(VLOOKUP($Q$7&amp;$B15,Table3[Status no]:Table1[Task],2,FALSE),"")</f>
        <v/>
      </c>
    </row>
    <row r="16" spans="1:17" x14ac:dyDescent="0.25">
      <c r="B16" s="2">
        <v>9</v>
      </c>
      <c r="C16" s="3" t="str">
        <f>IF(OR(Table1[[#This Row],[Task]]="",Table1[[#This Row],[Status]]=""),"",Table1[[#This Row],[Status]]&amp;COUNTIF(INDEX(Table1[Status],1):Table1[[#This Row],[Status]],Table1[[#This Row],[Status]]))</f>
        <v>In Progress2</v>
      </c>
      <c r="D16" s="24" t="s">
        <v>19</v>
      </c>
      <c r="E16" s="12" t="s">
        <v>11</v>
      </c>
      <c r="F16" s="25">
        <v>46143</v>
      </c>
      <c r="G16" t="s">
        <v>7</v>
      </c>
      <c r="I16" s="16" t="str">
        <f>IFERROR(VLOOKUP($I$7&amp;$B16,Table3[Status no]:Table1[Task],2,FALSE),"")</f>
        <v>Facilitators virtual meeting</v>
      </c>
      <c r="K16" s="11" t="str">
        <f>IFERROR(VLOOKUP($K$7&amp;$B16,Table3[Status no]:Table1[Task],2,FALSE),"")</f>
        <v/>
      </c>
      <c r="M16" s="14" t="str">
        <f>IFERROR(VLOOKUP($M$7&amp;$B16,Table3[Status no]:Table1[Task],2,FALSE),"")</f>
        <v/>
      </c>
      <c r="O16" s="13" t="str">
        <f>IFERROR(VLOOKUP($O$7&amp;$B16,Table3[Status no]:Table1[Task],2,FALSE),"")</f>
        <v/>
      </c>
      <c r="Q16" s="15" t="str">
        <f>IFERROR(VLOOKUP($Q$7&amp;$B16,Table3[Status no]:Table1[Task],2,FALSE),"")</f>
        <v/>
      </c>
    </row>
    <row r="17" spans="2:17" x14ac:dyDescent="0.25">
      <c r="B17" s="2">
        <v>10</v>
      </c>
      <c r="C17" s="3" t="str">
        <f>IF(OR(Table1[[#This Row],[Task]]="",Table1[[#This Row],[Status]]=""),"",Table1[[#This Row],[Status]]&amp;COUNTIF(INDEX(Table1[Status],1):Table1[[#This Row],[Status]],Table1[[#This Row],[Status]]))</f>
        <v>To Do2</v>
      </c>
      <c r="D17" s="24" t="s">
        <v>15</v>
      </c>
      <c r="E17" s="12" t="s">
        <v>11</v>
      </c>
      <c r="F17" s="25">
        <v>46148</v>
      </c>
      <c r="G17" t="s">
        <v>6</v>
      </c>
      <c r="I17" s="16" t="str">
        <f>IFERROR(VLOOKUP($I$7&amp;$B17,Table3[Status no]:Table1[Task],2,FALSE),"")</f>
        <v/>
      </c>
      <c r="K17" s="11" t="str">
        <f>IFERROR(VLOOKUP($K$7&amp;$B17,Table3[Status no]:Table1[Task],2,FALSE),"")</f>
        <v/>
      </c>
      <c r="M17" s="14" t="str">
        <f>IFERROR(VLOOKUP($M$7&amp;$B17,Table3[Status no]:Table1[Task],2,FALSE),"")</f>
        <v/>
      </c>
      <c r="O17" s="13" t="str">
        <f>IFERROR(VLOOKUP($O$7&amp;$B17,Table3[Status no]:Table1[Task],2,FALSE),"")</f>
        <v/>
      </c>
      <c r="Q17" s="15" t="str">
        <f>IFERROR(VLOOKUP($Q$7&amp;$B17,Table3[Status no]:Table1[Task],2,FALSE),"")</f>
        <v/>
      </c>
    </row>
    <row r="18" spans="2:17" x14ac:dyDescent="0.25">
      <c r="B18" s="2">
        <v>11</v>
      </c>
      <c r="C18" s="3" t="str">
        <f>IF(OR(Table1[[#This Row],[Task]]="",Table1[[#This Row],[Status]]=""),"",Table1[[#This Row],[Status]]&amp;COUNTIF(INDEX(Table1[Status],1):Table1[[#This Row],[Status]],Table1[[#This Row],[Status]]))</f>
        <v>On hold2</v>
      </c>
      <c r="D18" s="24" t="s">
        <v>20</v>
      </c>
      <c r="E18" s="12" t="s">
        <v>11</v>
      </c>
      <c r="F18" s="25">
        <v>46156</v>
      </c>
      <c r="G18" t="s">
        <v>9</v>
      </c>
      <c r="I18" s="16" t="str">
        <f>IFERROR(VLOOKUP($I$7&amp;$B18,Table3[Status no]:Table1[Task],2,FALSE),"")</f>
        <v/>
      </c>
      <c r="K18" s="11" t="str">
        <f>IFERROR(VLOOKUP($K$7&amp;$B18,Table3[Status no]:Table1[Task],2,FALSE),"")</f>
        <v/>
      </c>
      <c r="M18" s="14" t="str">
        <f>IFERROR(VLOOKUP($M$7&amp;$B18,Table3[Status no]:Table1[Task],2,FALSE),"")</f>
        <v/>
      </c>
      <c r="O18" s="13" t="str">
        <f>IFERROR(VLOOKUP($O$7&amp;$B18,Table3[Status no]:Table1[Task],2,FALSE),"")</f>
        <v/>
      </c>
      <c r="Q18" s="15" t="str">
        <f>IFERROR(VLOOKUP($Q$7&amp;$B18,Table3[Status no]:Table1[Task],2,FALSE),"")</f>
        <v/>
      </c>
    </row>
    <row r="19" spans="2:17" x14ac:dyDescent="0.25">
      <c r="B19" s="2">
        <v>12</v>
      </c>
      <c r="C19" s="3" t="str">
        <f>IF(OR(Table1[[#This Row],[Task]]="",Table1[[#This Row],[Status]]=""),"",Table1[[#This Row],[Status]]&amp;COUNTIF(INDEX(Table1[Status],1):Table1[[#This Row],[Status]],Table1[[#This Row],[Status]]))</f>
        <v>In Progress3</v>
      </c>
      <c r="D19" s="24" t="s">
        <v>21</v>
      </c>
      <c r="E19" s="12" t="s">
        <v>11</v>
      </c>
      <c r="F19" s="25">
        <v>46155</v>
      </c>
      <c r="G19" t="s">
        <v>7</v>
      </c>
      <c r="I19" s="16" t="str">
        <f>IFERROR(VLOOKUP($I$7&amp;$B19,Table3[Status no]:Table1[Task],2,FALSE),"")</f>
        <v/>
      </c>
      <c r="K19" s="11" t="str">
        <f>IFERROR(VLOOKUP($K$7&amp;$B19,Table3[Status no]:Table1[Task],2,FALSE),"")</f>
        <v/>
      </c>
      <c r="M19" s="14" t="str">
        <f>IFERROR(VLOOKUP($M$7&amp;$B19,Table3[Status no]:Table1[Task],2,FALSE),"")</f>
        <v/>
      </c>
      <c r="O19" s="13" t="str">
        <f>IFERROR(VLOOKUP($O$7&amp;$B19,Table3[Status no]:Table1[Task],2,FALSE),"")</f>
        <v/>
      </c>
      <c r="Q19" s="15" t="str">
        <f>IFERROR(VLOOKUP($Q$7&amp;$B19,Table3[Status no]:Table1[Task],2,FALSE),"")</f>
        <v/>
      </c>
    </row>
    <row r="20" spans="2:17" x14ac:dyDescent="0.25">
      <c r="B20" s="2">
        <v>13</v>
      </c>
      <c r="C20" s="3" t="str">
        <f>IF(OR(Table1[[#This Row],[Task]]="",Table1[[#This Row],[Status]]=""),"",Table1[[#This Row],[Status]]&amp;COUNTIF(INDEX(Table1[Status],1):Table1[[#This Row],[Status]],Table1[[#This Row],[Status]]))</f>
        <v>Incoming4</v>
      </c>
      <c r="D20" s="24" t="s">
        <v>22</v>
      </c>
      <c r="E20" s="12" t="s">
        <v>13</v>
      </c>
      <c r="F20" s="25">
        <v>46160</v>
      </c>
      <c r="G20" t="s">
        <v>5</v>
      </c>
      <c r="I20" s="16" t="str">
        <f>IFERROR(VLOOKUP($I$7&amp;$B20,Table3[Status no]:Table1[Task],2,FALSE),"")</f>
        <v/>
      </c>
      <c r="K20" s="11" t="str">
        <f>IFERROR(VLOOKUP($K$7&amp;$B20,Table3[Status no]:Table1[Task],2,FALSE),"")</f>
        <v/>
      </c>
      <c r="M20" s="14" t="str">
        <f>IFERROR(VLOOKUP($M$7&amp;$B20,Table3[Status no]:Table1[Task],2,FALSE),"")</f>
        <v/>
      </c>
      <c r="O20" s="13" t="str">
        <f>IFERROR(VLOOKUP($O$7&amp;$B20,Table3[Status no]:Table1[Task],2,FALSE),"")</f>
        <v/>
      </c>
      <c r="Q20" s="15" t="str">
        <f>IFERROR(VLOOKUP($Q$7&amp;$B20,Table3[Status no]:Table1[Task],2,FALSE),"")</f>
        <v/>
      </c>
    </row>
    <row r="21" spans="2:17" x14ac:dyDescent="0.25">
      <c r="B21" s="2">
        <v>14</v>
      </c>
      <c r="C21" s="3" t="str">
        <f>IF(OR(Table1[[#This Row],[Task]]="",Table1[[#This Row],[Status]]=""),"",Table1[[#This Row],[Status]]&amp;COUNTIF(INDEX(Table1[Status],1):Table1[[#This Row],[Status]],Table1[[#This Row],[Status]]))</f>
        <v>In Progress4</v>
      </c>
      <c r="D21" s="24" t="s">
        <v>23</v>
      </c>
      <c r="E21" s="12" t="s">
        <v>11</v>
      </c>
      <c r="F21" s="25">
        <v>46179</v>
      </c>
      <c r="G21" t="s">
        <v>7</v>
      </c>
      <c r="I21" s="16" t="str">
        <f>IFERROR(VLOOKUP($I$7&amp;$B21,Table3[Status no]:Table1[Task],2,FALSE),"")</f>
        <v/>
      </c>
      <c r="K21" s="11" t="str">
        <f>IFERROR(VLOOKUP($K$7&amp;$B21,Table3[Status no]:Table1[Task],2,FALSE),"")</f>
        <v/>
      </c>
      <c r="M21" s="14" t="str">
        <f>IFERROR(VLOOKUP($M$7&amp;$B21,Table3[Status no]:Table1[Task],2,FALSE),"")</f>
        <v/>
      </c>
      <c r="O21" s="13" t="str">
        <f>IFERROR(VLOOKUP($O$7&amp;$B21,Table3[Status no]:Table1[Task],2,FALSE),"")</f>
        <v/>
      </c>
      <c r="Q21" s="15" t="str">
        <f>IFERROR(VLOOKUP($Q$7&amp;$B21,Table3[Status no]:Table1[Task],2,FALSE),"")</f>
        <v/>
      </c>
    </row>
    <row r="22" spans="2:17" x14ac:dyDescent="0.25">
      <c r="B22" s="2">
        <v>15</v>
      </c>
      <c r="C22" s="3" t="str">
        <f>IF(OR(Table1[[#This Row],[Task]]="",Table1[[#This Row],[Status]]=""),"",Table1[[#This Row],[Status]]&amp;COUNTIF(INDEX(Table1[Status],1):Table1[[#This Row],[Status]],Table1[[#This Row],[Status]]))</f>
        <v>Completed3</v>
      </c>
      <c r="D22" s="24" t="s">
        <v>24</v>
      </c>
      <c r="E22" s="12" t="s">
        <v>11</v>
      </c>
      <c r="F22" s="25">
        <v>46085</v>
      </c>
      <c r="G22" t="s">
        <v>8</v>
      </c>
      <c r="I22" s="16" t="str">
        <f>IFERROR(VLOOKUP($I$7&amp;$B22,Table3[Status no]:Table1[Task],2,FALSE),"")</f>
        <v/>
      </c>
      <c r="K22" s="11" t="str">
        <f>IFERROR(VLOOKUP($K$7&amp;$B22,Table3[Status no]:Table1[Task],2,FALSE),"")</f>
        <v/>
      </c>
      <c r="M22" s="14" t="str">
        <f>IFERROR(VLOOKUP($M$7&amp;$B22,Table3[Status no]:Table1[Task],2,FALSE),"")</f>
        <v/>
      </c>
      <c r="O22" s="13" t="str">
        <f>IFERROR(VLOOKUP($O$7&amp;$B22,Table3[Status no]:Table1[Task],2,FALSE),"")</f>
        <v/>
      </c>
      <c r="Q22" s="15" t="str">
        <f>IFERROR(VLOOKUP($Q$7&amp;$B22,Table3[Status no]:Table1[Task],2,FALSE),"")</f>
        <v/>
      </c>
    </row>
    <row r="23" spans="2:17" x14ac:dyDescent="0.25">
      <c r="B23" s="2">
        <v>16</v>
      </c>
      <c r="C23" s="3" t="str">
        <f>IF(OR(Table1[[#This Row],[Task]]="",Table1[[#This Row],[Status]]=""),"",Table1[[#This Row],[Status]]&amp;COUNTIF(INDEX(Table1[Status],1):Table1[[#This Row],[Status]],Table1[[#This Row],[Status]]))</f>
        <v>Incoming5</v>
      </c>
      <c r="D23" s="24" t="s">
        <v>25</v>
      </c>
      <c r="E23" s="12" t="s">
        <v>11</v>
      </c>
      <c r="F23" s="25">
        <v>46178</v>
      </c>
      <c r="G23" t="s">
        <v>5</v>
      </c>
      <c r="I23" s="16" t="str">
        <f>IFERROR(VLOOKUP($I$7&amp;$B23,Table3[Status no]:Table1[Task],2,FALSE),"")</f>
        <v/>
      </c>
      <c r="K23" s="11" t="str">
        <f>IFERROR(VLOOKUP($K$7&amp;$B23,Table3[Status no]:Table1[Task],2,FALSE),"")</f>
        <v/>
      </c>
      <c r="M23" s="14" t="str">
        <f>IFERROR(VLOOKUP($M$7&amp;$B23,Table3[Status no]:Table1[Task],2,FALSE),"")</f>
        <v/>
      </c>
      <c r="O23" s="13" t="str">
        <f>IFERROR(VLOOKUP($O$7&amp;$B23,Table3[Status no]:Table1[Task],2,FALSE),"")</f>
        <v/>
      </c>
      <c r="Q23" s="15" t="str">
        <f>IFERROR(VLOOKUP($Q$7&amp;$B23,Table3[Status no]:Table1[Task],2,FALSE),"")</f>
        <v/>
      </c>
    </row>
    <row r="24" spans="2:17" x14ac:dyDescent="0.25">
      <c r="B24" s="2">
        <v>17</v>
      </c>
      <c r="C24" s="3" t="str">
        <f>IF(OR(Table1[[#This Row],[Task]]="",Table1[[#This Row],[Status]]=""),"",Table1[[#This Row],[Status]]&amp;COUNTIF(INDEX(Table1[Status],1):Table1[[#This Row],[Status]],Table1[[#This Row],[Status]]))</f>
        <v>Completed4</v>
      </c>
      <c r="D24" s="24" t="s">
        <v>26</v>
      </c>
      <c r="E24" s="12" t="s">
        <v>13</v>
      </c>
      <c r="F24" s="25">
        <v>46087</v>
      </c>
      <c r="G24" t="s">
        <v>8</v>
      </c>
      <c r="I24" s="16" t="str">
        <f>IFERROR(VLOOKUP($I$7&amp;$B24,Table3[Status no]:Table1[Task],2,FALSE),"")</f>
        <v/>
      </c>
      <c r="K24" s="11" t="str">
        <f>IFERROR(VLOOKUP($K$7&amp;$B24,Table3[Status no]:Table1[Task],2,FALSE),"")</f>
        <v/>
      </c>
      <c r="M24" s="14" t="str">
        <f>IFERROR(VLOOKUP($M$7&amp;$B24,Table3[Status no]:Table1[Task],2,FALSE),"")</f>
        <v/>
      </c>
      <c r="O24" s="13" t="str">
        <f>IFERROR(VLOOKUP($O$7&amp;$B24,Table3[Status no]:Table1[Task],2,FALSE),"")</f>
        <v/>
      </c>
      <c r="Q24" s="15" t="str">
        <f>IFERROR(VLOOKUP($Q$7&amp;$B24,Table3[Status no]:Table1[Task],2,FALSE),"")</f>
        <v/>
      </c>
    </row>
    <row r="25" spans="2:17" x14ac:dyDescent="0.25">
      <c r="B25" s="2">
        <v>18</v>
      </c>
      <c r="C25" s="3" t="str">
        <f>IF(OR(Table1[[#This Row],[Task]]="",Table1[[#This Row],[Status]]=""),"",Table1[[#This Row],[Status]]&amp;COUNTIF(INDEX(Table1[Status],1):Table1[[#This Row],[Status]],Table1[[#This Row],[Status]]))</f>
        <v>On hold3</v>
      </c>
      <c r="D25" s="24" t="s">
        <v>27</v>
      </c>
      <c r="E25" s="12" t="s">
        <v>11</v>
      </c>
      <c r="F25" s="25">
        <v>46088</v>
      </c>
      <c r="G25" t="s">
        <v>9</v>
      </c>
      <c r="I25" s="16" t="str">
        <f>IFERROR(VLOOKUP($I$7&amp;$B25,Table3[Status no]:Table1[Task],2,FALSE),"")</f>
        <v/>
      </c>
      <c r="K25" s="11" t="str">
        <f>IFERROR(VLOOKUP($K$7&amp;$B25,Table3[Status no]:Table1[Task],2,FALSE),"")</f>
        <v/>
      </c>
      <c r="M25" s="14" t="str">
        <f>IFERROR(VLOOKUP($M$7&amp;$B25,Table3[Status no]:Table1[Task],2,FALSE),"")</f>
        <v/>
      </c>
      <c r="O25" s="13" t="str">
        <f>IFERROR(VLOOKUP($O$7&amp;$B25,Table3[Status no]:Table1[Task],2,FALSE),"")</f>
        <v/>
      </c>
      <c r="Q25" s="15" t="str">
        <f>IFERROR(VLOOKUP($Q$7&amp;$B25,Table3[Status no]:Table1[Task],2,FALSE),"")</f>
        <v/>
      </c>
    </row>
    <row r="26" spans="2:17" x14ac:dyDescent="0.25">
      <c r="B26" s="2">
        <v>19</v>
      </c>
      <c r="C26" s="3" t="str">
        <f>IF(OR(Table1[[#This Row],[Task]]="",Table1[[#This Row],[Status]]=""),"",Table1[[#This Row],[Status]]&amp;COUNTIF(INDEX(Table1[Status],1):Table1[[#This Row],[Status]],Table1[[#This Row],[Status]]))</f>
        <v>In Progress5</v>
      </c>
      <c r="D26" s="24" t="s">
        <v>28</v>
      </c>
      <c r="E26" s="12" t="s">
        <v>11</v>
      </c>
      <c r="F26" s="25">
        <v>46150</v>
      </c>
      <c r="G26" t="s">
        <v>7</v>
      </c>
      <c r="I26" s="16" t="str">
        <f>IFERROR(VLOOKUP($I$7&amp;$B26,Table3[Status no]:Table1[Task],2,FALSE),"")</f>
        <v/>
      </c>
      <c r="K26" s="11" t="str">
        <f>IFERROR(VLOOKUP($K$7&amp;$B26,Table3[Status no]:Table1[Task],2,FALSE),"")</f>
        <v/>
      </c>
      <c r="M26" s="14" t="str">
        <f>IFERROR(VLOOKUP($M$7&amp;$B26,Table3[Status no]:Table1[Task],2,FALSE),"")</f>
        <v/>
      </c>
      <c r="O26" s="13" t="str">
        <f>IFERROR(VLOOKUP($O$7&amp;$B26,Table3[Status no]:Table1[Task],2,FALSE),"")</f>
        <v/>
      </c>
      <c r="Q26" s="15" t="str">
        <f>IFERROR(VLOOKUP($Q$7&amp;$B26,Table3[Status no]:Table1[Task],2,FALSE),"")</f>
        <v/>
      </c>
    </row>
    <row r="27" spans="2:17" x14ac:dyDescent="0.25">
      <c r="B27" s="2">
        <v>20</v>
      </c>
      <c r="C27" s="3" t="str">
        <f>IF(OR(Table1[[#This Row],[Task]]="",Table1[[#This Row],[Status]]=""),"",Table1[[#This Row],[Status]]&amp;COUNTIF(INDEX(Table1[Status],1):Table1[[#This Row],[Status]],Table1[[#This Row],[Status]]))</f>
        <v>Incoming6</v>
      </c>
      <c r="D27" s="24" t="s">
        <v>29</v>
      </c>
      <c r="E27" s="12" t="s">
        <v>11</v>
      </c>
      <c r="F27" s="25">
        <v>46096</v>
      </c>
      <c r="G27" t="s">
        <v>5</v>
      </c>
      <c r="I27" s="16" t="str">
        <f>IFERROR(VLOOKUP($I$7&amp;$B27,Table3[Status no]:Table1[Task],2,FALSE),"")</f>
        <v/>
      </c>
      <c r="K27" s="11" t="str">
        <f>IFERROR(VLOOKUP($K$7&amp;$B27,Table3[Status no]:Table1[Task],2,FALSE),"")</f>
        <v/>
      </c>
      <c r="M27" s="14" t="str">
        <f>IFERROR(VLOOKUP($M$7&amp;$B27,Table3[Status no]:Table1[Task],2,FALSE),"")</f>
        <v/>
      </c>
      <c r="O27" s="13" t="str">
        <f>IFERROR(VLOOKUP($O$7&amp;$B27,Table3[Status no]:Table1[Task],2,FALSE),"")</f>
        <v/>
      </c>
      <c r="Q27" s="15" t="str">
        <f>IFERROR(VLOOKUP($Q$7&amp;$B27,Table3[Status no]:Table1[Task],2,FALSE),"")</f>
        <v/>
      </c>
    </row>
    <row r="28" spans="2:17" x14ac:dyDescent="0.25">
      <c r="B28" s="2">
        <v>21</v>
      </c>
      <c r="C28" s="3" t="str">
        <f>IF(OR(Table1[[#This Row],[Task]]="",Table1[[#This Row],[Status]]=""),"",Table1[[#This Row],[Status]]&amp;COUNTIF(INDEX(Table1[Status],1):Table1[[#This Row],[Status]],Table1[[#This Row],[Status]]))</f>
        <v>Incoming7</v>
      </c>
      <c r="D28" s="24" t="s">
        <v>30</v>
      </c>
      <c r="E28" s="12" t="s">
        <v>13</v>
      </c>
      <c r="F28" s="25">
        <v>46183</v>
      </c>
      <c r="G28" t="s">
        <v>5</v>
      </c>
      <c r="I28" s="16" t="str">
        <f>IFERROR(VLOOKUP($I$7&amp;$B28,Table3[Status no]:Table1[Task],2,FALSE),"")</f>
        <v/>
      </c>
      <c r="K28" s="11" t="str">
        <f>IFERROR(VLOOKUP($K$7&amp;$B28,Table3[Status no]:Table1[Task],2,FALSE),"")</f>
        <v/>
      </c>
      <c r="M28" s="14" t="str">
        <f>IFERROR(VLOOKUP($M$7&amp;$B28,Table3[Status no]:Table1[Task],2,FALSE),"")</f>
        <v/>
      </c>
      <c r="O28" s="13" t="str">
        <f>IFERROR(VLOOKUP($O$7&amp;$B28,Table3[Status no]:Table1[Task],2,FALSE),"")</f>
        <v/>
      </c>
      <c r="Q28" s="15" t="str">
        <f>IFERROR(VLOOKUP($Q$7&amp;$B28,Table3[Status no]:Table1[Task],2,FALSE),"")</f>
        <v/>
      </c>
    </row>
    <row r="29" spans="2:17" x14ac:dyDescent="0.25">
      <c r="B29" s="2">
        <v>22</v>
      </c>
      <c r="C29" s="3" t="str">
        <f>IF(OR(Table1[[#This Row],[Task]]="",Table1[[#This Row],[Status]]=""),"",Table1[[#This Row],[Status]]&amp;COUNTIF(INDEX(Table1[Status],1):Table1[[#This Row],[Status]],Table1[[#This Row],[Status]]))</f>
        <v>Incoming8</v>
      </c>
      <c r="D29" s="24" t="s">
        <v>31</v>
      </c>
      <c r="E29" s="12" t="s">
        <v>13</v>
      </c>
      <c r="F29" s="25">
        <v>46214</v>
      </c>
      <c r="G29" t="s">
        <v>5</v>
      </c>
      <c r="I29" s="16" t="str">
        <f>IFERROR(VLOOKUP($I$7&amp;$B29,Table3[Status no]:Table1[Task],2,FALSE),"")</f>
        <v/>
      </c>
      <c r="K29" s="11" t="str">
        <f>IFERROR(VLOOKUP($K$7&amp;$B29,Table3[Status no]:Table1[Task],2,FALSE),"")</f>
        <v/>
      </c>
      <c r="M29" s="14" t="str">
        <f>IFERROR(VLOOKUP($M$7&amp;$B29,Table3[Status no]:Table1[Task],2,FALSE),"")</f>
        <v/>
      </c>
      <c r="O29" s="13" t="str">
        <f>IFERROR(VLOOKUP($O$7&amp;$B29,Table3[Status no]:Table1[Task],2,FALSE),"")</f>
        <v/>
      </c>
      <c r="Q29" s="15" t="str">
        <f>IFERROR(VLOOKUP($Q$7&amp;$B29,Table3[Status no]:Table1[Task],2,FALSE),"")</f>
        <v/>
      </c>
    </row>
    <row r="30" spans="2:17" x14ac:dyDescent="0.25">
      <c r="B30" s="2">
        <v>23</v>
      </c>
      <c r="C30" s="3" t="str">
        <f>IF(OR(Table1[[#This Row],[Task]]="",Table1[[#This Row],[Status]]=""),"",Table1[[#This Row],[Status]]&amp;COUNTIF(INDEX(Table1[Status],1):Table1[[#This Row],[Status]],Table1[[#This Row],[Status]]))</f>
        <v>To Do3</v>
      </c>
      <c r="D30" s="24" t="s">
        <v>36</v>
      </c>
      <c r="E30" s="12" t="s">
        <v>13</v>
      </c>
      <c r="F30" s="25">
        <v>46215</v>
      </c>
      <c r="G30" t="s">
        <v>6</v>
      </c>
      <c r="I30" s="16" t="str">
        <f>IFERROR(VLOOKUP($I$7&amp;$B30,Table3[Status no]:Table1[Task],2,FALSE),"")</f>
        <v/>
      </c>
      <c r="K30" s="11" t="str">
        <f>IFERROR(VLOOKUP($K$7&amp;$B30,Table3[Status no]:Table1[Task],2,FALSE),"")</f>
        <v/>
      </c>
      <c r="M30" s="14" t="str">
        <f>IFERROR(VLOOKUP($M$7&amp;$B30,Table3[Status no]:Table1[Task],2,FALSE),"")</f>
        <v/>
      </c>
      <c r="O30" s="13" t="str">
        <f>IFERROR(VLOOKUP($O$7&amp;$B30,Table3[Status no]:Table1[Task],2,FALSE),"")</f>
        <v/>
      </c>
      <c r="Q30" s="15" t="str">
        <f>IFERROR(VLOOKUP($Q$7&amp;$B30,Table3[Status no]:Table1[Task],2,FALSE),"")</f>
        <v/>
      </c>
    </row>
    <row r="31" spans="2:17" x14ac:dyDescent="0.25">
      <c r="B31" s="2">
        <v>24</v>
      </c>
      <c r="C31" s="26" t="str">
        <f>IF(OR(Table1[[#This Row],[Task]]="",Table1[[#This Row],[Status]]=""),"",Table1[[#This Row],[Status]]&amp;COUNTIF(INDEX(Table1[Status],1):Table1[[#This Row],[Status]],Table1[[#This Row],[Status]]))</f>
        <v>Incoming9</v>
      </c>
      <c r="D31" s="24" t="s">
        <v>37</v>
      </c>
      <c r="E31" s="12" t="s">
        <v>11</v>
      </c>
      <c r="F31" s="25">
        <v>46153</v>
      </c>
      <c r="G31" t="s">
        <v>5</v>
      </c>
      <c r="I31" s="16"/>
    </row>
  </sheetData>
  <mergeCells count="5">
    <mergeCell ref="A3:XFD3"/>
    <mergeCell ref="A2:XFD2"/>
    <mergeCell ref="A1:XFD1"/>
    <mergeCell ref="A4:XFD4"/>
    <mergeCell ref="D5:G5"/>
  </mergeCells>
  <dataValidations count="1">
    <dataValidation type="list" allowBlank="1" showInputMessage="1" showErrorMessage="1" sqref="E8:E31" xr:uid="{E90469BF-C848-47D7-9D5A-D7F7884CC6C4}">
      <formula1>"Yes,No"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63748395-9A67-4740-BA04-4DA58327BD8B}">
            <xm:f>NOT(ISERROR(SEARCH(Sheet2!$A$2,G8)))</xm:f>
            <xm:f>Sheet2!$A$2</xm:f>
            <x14:dxf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E7B0E7FE-D850-4C73-AC71-267501157B02}">
            <xm:f>NOT(ISERROR(SEARCH(Sheet2!$A$3,G8)))</xm:f>
            <xm:f>Sheet2!$A$3</xm:f>
            <x14:dxf>
              <fill>
                <patternFill>
                  <bgColor theme="5"/>
                </patternFill>
              </fill>
            </x14:dxf>
          </x14:cfRule>
          <x14:cfRule type="containsText" priority="3" operator="containsText" id="{706D4E70-D736-400C-80B3-E20C65DDE640}">
            <xm:f>NOT(ISERROR(SEARCH(Sheet2!$A$4,G8)))</xm:f>
            <xm:f>Sheet2!$A$4</xm:f>
            <x14:dxf>
              <font>
                <color theme="2"/>
              </font>
              <fill>
                <patternFill>
                  <bgColor theme="3" tint="0.24994659260841701"/>
                </patternFill>
              </fill>
            </x14:dxf>
          </x14:cfRule>
          <x14:cfRule type="containsText" priority="2" operator="containsText" id="{7F488AB7-6A6B-41BD-B261-E114AA592C7C}">
            <xm:f>NOT(ISERROR(SEARCH(Sheet2!$A$5,G8)))</xm:f>
            <xm:f>Sheet2!$A$5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1" operator="containsText" id="{F943E3A1-5AA7-4F12-991B-2BBB4BC35349}">
            <xm:f>NOT(ISERROR(SEARCH(Sheet2!$A$6,G8)))</xm:f>
            <xm:f>Sheet2!$A$6</xm:f>
            <x14:dxf>
              <font>
                <color theme="2"/>
              </font>
              <fill>
                <patternFill>
                  <bgColor rgb="FF7030A0"/>
                </patternFill>
              </fill>
            </x14:dxf>
          </x14:cfRule>
          <xm:sqref>G8:G31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1634F8-52FE-4781-B21E-444B3C40FC42}">
          <x14:formula1>
            <xm:f>Sheet2!$A$2:$A$6</xm:f>
          </x14:formula1>
          <xm:sqref>G8:G31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0FE8-34C1-4798-BC7C-0D619804AE4A}">
  <dimension ref="A1:C6"/>
  <sheetViews>
    <sheetView workbookViewId="0">
      <selection activeCell="B2" sqref="B2"/>
    </sheetView>
  </sheetViews>
  <sheetFormatPr defaultRowHeight="15" x14ac:dyDescent="0.25"/>
  <sheetData>
    <row r="1" spans="1:3" x14ac:dyDescent="0.25">
      <c r="B1" t="s">
        <v>34</v>
      </c>
      <c r="C1" t="s">
        <v>1</v>
      </c>
    </row>
    <row r="2" spans="1:3" x14ac:dyDescent="0.25">
      <c r="A2" t="s">
        <v>5</v>
      </c>
      <c r="B2">
        <f>COUNTIF(Table1[Status],Sheet2!A2)</f>
        <v>9</v>
      </c>
      <c r="C2">
        <f>COUNTIFS(Table1[Status],Sheet2!A2,Table1[Urgent],"Yes")</f>
        <v>4</v>
      </c>
    </row>
    <row r="3" spans="1:3" x14ac:dyDescent="0.25">
      <c r="A3" t="s">
        <v>6</v>
      </c>
      <c r="B3">
        <f>COUNTIF(Table1[Status],Sheet2!A3)</f>
        <v>3</v>
      </c>
      <c r="C3">
        <f>COUNTIFS(Table1[Status],Sheet2!A3,Table1[Urgent],"Yes")</f>
        <v>2</v>
      </c>
    </row>
    <row r="4" spans="1:3" x14ac:dyDescent="0.25">
      <c r="A4" t="s">
        <v>7</v>
      </c>
      <c r="B4">
        <f>COUNTIF(Table1[Status],Sheet2!A4)</f>
        <v>5</v>
      </c>
      <c r="C4">
        <f>COUNTIFS(Table1[Status],Sheet2!A4,Table1[Urgent],"Yes")</f>
        <v>5</v>
      </c>
    </row>
    <row r="5" spans="1:3" x14ac:dyDescent="0.25">
      <c r="A5" t="s">
        <v>8</v>
      </c>
      <c r="B5">
        <f>COUNTIF(Table1[Status],Sheet2!A5)</f>
        <v>4</v>
      </c>
      <c r="C5">
        <f>COUNTIFS(Table1[Status],Sheet2!A5,Table1[Urgent],"Yes")</f>
        <v>1</v>
      </c>
    </row>
    <row r="6" spans="1:3" x14ac:dyDescent="0.25">
      <c r="A6" t="s">
        <v>9</v>
      </c>
      <c r="B6">
        <f>COUNTIF(Table1[Status],Sheet2!A6)</f>
        <v>3</v>
      </c>
      <c r="C6">
        <f>COUNTIFS(Table1[Status],Sheet2!A6,Table1[Urgent],"Yes")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gatimu</dc:creator>
  <cp:lastModifiedBy>Ann gatimu</cp:lastModifiedBy>
  <dcterms:created xsi:type="dcterms:W3CDTF">2026-05-05T18:02:58Z</dcterms:created>
  <dcterms:modified xsi:type="dcterms:W3CDTF">2026-05-08T20:50:53Z</dcterms:modified>
</cp:coreProperties>
</file>